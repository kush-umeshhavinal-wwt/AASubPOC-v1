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26.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27.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2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wwt-my.sharepoint.com/personal/oberkroc_wwt_com/Documents/Claude Folder/"/>
    </mc:Choice>
  </mc:AlternateContent>
  <xr:revisionPtr revIDLastSave="37" documentId="11_0BD2A3ABFE79B37A94451BD42787FD37359428A4" xr6:coauthVersionLast="47" xr6:coauthVersionMax="47" xr10:uidLastSave="{0C527921-0F1F-4FCB-8A4C-B2CE66041DE5}"/>
  <bookViews>
    <workbookView xWindow="-120" yWindow="-120" windowWidth="29040" windowHeight="15720" tabRatio="870" firstSheet="24" activeTab="31" xr2:uid="{00000000-000D-0000-FFFF-FFFF00000000}"/>
  </bookViews>
  <sheets>
    <sheet name="Aging Formulas" sheetId="1" r:id="rId1"/>
    <sheet name="JAN-23" sheetId="2" r:id="rId2"/>
    <sheet name="FEB-23" sheetId="3" r:id="rId3"/>
    <sheet name="MAR-23" sheetId="4" r:id="rId4"/>
    <sheet name="MAY-23" sheetId="5" r:id="rId5"/>
    <sheet name="July-23" sheetId="6" r:id="rId6"/>
    <sheet name="Aug-23" sheetId="7" r:id="rId7"/>
    <sheet name="Sept-23" sheetId="8" r:id="rId8"/>
    <sheet name="Oct-23" sheetId="9" r:id="rId9"/>
    <sheet name="NOV-23" sheetId="10" r:id="rId10"/>
    <sheet name="DEC-23" sheetId="11" r:id="rId11"/>
    <sheet name="Jan-24" sheetId="12" r:id="rId12"/>
    <sheet name="FEB-24" sheetId="13" r:id="rId13"/>
    <sheet name="MAR-24" sheetId="14" r:id="rId14"/>
    <sheet name="JUL-24" sheetId="15" r:id="rId15"/>
    <sheet name="AUG-24" sheetId="16" r:id="rId16"/>
    <sheet name="SEP-24" sheetId="17" r:id="rId17"/>
    <sheet name="OCT-24" sheetId="18" r:id="rId18"/>
    <sheet name="DEC-24" sheetId="19" r:id="rId19"/>
    <sheet name="JAN-25" sheetId="20" r:id="rId20"/>
    <sheet name="FEB-25" sheetId="21" r:id="rId21"/>
    <sheet name="MAR-25" sheetId="22" r:id="rId22"/>
    <sheet name="APR-25" sheetId="23" r:id="rId23"/>
    <sheet name="MAY-25" sheetId="24" r:id="rId24"/>
    <sheet name="JUN-25" sheetId="25" r:id="rId25"/>
    <sheet name="JUL-25" sheetId="26" r:id="rId26"/>
    <sheet name="FEB-26" sheetId="27" r:id="rId27"/>
    <sheet name="APR-26" sheetId="28" r:id="rId28"/>
    <sheet name="MAY-26" sheetId="29" r:id="rId29"/>
    <sheet name="JUN-26" sheetId="30" r:id="rId30"/>
    <sheet name="JUL-26" sheetId="31" r:id="rId31"/>
    <sheet name="AUG-26" sheetId="32" r:id="rId32"/>
    <sheet name="Details" sheetId="33" r:id="rId33"/>
    <sheet name="Details AUG-26" sheetId="34" r:id="rId34"/>
    <sheet name="Offsets" sheetId="35" r:id="rId35"/>
    <sheet name="Offsets prior to 2023" sheetId="36" state="hidden" r:id="rId36"/>
  </sheets>
  <externalReferences>
    <externalReference r:id="rId37"/>
    <externalReference r:id="rId38"/>
    <externalReference r:id="rId39"/>
  </externalReferences>
  <definedNames>
    <definedName name="_xlnm._FilterDatabase" localSheetId="32" hidden="1">Details!$A$6:$AN$63</definedName>
    <definedName name="_xlnm._FilterDatabase" localSheetId="34" hidden="1">Offsets!$A$3:$AL$486</definedName>
    <definedName name="_xlnm._FilterDatabase" localSheetId="35" hidden="1">'Offsets prior to 2023'!$A$3:$Z$336</definedName>
    <definedName name="Recover">[1]Macro1!$A$45</definedName>
    <definedName name="TableName">"Dummy"</definedName>
  </definedNames>
  <calcPr calcId="191029"/>
  <pivotCaches>
    <pivotCache cacheId="32" r:id="rId40"/>
    <pivotCache cacheId="33" r:id="rId41"/>
    <pivotCache cacheId="34" r:id="rId42"/>
    <pivotCache cacheId="35" r:id="rId43"/>
    <pivotCache cacheId="36" r:id="rId44"/>
    <pivotCache cacheId="37" r:id="rId45"/>
    <pivotCache cacheId="38" r:id="rId46"/>
    <pivotCache cacheId="39" r:id="rId47"/>
    <pivotCache cacheId="40" r:id="rId48"/>
    <pivotCache cacheId="41" r:id="rId49"/>
    <pivotCache cacheId="42" r:id="rId50"/>
    <pivotCache cacheId="43" r:id="rId51"/>
    <pivotCache cacheId="44" r:id="rId52"/>
    <pivotCache cacheId="45" r:id="rId53"/>
    <pivotCache cacheId="46" r:id="rId54"/>
    <pivotCache cacheId="47" r:id="rId55"/>
    <pivotCache cacheId="48" r:id="rId56"/>
    <pivotCache cacheId="49" r:id="rId57"/>
    <pivotCache cacheId="50" r:id="rId58"/>
    <pivotCache cacheId="51" r:id="rId59"/>
    <pivotCache cacheId="52" r:id="rId60"/>
    <pivotCache cacheId="53" r:id="rId61"/>
    <pivotCache cacheId="54" r:id="rId62"/>
    <pivotCache cacheId="55" r:id="rId63"/>
    <pivotCache cacheId="56" r:id="rId64"/>
    <pivotCache cacheId="57" r:id="rId65"/>
    <pivotCache cacheId="58" r:id="rId66"/>
    <pivotCache cacheId="59" r:id="rId6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6" l="1"/>
  <c r="O2" i="36"/>
  <c r="A174" i="35"/>
  <c r="B174" i="35" s="1"/>
  <c r="A173" i="35"/>
  <c r="B173" i="35" s="1"/>
  <c r="L2" i="35"/>
  <c r="K2" i="35"/>
  <c r="J2" i="35"/>
  <c r="B62" i="34"/>
  <c r="A62" i="34"/>
  <c r="B61" i="34" s="1"/>
  <c r="A61" i="34"/>
  <c r="B60" i="34"/>
  <c r="A60" i="34"/>
  <c r="B59" i="34"/>
  <c r="A59" i="34"/>
  <c r="B58" i="34"/>
  <c r="A58" i="34"/>
  <c r="B57" i="34" s="1"/>
  <c r="A57" i="34"/>
  <c r="A56" i="34"/>
  <c r="B56" i="34" s="1"/>
  <c r="A55" i="34"/>
  <c r="B55" i="34" s="1"/>
  <c r="A54" i="34"/>
  <c r="B54" i="34" s="1"/>
  <c r="A53" i="34"/>
  <c r="B53" i="34" s="1"/>
  <c r="A52" i="34"/>
  <c r="B52" i="34" s="1"/>
  <c r="A51" i="34"/>
  <c r="B51" i="34" s="1"/>
  <c r="A50" i="34"/>
  <c r="B50" i="34" s="1"/>
  <c r="A49" i="34"/>
  <c r="B49" i="34" s="1"/>
  <c r="A48" i="34"/>
  <c r="B48" i="34" s="1"/>
  <c r="A47" i="34"/>
  <c r="B47" i="34" s="1"/>
  <c r="A46" i="34"/>
  <c r="B46" i="34" s="1"/>
  <c r="A45" i="34"/>
  <c r="B45" i="34" s="1"/>
  <c r="A44" i="34"/>
  <c r="B44" i="34" s="1"/>
  <c r="A43" i="34"/>
  <c r="B43" i="34" s="1"/>
  <c r="A42" i="34"/>
  <c r="B42" i="34" s="1"/>
  <c r="A41" i="34"/>
  <c r="B41" i="34" s="1"/>
  <c r="A40" i="34"/>
  <c r="B40" i="34" s="1"/>
  <c r="A39" i="34"/>
  <c r="B39" i="34" s="1"/>
  <c r="A38" i="34"/>
  <c r="B38" i="34" s="1"/>
  <c r="A37" i="34"/>
  <c r="B37" i="34" s="1"/>
  <c r="A36" i="34"/>
  <c r="B36" i="34" s="1"/>
  <c r="A35" i="34"/>
  <c r="B35" i="34" s="1"/>
  <c r="A34" i="34"/>
  <c r="B34" i="34" s="1"/>
  <c r="A33" i="34"/>
  <c r="B33" i="34" s="1"/>
  <c r="A32" i="34"/>
  <c r="B32" i="34" s="1"/>
  <c r="A31" i="34"/>
  <c r="B31" i="34" s="1"/>
  <c r="A30" i="34"/>
  <c r="B30" i="34" s="1"/>
  <c r="A29" i="34"/>
  <c r="B29" i="34" s="1"/>
  <c r="A28" i="34"/>
  <c r="B28" i="34" s="1"/>
  <c r="A27" i="34"/>
  <c r="B27" i="34" s="1"/>
  <c r="A26" i="34"/>
  <c r="B26" i="34" s="1"/>
  <c r="A25" i="34"/>
  <c r="B25" i="34" s="1"/>
  <c r="A24" i="34"/>
  <c r="B24" i="34" s="1"/>
  <c r="A23" i="34"/>
  <c r="B23" i="34" s="1"/>
  <c r="A22" i="34"/>
  <c r="B22" i="34" s="1"/>
  <c r="A21" i="34"/>
  <c r="B21" i="34" s="1"/>
  <c r="A20" i="34"/>
  <c r="B20" i="34" s="1"/>
  <c r="A19" i="34"/>
  <c r="B19" i="34" s="1"/>
  <c r="A18" i="34"/>
  <c r="B18" i="34" s="1"/>
  <c r="A17" i="34"/>
  <c r="B17" i="34" s="1"/>
  <c r="A16" i="34"/>
  <c r="B16" i="34" s="1"/>
  <c r="A15" i="34"/>
  <c r="B15" i="34" s="1"/>
  <c r="A14" i="34"/>
  <c r="B14" i="34" s="1"/>
  <c r="A13" i="34"/>
  <c r="B13" i="34" s="1"/>
  <c r="A12" i="34"/>
  <c r="B12" i="34" s="1"/>
  <c r="A11" i="34"/>
  <c r="B11" i="34" s="1"/>
  <c r="A10" i="34"/>
  <c r="B10" i="34" s="1"/>
  <c r="A9" i="34"/>
  <c r="B9" i="34" s="1"/>
  <c r="A8" i="34"/>
  <c r="B8" i="34" s="1"/>
  <c r="A7" i="34"/>
  <c r="B7" i="34" s="1"/>
  <c r="L5" i="34"/>
  <c r="A63" i="33"/>
  <c r="B63" i="33" s="1"/>
  <c r="A62" i="33"/>
  <c r="B62" i="33" s="1"/>
  <c r="A61" i="33"/>
  <c r="B61" i="33" s="1"/>
  <c r="A60" i="33"/>
  <c r="B60" i="33" s="1"/>
  <c r="A59" i="33"/>
  <c r="B59" i="33" s="1"/>
  <c r="A58" i="33"/>
  <c r="B58" i="33" s="1"/>
  <c r="A57" i="33"/>
  <c r="B57" i="33" s="1"/>
  <c r="A56" i="33"/>
  <c r="B56" i="33" s="1"/>
  <c r="A55" i="33"/>
  <c r="B55" i="33" s="1"/>
  <c r="A54" i="33"/>
  <c r="B54" i="33" s="1"/>
  <c r="B53" i="33"/>
  <c r="A53" i="33"/>
  <c r="A52" i="33"/>
  <c r="B52" i="33" s="1"/>
  <c r="A51" i="33"/>
  <c r="B51" i="33" s="1"/>
  <c r="A50" i="33"/>
  <c r="B50" i="33" s="1"/>
  <c r="A49" i="33"/>
  <c r="B49" i="33" s="1"/>
  <c r="A48" i="33"/>
  <c r="B48" i="33" s="1"/>
  <c r="A47" i="33"/>
  <c r="B47" i="33" s="1"/>
  <c r="A46" i="33"/>
  <c r="B46" i="33" s="1"/>
  <c r="A45" i="33"/>
  <c r="B45" i="33" s="1"/>
  <c r="A44" i="33"/>
  <c r="B44" i="33" s="1"/>
  <c r="A43" i="33"/>
  <c r="B43" i="33" s="1"/>
  <c r="A42" i="33"/>
  <c r="B42" i="33" s="1"/>
  <c r="A41" i="33"/>
  <c r="B41" i="33" s="1"/>
  <c r="A40" i="33"/>
  <c r="B40" i="33" s="1"/>
  <c r="A39" i="33"/>
  <c r="B39" i="33" s="1"/>
  <c r="A38" i="33"/>
  <c r="B38" i="33" s="1"/>
  <c r="A37" i="33"/>
  <c r="B37" i="33" s="1"/>
  <c r="A36" i="33"/>
  <c r="B36" i="33" s="1"/>
  <c r="A35" i="33"/>
  <c r="B35" i="33" s="1"/>
  <c r="A34" i="33"/>
  <c r="B34" i="33" s="1"/>
  <c r="A33" i="33"/>
  <c r="B33" i="33" s="1"/>
  <c r="A32" i="33"/>
  <c r="B32" i="33" s="1"/>
  <c r="A31" i="33"/>
  <c r="B31" i="33" s="1"/>
  <c r="A30" i="33"/>
  <c r="B30" i="33" s="1"/>
  <c r="A29" i="33"/>
  <c r="B29" i="33" s="1"/>
  <c r="A28" i="33"/>
  <c r="B28" i="33" s="1"/>
  <c r="A27" i="33"/>
  <c r="B27" i="33" s="1"/>
  <c r="A26" i="33"/>
  <c r="B26" i="33" s="1"/>
  <c r="A25" i="33"/>
  <c r="B25" i="33" s="1"/>
  <c r="A24" i="33"/>
  <c r="B24" i="33" s="1"/>
  <c r="A23" i="33"/>
  <c r="B23" i="33" s="1"/>
  <c r="A22" i="33"/>
  <c r="B22" i="33" s="1"/>
  <c r="A21" i="33"/>
  <c r="B21" i="33" s="1"/>
  <c r="A20" i="33"/>
  <c r="B20" i="33" s="1"/>
  <c r="A19" i="33"/>
  <c r="B19" i="33" s="1"/>
  <c r="A18" i="33"/>
  <c r="B18" i="33" s="1"/>
  <c r="B17" i="33"/>
  <c r="A17" i="33"/>
  <c r="A16" i="33"/>
  <c r="B16" i="33" s="1"/>
  <c r="A15" i="33"/>
  <c r="B15" i="33" s="1"/>
  <c r="A14" i="33"/>
  <c r="B14" i="33" s="1"/>
  <c r="A13" i="33"/>
  <c r="B13" i="33" s="1"/>
  <c r="A12" i="33"/>
  <c r="B12" i="33" s="1"/>
  <c r="A11" i="33"/>
  <c r="B11" i="33" s="1"/>
  <c r="A10" i="33"/>
  <c r="B10" i="33" s="1"/>
  <c r="A9" i="33"/>
  <c r="B9" i="33" s="1"/>
  <c r="A8" i="33"/>
  <c r="B8" i="33" s="1"/>
  <c r="A7" i="33"/>
  <c r="B7" i="33" s="1"/>
  <c r="L5" i="33"/>
  <c r="F7" i="31"/>
  <c r="F11" i="31" s="1"/>
  <c r="F7" i="30"/>
  <c r="F11" i="30" s="1"/>
  <c r="F7" i="29"/>
  <c r="F11" i="29" s="1"/>
  <c r="F7" i="28"/>
  <c r="F11" i="28" s="1"/>
  <c r="F7" i="27"/>
  <c r="F11" i="27" s="1"/>
  <c r="F7" i="26"/>
  <c r="F11" i="26" s="1"/>
  <c r="F7" i="25"/>
  <c r="F11" i="25" s="1"/>
  <c r="F7" i="24"/>
  <c r="F11" i="24" s="1"/>
  <c r="F7" i="23"/>
  <c r="F11" i="23" s="1"/>
  <c r="B40" i="22"/>
  <c r="B44" i="22" s="1"/>
  <c r="G3" i="3"/>
  <c r="G5" i="3" s="1"/>
  <c r="G5" i="2"/>
  <c r="B2" i="1"/>
  <c r="F7" i="32"/>
  <c r="F11" i="32" s="1"/>
</calcChain>
</file>

<file path=xl/sharedStrings.xml><?xml version="1.0" encoding="utf-8"?>
<sst xmlns="http://schemas.openxmlformats.org/spreadsheetml/2006/main" count="32122" uniqueCount="3239">
  <si>
    <t>World Wide Technology (WWT)</t>
  </si>
  <si>
    <t>Accrued Liabilities - Public Sector</t>
  </si>
  <si>
    <t>ON-PREM  G/L # 01.XXXX.24521.000</t>
  </si>
  <si>
    <t>CLOUD GL# 101.XXXXX.245011.XXXX.XXX.XXX.XXXX.XXXX</t>
  </si>
  <si>
    <t>Row Labels</t>
  </si>
  <si>
    <t>Sum of Functional Amount</t>
  </si>
  <si>
    <t>Sum of Global Amount</t>
  </si>
  <si>
    <t>Total</t>
  </si>
  <si>
    <t>SLED Southeast</t>
  </si>
  <si>
    <t>Timing: Streamline</t>
  </si>
  <si>
    <t>G/L Balance - USD</t>
  </si>
  <si>
    <t>Federal Intel</t>
  </si>
  <si>
    <t>Timing: Order on Hold</t>
  </si>
  <si>
    <t>Variance</t>
  </si>
  <si>
    <t>SLED California</t>
  </si>
  <si>
    <t>Date Reconciled</t>
  </si>
  <si>
    <t>Issue: AP Correction Needed</t>
  </si>
  <si>
    <t>Issue: AR Correction Needed</t>
  </si>
  <si>
    <t>Federal Army House</t>
  </si>
  <si>
    <t>Issue: Needs Research</t>
  </si>
  <si>
    <t>Reclass: Sales Channel Move</t>
  </si>
  <si>
    <t>Issue: Recvue AP Correction Needed</t>
  </si>
  <si>
    <t>Federal Army Tactical</t>
  </si>
  <si>
    <t>Federal Army Enterprise</t>
  </si>
  <si>
    <t>Accrual: Agent Fee</t>
  </si>
  <si>
    <t>SLED Midwest</t>
  </si>
  <si>
    <t>Issue: Recvue Needs Research</t>
  </si>
  <si>
    <t>Accrual: Dropship</t>
  </si>
  <si>
    <t>Federal Tribal Nations/USPS</t>
  </si>
  <si>
    <t>Timing: Dropship Prelim Hit</t>
  </si>
  <si>
    <t>SLED NYC</t>
  </si>
  <si>
    <t>Timing: Average Cost Streamline</t>
  </si>
  <si>
    <t>Federal COCOMs</t>
  </si>
  <si>
    <t>Federal Intel SS</t>
  </si>
  <si>
    <t>SLED Northeast</t>
  </si>
  <si>
    <t>Federal Healthcare</t>
  </si>
  <si>
    <t>Timing: Prelim Deferral</t>
  </si>
  <si>
    <t>SLED HI/Comm</t>
  </si>
  <si>
    <t>Federal DoN Tactical</t>
  </si>
  <si>
    <t>Federal Law Enforcement</t>
  </si>
  <si>
    <t>SLED Pacific Southwest</t>
  </si>
  <si>
    <t>Grand Total</t>
  </si>
  <si>
    <t>Closing Month End Date</t>
  </si>
  <si>
    <t>Aging Buckets</t>
  </si>
  <si>
    <t>Age</t>
  </si>
  <si>
    <t>Bucket</t>
  </si>
  <si>
    <t>0-30</t>
  </si>
  <si>
    <t>31-60</t>
  </si>
  <si>
    <t>61-90</t>
  </si>
  <si>
    <t>91-120</t>
  </si>
  <si>
    <t>121-150</t>
  </si>
  <si>
    <t>151-300</t>
  </si>
  <si>
    <t>301-330</t>
  </si>
  <si>
    <t>331-365</t>
  </si>
  <si>
    <t>365+</t>
  </si>
  <si>
    <t>Sum of Entered Amount</t>
  </si>
  <si>
    <t>GL Balance per TB</t>
  </si>
  <si>
    <t>Federal Citizen Services</t>
  </si>
  <si>
    <t>Difference</t>
  </si>
  <si>
    <t>1CDATA-21-C-0075 Reclassing streamline balance to correct PL - Should resolve in the next couple months. $374K CR in other BS Account</t>
  </si>
  <si>
    <t>FCN EA Cost Deferral - CG emailed 11/15, possibly need vendor credit.  Pricing correct see CMG email 11/17</t>
  </si>
  <si>
    <t>Awaiting fufillment - Closed Complete in August - Release? Check old cost recs AA sub for DCOGS Dec-21 thru present on public sector</t>
  </si>
  <si>
    <t>Four Points Order on hold - Emailed Dawn 2/13/2023 - Check Cost Rec for reversal 2/17</t>
  </si>
  <si>
    <t>Orders on hold - follow up with team 10702660/10702659/10702554/10705836/10702668</t>
  </si>
  <si>
    <t>VA EA Deal</t>
  </si>
  <si>
    <t>Federal House</t>
  </si>
  <si>
    <t>PO 1CDATA-21-C-0075, to reverse US postal in February</t>
  </si>
  <si>
    <t>Timing - RecVue Pending Credit - Follow up on credit</t>
  </si>
  <si>
    <t>Federal Intel Moonshot</t>
  </si>
  <si>
    <t xml:space="preserve">Moonshot SAAS RecVue </t>
  </si>
  <si>
    <t>Monthly Timing - follow email 1/20 &amp; 1/27 - followed up 2/13/2023</t>
  </si>
  <si>
    <t>Federal Navy</t>
  </si>
  <si>
    <t>Timing - Streamline FEDERAL RESOURCES PO 157803</t>
  </si>
  <si>
    <t>Federal Scientific</t>
  </si>
  <si>
    <t>Timing - Streamline CGI Federal PR20005283</t>
  </si>
  <si>
    <t>SLED Central</t>
  </si>
  <si>
    <t>Timing - Pending Credit - See email for pending Cisco Credit… Descrepancy on amount billed vs credited. Sitting in 24500 code to 50210 6k diff to SC</t>
  </si>
  <si>
    <t>Federal Air Force</t>
  </si>
  <si>
    <t>(blank)</t>
  </si>
  <si>
    <t>Reclass between P&amp;L</t>
  </si>
  <si>
    <t>To defer cost on Customer PO 10000410, SO 10768674, Emailed Shelly on 2/23, 3/14</t>
  </si>
  <si>
    <t>To defer revenue &amp; cost on Customer PO 10000410, SO 10230194 - Emailed Shelly on 2/22, 3/14 CUB 2173719 creating issue</t>
  </si>
  <si>
    <t xml:space="preserve">128k * 2 + 14k </t>
  </si>
  <si>
    <t>Defer Federal Health WWTINCSAAS924, PO 22P09282</t>
  </si>
  <si>
    <t>Reversed in April</t>
  </si>
  <si>
    <t>Reversed in April - VA EA March AP Invoices</t>
  </si>
  <si>
    <t>Monthly Timing - follow email 1/20 &amp; 1/27 - followed up 2/13, 3/15, 4/14</t>
  </si>
  <si>
    <t>Needs to be reversed in April</t>
  </si>
  <si>
    <t>Timing - Streamline FEDERAL RESOURCES PO 157803 - should reverse in May</t>
  </si>
  <si>
    <t>Federal Navy NGEN</t>
  </si>
  <si>
    <t>Part of Inv Reserve in AR other account</t>
  </si>
  <si>
    <t>Federal USACE</t>
  </si>
  <si>
    <t>Reclass to AR other account offsets</t>
  </si>
  <si>
    <t>RMA on hold - Reclass to AR other account</t>
  </si>
  <si>
    <t>Expecting Cost in July</t>
  </si>
  <si>
    <t>Streamline P3882300203 SO 10539163</t>
  </si>
  <si>
    <t>Reverse in April emailed M Hofer about AR inv hitting in March</t>
  </si>
  <si>
    <t>Sent Email for missing Cost in May 6/14/23</t>
  </si>
  <si>
    <t>WWT PO 4183946 was matched but didn't transact on OPR missing 50,610k of cost. Drop Shipped org 39????????</t>
  </si>
  <si>
    <t>FCN EA Cost Deferral - CG emailed 11/15, possibly need vendor credit.  Pricing correct see CMG email 11/17, 6/15</t>
  </si>
  <si>
    <t xml:space="preserve">Emailed 6/15 - Pricing issue to determine additional billing to customer </t>
  </si>
  <si>
    <t>To defer cost on Customer PO 10000410, SO 10768674, Emailed Shelly on 2/23, 3/14, 4/19, 6/15 - Jake is working on matching Hours completed with customer and IUB will be booked</t>
  </si>
  <si>
    <t>Jake V is working with Customer on services completed and matching hours.  IUB should be booked to help offset issues with CUB.</t>
  </si>
  <si>
    <t>Awaiting fufillment, follow up with Dawn - Reversed in June</t>
  </si>
  <si>
    <t xml:space="preserve">Reversed in June </t>
  </si>
  <si>
    <t>VA EA</t>
  </si>
  <si>
    <t>Reversing portion of VA EA related cost</t>
  </si>
  <si>
    <t>Emailed 4/5 for missing Rev</t>
  </si>
  <si>
    <t xml:space="preserve">Emailed 6/15/23 Jessica Laux &amp; Karen Melton to see if there is a Credit from Cisco on WWTINCSAAS752 Invoice # 81025413 - Reverse it at later point confirm with molly </t>
  </si>
  <si>
    <t>Issue with Cost on WWT PO 4080608 missing from Vendor</t>
  </si>
  <si>
    <t>Reversed in June - Needs to be reversed in May</t>
  </si>
  <si>
    <t>Reversed in June</t>
  </si>
  <si>
    <t xml:space="preserve">Streamline - BL for later period </t>
  </si>
  <si>
    <t>Reversed in June - Part of Inv Reserve in AR other account</t>
  </si>
  <si>
    <t>Working on JE's to move to Federal House offset in 130509</t>
  </si>
  <si>
    <t>Streamline</t>
  </si>
  <si>
    <t>PO P3152301398 SO 10764155 Expecting Cost in July</t>
  </si>
  <si>
    <t xml:space="preserve">Cost Accrual - expected in October </t>
  </si>
  <si>
    <t>Ops Issue</t>
  </si>
  <si>
    <t>SO 10650154</t>
  </si>
  <si>
    <t>Finder's Fee</t>
  </si>
  <si>
    <t xml:space="preserve">Check request once paid. </t>
  </si>
  <si>
    <t>Annual billing through RecVue awaiting RMA/RTV</t>
  </si>
  <si>
    <t xml:space="preserve">Double check RMA/RTV. On cost side </t>
  </si>
  <si>
    <t xml:space="preserve">SO 10944744  IUB </t>
  </si>
  <si>
    <t>Replacement orders needing RMA/RTV</t>
  </si>
  <si>
    <t>SO 10941581 / 5</t>
  </si>
  <si>
    <t>Moonshot</t>
  </si>
  <si>
    <t>Federal Army/SOF House</t>
  </si>
  <si>
    <t>Reverse in September</t>
  </si>
  <si>
    <t xml:space="preserve">Reverse in October </t>
  </si>
  <si>
    <t>SO 1105877</t>
  </si>
  <si>
    <t>Reversed in October Finder's Fee - Check Request submitted should be reversed in October</t>
  </si>
  <si>
    <t>Reversed in October</t>
  </si>
  <si>
    <t xml:space="preserve">WWT PO 4183946 was matched but didn't transact on OPR missing 50,610k of cost. Drop Shipped org 39???????? Rework needed. </t>
  </si>
  <si>
    <t>Awaiting RMA/RTV rework Email from Angie H 10/11/23 Needs to be Released.</t>
  </si>
  <si>
    <t>SO 9796205</t>
  </si>
  <si>
    <t xml:space="preserve">Needs more research </t>
  </si>
  <si>
    <t>SO 10805628</t>
  </si>
  <si>
    <t xml:space="preserve">Need More research and follow up </t>
  </si>
  <si>
    <t xml:space="preserve">Working with Julie on resulition </t>
  </si>
  <si>
    <t xml:space="preserve">Follow up with Tyler for resolution -  from august </t>
  </si>
  <si>
    <t xml:space="preserve">SO 10941581 &amp; 10941585 - August </t>
  </si>
  <si>
    <t xml:space="preserve">Needs to be reversed from timing.  Nothing in BL - Reverse out in August </t>
  </si>
  <si>
    <t xml:space="preserve">Timing - Streamline CGI Federal PR20005283 - </t>
  </si>
  <si>
    <t>Moonshot - Needs research Material Distribution Report</t>
  </si>
  <si>
    <t xml:space="preserve">Material Distribution Report </t>
  </si>
  <si>
    <t xml:space="preserve">Reversed in October </t>
  </si>
  <si>
    <t xml:space="preserve">Need Ticket for stuck SAAS AP invoice hit OPR but not GL </t>
  </si>
  <si>
    <t>SLED PANYNJ NESS</t>
  </si>
  <si>
    <t>Reversed in November Finder's Fee - Check Request Processed 11/8</t>
  </si>
  <si>
    <t>Reversed in November</t>
  </si>
  <si>
    <t xml:space="preserve">Working with Julie for resolution SO 10920127 / WWT PO 4183946 was matched but didn't transact on OPR missing 50,610k of cost. Drop Shipped org 39???????? Rework needed. </t>
  </si>
  <si>
    <t>FCN EA Cost Deferral - CG emailed 11/15, possibly need vendor credit.  Pricing correct see CMG email 11/17, 6/15, 11/13</t>
  </si>
  <si>
    <t>WWT cost was accurate and need update in extra qty should be billed to customer pricing issue SO 10537043</t>
  </si>
  <si>
    <t>Needs to be Reversed out in November - Awaiting fufillment - Closed Complete in August - Release? Check old cost recs AA sub for DCOGS Dec-21 thru present on public sector</t>
  </si>
  <si>
    <t>Needs to be reversed out of timing.  Confirm with Christine/Laura if we can take this to G/A</t>
  </si>
  <si>
    <t>RecVue credit to use on future order?</t>
  </si>
  <si>
    <t>Working with Julie Cost changed to $0 and need rework or correction</t>
  </si>
  <si>
    <t xml:space="preserve">Reversed in November - Pick up in Prior month.  </t>
  </si>
  <si>
    <t>Replacement orders needing RMA/RTV emailed 10/19 &amp; 11/14</t>
  </si>
  <si>
    <t xml:space="preserve">RMA/RTV being processed not yet complete </t>
  </si>
  <si>
    <t>Reversed in November Moonshot - Needs research Material Distribution Report</t>
  </si>
  <si>
    <t>Ticket needed for missing GL amount</t>
  </si>
  <si>
    <t>Waiting on IUB's to process - Emailed 11/14</t>
  </si>
  <si>
    <t>Awaiting IUB's on Bulk PO's</t>
  </si>
  <si>
    <t>Finder's Fee - Awaiting Payment</t>
  </si>
  <si>
    <t xml:space="preserve">Reversed in November </t>
  </si>
  <si>
    <t>Federal AF/DISA/DA House</t>
  </si>
  <si>
    <t>Termination Fee to be paid by EOY</t>
  </si>
  <si>
    <t>Termination Fee check request to submitted to clear by EOY</t>
  </si>
  <si>
    <t xml:space="preserve">Megan following up </t>
  </si>
  <si>
    <t>SO 10920127 Emailed 10/26 &amp; 12/19</t>
  </si>
  <si>
    <t xml:space="preserve">Accrued Missing WWT Cost PO 1CDATA-22-C-0113_3 for proper recognition </t>
  </si>
  <si>
    <t>SO 10537043 Latest email sent 11/15 &amp; 12/19 - See PO 63353P email from Dawn</t>
  </si>
  <si>
    <t>63550P</t>
  </si>
  <si>
    <t>Federal DOD House</t>
  </si>
  <si>
    <t>To be released in December</t>
  </si>
  <si>
    <t xml:space="preserve">Reverse in December </t>
  </si>
  <si>
    <t>JE to be made to G/A by Christine</t>
  </si>
  <si>
    <t>Will offset in Decemeber Check other timing account</t>
  </si>
  <si>
    <t>PO Receipt adj tied to a canceled SO in Dinga Linda SC - WWT PO 4031126 SO 10269777</t>
  </si>
  <si>
    <t xml:space="preserve">SO 10479984 - PO lines were received in at $0 in error, so the cost is incorrect.  Need Avg cost adj follow up with Dan Besmer </t>
  </si>
  <si>
    <t xml:space="preserve">half the gear being returned.  </t>
  </si>
  <si>
    <t xml:space="preserve">Finder's Fee - partially paid 8 invoices </t>
  </si>
  <si>
    <t xml:space="preserve">Finder's Fee - Still not paid </t>
  </si>
  <si>
    <t>Reverse 1M of WWT cost from IUB's released in December</t>
  </si>
  <si>
    <t xml:space="preserve">Ops issue due to bring material back on hand @ $0 </t>
  </si>
  <si>
    <t>SO 10537043</t>
  </si>
  <si>
    <t xml:space="preserve">Avg cost correction </t>
  </si>
  <si>
    <t xml:space="preserve">Avg cost correction SO 10811548 Part GSCUSTFCD PO 1268959 - Run material distrubition on Part # </t>
  </si>
  <si>
    <t xml:space="preserve">EA Aqueon </t>
  </si>
  <si>
    <t xml:space="preserve">To be corrected in January. </t>
  </si>
  <si>
    <t xml:space="preserve">Reverse in January </t>
  </si>
  <si>
    <t xml:space="preserve">Reversed in January </t>
  </si>
  <si>
    <t xml:space="preserve">Dig into 128k and OPR for correction. </t>
  </si>
  <si>
    <t xml:space="preserve">Ops issue needs rework </t>
  </si>
  <si>
    <t xml:space="preserve">SO 11258948 - Needs research and followup </t>
  </si>
  <si>
    <t xml:space="preserve">WWTPO 4031126 SO 10269777 hitting Dinga Linda SC / Move to Main SC in January </t>
  </si>
  <si>
    <t>SO 10479984</t>
  </si>
  <si>
    <t xml:space="preserve">Finder's Fee - Check Request or possible invoice. </t>
  </si>
  <si>
    <t xml:space="preserve">To be reversed in January. </t>
  </si>
  <si>
    <t xml:space="preserve">Waiting rest of IUB's to process next week in January </t>
  </si>
  <si>
    <t>Missing Cost on PO FA568522F0091</t>
  </si>
  <si>
    <t>Avg cost correction - SO 10811548 Part GSCUSTFCD</t>
  </si>
  <si>
    <t>VA EA Accrual AP Invoice</t>
  </si>
  <si>
    <t>Needs $0 RMA billed through RecVue</t>
  </si>
  <si>
    <t xml:space="preserve">Being rebilled through RecVue </t>
  </si>
  <si>
    <t>G/A</t>
  </si>
  <si>
    <t>Federal DoN NGEN-R</t>
  </si>
  <si>
    <t xml:space="preserve">Reversed portion 1.6M in February </t>
  </si>
  <si>
    <t>Accrue stuck balance SO 10281652 GL only</t>
  </si>
  <si>
    <t>RMA on hold 2335887 PO Reciept Adj on WWT PO 4259673</t>
  </si>
  <si>
    <t>Finder's Fee Accrual SO 11319477</t>
  </si>
  <si>
    <t>Defer SO 9788664 Awaiting AP credit</t>
  </si>
  <si>
    <t>Defer WWTCLOUDBROKER7 reverse in MAR-24</t>
  </si>
  <si>
    <t>World Wide Technology</t>
  </si>
  <si>
    <t>Issue: Ops correction Needed - Pricing</t>
  </si>
  <si>
    <t>Timing: Drop Ship Average Cost - Month End</t>
  </si>
  <si>
    <t>Federal AF/DA House</t>
  </si>
  <si>
    <t>Federal DoN Enterprise</t>
  </si>
  <si>
    <t>Issue: Ops Correction Needed - Pricing</t>
  </si>
  <si>
    <t>Tie to OPR: SAAS</t>
  </si>
  <si>
    <t>Tie to OPR: AP Write Offs/PPVs/RTVs</t>
  </si>
  <si>
    <t>Federal USAF/USSF</t>
  </si>
  <si>
    <t>Issue: Ops Correction Needed - Line Type</t>
  </si>
  <si>
    <t>Issue: Recvue AR Correction Needed</t>
  </si>
  <si>
    <t>-</t>
  </si>
  <si>
    <t>Federal Defense Agencies</t>
  </si>
  <si>
    <t>Federal DISA/DA</t>
  </si>
  <si>
    <t>SLED Pacific Northwest</t>
  </si>
  <si>
    <t>Offsets</t>
  </si>
  <si>
    <t>To be worked in APR-24</t>
  </si>
  <si>
    <t>Action item for APR-24</t>
  </si>
  <si>
    <t>Mutli JE's</t>
  </si>
  <si>
    <t>Aging Bucket</t>
  </si>
  <si>
    <t>CA Manager Comments</t>
  </si>
  <si>
    <t>Cost Accountant Comments</t>
  </si>
  <si>
    <t>Analyst</t>
  </si>
  <si>
    <t>P And L Name Curr</t>
  </si>
  <si>
    <t>Je Batch Name</t>
  </si>
  <si>
    <t>Je Name</t>
  </si>
  <si>
    <t>Je Reason Code</t>
  </si>
  <si>
    <t>Gl Period Name</t>
  </si>
  <si>
    <t>Entered Amount</t>
  </si>
  <si>
    <t>Functional Amount</t>
  </si>
  <si>
    <t>Global Amount</t>
  </si>
  <si>
    <t>Currency Code Entered</t>
  </si>
  <si>
    <t>Currency Code Functional</t>
  </si>
  <si>
    <t>Description Header</t>
  </si>
  <si>
    <t>Description Line</t>
  </si>
  <si>
    <t>Company Name Curr</t>
  </si>
  <si>
    <t>Financial Program Curr</t>
  </si>
  <si>
    <t>Sub Program Curr</t>
  </si>
  <si>
    <t>P And L Rollup Curr</t>
  </si>
  <si>
    <t>Concatenated Segments</t>
  </si>
  <si>
    <t>Company Code</t>
  </si>
  <si>
    <t>P And L Code</t>
  </si>
  <si>
    <t>Account Code</t>
  </si>
  <si>
    <t>Cost Cntr Code</t>
  </si>
  <si>
    <t>Gl Location Code</t>
  </si>
  <si>
    <t>Gl Intercompany Code</t>
  </si>
  <si>
    <t>Future1 Code</t>
  </si>
  <si>
    <t>Future2 Code</t>
  </si>
  <si>
    <t>Account Name Curr</t>
  </si>
  <si>
    <t>WWT Po Number</t>
  </si>
  <si>
    <t>WWT Po Description</t>
  </si>
  <si>
    <t>WWT Source</t>
  </si>
  <si>
    <t>Transaction Date</t>
  </si>
  <si>
    <t>Transaction Number</t>
  </si>
  <si>
    <t>Je Effective Date</t>
  </si>
  <si>
    <t>Je Source</t>
  </si>
  <si>
    <t>Ledger Name</t>
  </si>
  <si>
    <t>Streamline PO GDIT-33088 General Dynamics Information Tech - Releasing 2026 &amp; 2027</t>
  </si>
  <si>
    <t>Fienup, Mary Frances</t>
  </si>
  <si>
    <t>TJM-110424-11 Streamline PO GDIT-33088 General Dynamics Information Tech Reverse Year 422 22800007 N</t>
  </si>
  <si>
    <t>TJM-110424-11 Streamline PO GDIT-33088 General Dynamics Information Tech Reverse Year 5 2027 225358</t>
  </si>
  <si>
    <t>Oct-24</t>
  </si>
  <si>
    <t>USD</t>
  </si>
  <si>
    <t>Streamlining PO GDIT-33088 WWTNCSAAS1270 - Cisco credit 6101578249 given in year 1 and year 2 streamlining over the 5 year deal</t>
  </si>
  <si>
    <t>Journal Import Created</t>
  </si>
  <si>
    <t>World Wide Technology, LLC (WWT)</t>
  </si>
  <si>
    <t>Public Sector</t>
  </si>
  <si>
    <t>Federal</t>
  </si>
  <si>
    <t>Federal IC</t>
  </si>
  <si>
    <t>101.12012.245011.9999.999.999.9999.9999</t>
  </si>
  <si>
    <t>CLOUD</t>
  </si>
  <si>
    <t>EBS OPR</t>
  </si>
  <si>
    <t>WWT US Ledger</t>
  </si>
  <si>
    <t>Streamline PO Y25AMW0050 UNC at Chapel Hill Reverse - Releasing 2026 &amp; 2027</t>
  </si>
  <si>
    <t>Simms, Amanda</t>
  </si>
  <si>
    <t>TJM-110524-5 Streamline PO Y25AMW0050 UNC at Chapel Hill Reverse Year 4 2027 05-NOV-2024  22800004 N</t>
  </si>
  <si>
    <t>TJM-110524-5 Streamline PO Y25AMW0050 UNC at Chapel Hill Reverse Year 4 2027 OPR Adjustments</t>
  </si>
  <si>
    <t>Streamline PO Y25AMW0050 UNC at Chapel Hill Reverse Year 4 2027</t>
  </si>
  <si>
    <t>SLED</t>
  </si>
  <si>
    <t>SLED East</t>
  </si>
  <si>
    <t>101.13008.245011.9999.999.999.9999.9999</t>
  </si>
  <si>
    <t>TJM-110524-4 Streamline PO Y25AMW0050 UNC at Chapel Hill Reverse Year 3 2026 05-NOV-2024  22800004 N</t>
  </si>
  <si>
    <t>TJM-110524-4 Streamline PO Y25AMW0050 UNC at Chapel Hill Reverse Year 3 2026 OPR Adjustments</t>
  </si>
  <si>
    <t>Streamline PO Y25AMW0050 UNC at Chapel Hill Reverse Year 3 2026</t>
  </si>
  <si>
    <t>Correcting or taking hit by Sep-26 - Deferred SO 11858312 PO 19537991-0-CAP out of Dec - working with team to address missing cost</t>
  </si>
  <si>
    <t>TJM-010725-8 Defer SO 11858312 PO 19537991-0-CAP out of Dec-24 07-JAN-2025 12:59:48 EBS O 23865721 N</t>
  </si>
  <si>
    <t>TJM-010725-8 Defer SO 11858312 PO 19537991-0-CAP out of Dec-24 OPR Adjustments</t>
  </si>
  <si>
    <t>Dec-24</t>
  </si>
  <si>
    <t>Defer SO 11858312 PO 19537991-0-CAP out of Dec-24</t>
  </si>
  <si>
    <t>SLED West</t>
  </si>
  <si>
    <t>101.13016.245011.9999.999.999.9999.9999</t>
  </si>
  <si>
    <t>Reviewing with Stephanie - related to SEWP Fees - Deferred AP invoice - researching</t>
  </si>
  <si>
    <t>Maggi, Brandon</t>
  </si>
  <si>
    <t>TJM-020625-3 Deferring AP Invoice out of Jan-25 Spreadsheet A 300000305300838 24387210 N</t>
  </si>
  <si>
    <t>TJM-020625-3 Deferring AP Invoice out of Jan-25 Adjustment</t>
  </si>
  <si>
    <t>Jan-25</t>
  </si>
  <si>
    <t>Deferring AP Invoice out of Jan-25</t>
  </si>
  <si>
    <t>Federal Department of Defense</t>
  </si>
  <si>
    <t>101.11002.245011.9999.999.999.9999.9999</t>
  </si>
  <si>
    <t>Spreadsheet</t>
  </si>
  <si>
    <t>Reviewing with Stephanie - Deferring AP Invoices Coded to Incorrect Account</t>
  </si>
  <si>
    <t>TJM-040425-9 Deferring AP Invoices Coded to Incorrect Account Spreadsheet A 3000003053008 25423574 N</t>
  </si>
  <si>
    <t>TJM-040425-9 Deferring AP Invoices Coded to Incorrect Account Adjustment</t>
  </si>
  <si>
    <t>Mar-25</t>
  </si>
  <si>
    <t>Deferring AP Invoices Coded to Incorrect Account X05635750101CMRECLASS</t>
  </si>
  <si>
    <t>101.11004.245011.9999.999.999.9999.9999</t>
  </si>
  <si>
    <t>P010282017</t>
  </si>
  <si>
    <t>TJM-060525-16 Deferring AP Invoice out of May-25</t>
  </si>
  <si>
    <t>May-25</t>
  </si>
  <si>
    <t>Deferring AP Invoice out of May-25</t>
  </si>
  <si>
    <t>101.11002.245011.9999.950.999.9999.9999</t>
  </si>
  <si>
    <t>HC108421F0175</t>
  </si>
  <si>
    <t>Manual</t>
  </si>
  <si>
    <t xml:space="preserve">Deferred billing for Flywheel </t>
  </si>
  <si>
    <t>TJM-090525-2 Deferring SO 12262718 On Hold out of Aug-25 Spreadsheet A 300000305300838 28187533 N</t>
  </si>
  <si>
    <t>TJM-090525-2 Deferring SO 12262718 On Hold out of Aug-25 Adjustment</t>
  </si>
  <si>
    <t>Aug-25</t>
  </si>
  <si>
    <t>Deferring SO 12262718 On Hold out of Aug-25</t>
  </si>
  <si>
    <t>101.12012.245011.9999.950.999.9999.9999</t>
  </si>
  <si>
    <t>GDIT-70665</t>
  </si>
  <si>
    <t>TJM-100625-4 Defer SO 11730740 Credit Memo out of Sep-25 Spreadsheet A 300000305300838 28776038 N</t>
  </si>
  <si>
    <t>TJM-100625-4 Defer SO 11730740 Credit Memo out of Sep-25 Adjustment</t>
  </si>
  <si>
    <t>Sep-25</t>
  </si>
  <si>
    <t>Defer SO 11730740 Credit Memo out of Sep-25</t>
  </si>
  <si>
    <t>PK803151159C1</t>
  </si>
  <si>
    <t>Reviewing with Stephanie - Deferred SEWP invoice out of Sep-25</t>
  </si>
  <si>
    <t>TJM-100625-9 Defer SEWP Invoice 7680755 out of Sep-25 Spreadsheet A 300000305300838 28779212 N</t>
  </si>
  <si>
    <t>TJM-100625-9 Defer SEWP Invoice 7680755 out of Sep-25 Adjustment</t>
  </si>
  <si>
    <t>Defer SEWP Invoice 7680755 out of Sep-25</t>
  </si>
  <si>
    <t>101.11003.245011.9999.950.999.9999.9999</t>
  </si>
  <si>
    <t>TJM-110625-7 Defer SO 11730740 Credit Memo out of Oct-25 Spreadsheet A 300000305300838 29368027 N</t>
  </si>
  <si>
    <t>TJM-110625-7 Defer SO 11730740 Credit Memo out of Oct-25 Adjustment</t>
  </si>
  <si>
    <t>Oct-25</t>
  </si>
  <si>
    <t>Defer SO 11730740 Credit Memo out of Oct-25</t>
  </si>
  <si>
    <t>TJM-120325-24 Defer SO 11730740 Credit Memo out of Nov-25</t>
  </si>
  <si>
    <t>Nov-25</t>
  </si>
  <si>
    <t>Defer SO 11730740 Credit Memo out of Nov-25</t>
  </si>
  <si>
    <t>TJM-020426-12 Defer SO 11730740 Credit Memo out of Jan-26 Spreadsheet A 300000305300838 30869922 N</t>
  </si>
  <si>
    <t>TJM-020426-12 Defer SO 11730740 Credit Memo out of Jan-26 Adjustment</t>
  </si>
  <si>
    <t>Jan-26</t>
  </si>
  <si>
    <t>Defer SO 11730740 Credit Memo out of Jan-26</t>
  </si>
  <si>
    <t>TJM-030426-13 Defer SO 11730740 Credit Memo out of Feb-26 Spreadsheet A 300000305300838 31338556 N</t>
  </si>
  <si>
    <t>TJM-030426-13 Defer SO 11730740 Credit Memo out of Feb-26 Adjustment</t>
  </si>
  <si>
    <t>Feb-26</t>
  </si>
  <si>
    <t>Defer SO 11730740 Credit Memo out of Feb-26</t>
  </si>
  <si>
    <t>Prelim Hit SO 12661094</t>
  </si>
  <si>
    <t>TJM-040326-7 Deferring SO 12661094 On Hold out of Mar-26 Spreadsheet A 300000305300838 31820664 N</t>
  </si>
  <si>
    <t>TJM-040326-7 Deferring SO 12661094 On Hold out of Mar-26 Adjustment</t>
  </si>
  <si>
    <t>Mar-26</t>
  </si>
  <si>
    <t>Deferring SO 12661094 On Hold out of Mar-26</t>
  </si>
  <si>
    <t>Federal Civilian</t>
  </si>
  <si>
    <t>101.12014.245011.9999.950.999.9999.9999</t>
  </si>
  <si>
    <t>00126064</t>
  </si>
  <si>
    <t>TJM-040326-5 Defer SO 11730740 Credit Memo out of Mar-26 Spreadsheet A 300000305300838 31820664 N</t>
  </si>
  <si>
    <t>TJM-040326-5 Defer SO 11730740 Credit Memo out of Mar-26 Adjustment</t>
  </si>
  <si>
    <t>Defer SO 11730740 Credit Memo out of Mar-26</t>
  </si>
  <si>
    <t>Deferred RTVs out of Mar-26 - not a true pickup</t>
  </si>
  <si>
    <t>TJM-040626-2 Defer RTVs out of Mar-26 Spreadsheet A 300000305300838 31864378 N</t>
  </si>
  <si>
    <t>TJM-040626-2 Defer RTVs out of Mar-26 Adjustment</t>
  </si>
  <si>
    <t>Defer RTVs out of Mar-26</t>
  </si>
  <si>
    <t>101.13018.245011.9999.950.999.9999.9999</t>
  </si>
  <si>
    <t>Sent follow up 6/12 RE: [EXTERNAL] RE: WWTCLOUD319 - Team is working 4/13 - high margin, followed up 4/2 and 4/13</t>
  </si>
  <si>
    <t>TJM-040626-3 Defer SO WWTCLOUD319 out of Mar-26 103855 Recvue A 191417 457958806 EBS Recv 31865984 N</t>
  </si>
  <si>
    <t>TJM-040626-3 Defer SO WWTCLOUD319 out of Mar-26 103855 OPR Adjustment USD User 1 OPR Adjustments</t>
  </si>
  <si>
    <t>Defer SO WWTCLOUD319 out of Mar-26</t>
  </si>
  <si>
    <t>101.12015.245011.9999.999.999.9999.9999</t>
  </si>
  <si>
    <t>EBS Recvue</t>
  </si>
  <si>
    <t>Accrued Direct Pay into Mar-26</t>
  </si>
  <si>
    <t>TJM-032526-1 Accrue Direct Pay into Mar-26 25-MAR-2026 11:56:25 EBS OPR A 55763866 31749897 N</t>
  </si>
  <si>
    <t>TJM-032526-1 Accrue Direct Pay into Mar-26 OPR Adjustments</t>
  </si>
  <si>
    <t>Accrue Direct Pay into Mar-26 - PO DO1 056 20262009002</t>
  </si>
  <si>
    <t>101.13018.245011.9999.999.999.9999.9999</t>
  </si>
  <si>
    <t>Should be reversed Aug-26</t>
  </si>
  <si>
    <t>TJM-050626-11 - Accrue GL Cost into Apr-26 for Duplicate Invoice 5512954251SS11a Spreadsh 32355542 N</t>
  </si>
  <si>
    <t>TJM-050626-11 - Accrue GL Cost into Apr-26 for Duplicate Invoice 5512954251SS11a Adjustment</t>
  </si>
  <si>
    <t>Apr-26</t>
  </si>
  <si>
    <t>Accrue GL Cost into Apr-26 for Duplicate Invoice 5512954251SS11a</t>
  </si>
  <si>
    <t>101.12025.245011.9999.999.999.9999.9999</t>
  </si>
  <si>
    <t>Followed up with Todd 6/12 - Deferred AP Invoice out of Apr-26 - researching May-26</t>
  </si>
  <si>
    <t>TJM-050626-7 Defer AP Invoice 6105680420reclass out of Apr-26 Spreadsheet A 3000003053008 32353866 N</t>
  </si>
  <si>
    <t>TJM-050626-7 Defer AP Invoice 6105680420reclass out of Apr-26 Adjustment</t>
  </si>
  <si>
    <t>Defer AP Invoice 6105680420reclass out of Apr-26</t>
  </si>
  <si>
    <t>101.13014.245011.9999.999.999.9999.9999</t>
  </si>
  <si>
    <t>20252000931</t>
  </si>
  <si>
    <t>Prelim SO 12739694 to hit Aug-26</t>
  </si>
  <si>
    <t>TJM-050626-6 Defer Prelim SO 12739694 on Hold out of Apr-26 Spreadsheet A 300000305300838 32353866 N</t>
  </si>
  <si>
    <t>TJM-050626-6 Defer Prelim SO 12739694 on Hold out of Apr-26 Adjustment</t>
  </si>
  <si>
    <t>Defer Prelim SO 12739694 on Hold out of Apr-26</t>
  </si>
  <si>
    <t>101.11010.245011.9999.204.999.9999.9999</t>
  </si>
  <si>
    <t>56846-R1</t>
  </si>
  <si>
    <t>TJM-050626-1 Defer SO 11730740 Credit Memo out of Apr-26 Spreadsheet A 300000305300838 32353866 N</t>
  </si>
  <si>
    <t>TJM-050626-1 Defer SO 11730740 Credit Memo out of Apr-26 Adjustment</t>
  </si>
  <si>
    <t>Defer SO 11730740 Credit Memo out of Apr-26</t>
  </si>
  <si>
    <t>Accrued Finders Fee into Apr-26</t>
  </si>
  <si>
    <t>TJM-050526-15 Accrue Finders Fee into Apr-26 154806 Spreadsheet A 192137 460043838 EBS OP 32355375 N</t>
  </si>
  <si>
    <t>TJM-050526-15 Accrue Finders Fee into Apr-26 154806 OPR Adjustment USD User 1 OPR Adjustments</t>
  </si>
  <si>
    <t>Accrue Finders Fee into Apr-26</t>
  </si>
  <si>
    <t>TJM-050526-17 Accrue Finders Fee into Apr-26 154607 Spreadsheet A 192085 460043692 EBS OP 32355865 N</t>
  </si>
  <si>
    <t>TJM-050526-17 Accrue Finders Fee into Apr-26 154607 OPR Adjustment USD User 1 OPR Adjustments</t>
  </si>
  <si>
    <t>101.11003.245011.9999.999.999.9999.9999</t>
  </si>
  <si>
    <t>Accrued Finders Fee into May-26</t>
  </si>
  <si>
    <t>TJM-060126-9 Accrue Finders Fee into May-26 163542 Spreadsheet A 192775 461988008 EBS OPR 32771818 N</t>
  </si>
  <si>
    <t>TJM-060126-9 Accrue Finders Fee into May-26 163542 OPR Adjustment USD User 1 OPR Adjustments</t>
  </si>
  <si>
    <t>May-26</t>
  </si>
  <si>
    <t>Accrue Finders Fee into May-26</t>
  </si>
  <si>
    <t>TJM-060126-8 Accrue Finders Fee into May-26 163530 Spreadsheet A 192774 461987990 EBS OPR 32771818 N</t>
  </si>
  <si>
    <t>TJM-060126-8 Accrue Finders Fee into May-26 163530 OPR Adjustment USD User 1 OPR Adjustments</t>
  </si>
  <si>
    <t>Army GEMSS Billing Adjustment</t>
  </si>
  <si>
    <t>TJM-070626-22 Sales Channel Reclass 202631 Recvue A 194096 464639836 EBS Recvue A 6246783 33362286 N</t>
  </si>
  <si>
    <t>TJM-070626-22 Sales Channel Reclass 202631 OPR Adjustment USD User 1 OPR Adjustments</t>
  </si>
  <si>
    <t>Jun-26</t>
  </si>
  <si>
    <t>Sales Channel Reclass</t>
  </si>
  <si>
    <t>Prelim SO 12766704 to hit Aug-26</t>
  </si>
  <si>
    <t>SJD-070126-2 Prelim to hit AUG-26 Spreadsheet A 300000031721478 33271988 N</t>
  </si>
  <si>
    <t>SJD-070126-2 Prelim to hit AUG-26 Adjustment</t>
  </si>
  <si>
    <t>Defer SO 12766704 (Prelim to hit AUG-26)</t>
  </si>
  <si>
    <t>101.12013.245011.9999.950.999.9999.9999</t>
  </si>
  <si>
    <t>R-01003721</t>
  </si>
  <si>
    <t>Team working to resolve in Aug-26 - Deferred non-recvue portion of PO 268576 out of Apr-26 - missing revenue - researching w/ Amanda</t>
  </si>
  <si>
    <t>TJM-070626-6 Defer PO 268576 out of Jun-26 130943 Spreadsheet A 194020 464611423 EBS OPR  33358818 N</t>
  </si>
  <si>
    <t>TJM-070626-6 Defer PO 268576 out of Jun-26 130943 OPR Adjustment USD User 1 OPR Adjustments</t>
  </si>
  <si>
    <t>Defer PO 268576 out of Jun-26</t>
  </si>
  <si>
    <t>101.13001.245011.9999.999.999.9999.9999</t>
  </si>
  <si>
    <t>Deferred Navy GEMSS Billing</t>
  </si>
  <si>
    <t>TJM-070726-6 Accruing GEMS Navy Cost into June-26 124604 Recvue A 194112 464709445 EBS Re 33373215 N</t>
  </si>
  <si>
    <t>TJM-070726-6 Accruing GEMS Navy Cost into June-26 124604 OPR Adjustment USD User 1 OPR Adjustments</t>
  </si>
  <si>
    <t>Accruing GEMS Navy Cost into June-26</t>
  </si>
  <si>
    <t>101.11023.245011.9999.999.999.9999.9999</t>
  </si>
  <si>
    <t>TJM-070726-5 Accruing GEMS Army Cost into June-26 124554 Recvue A 194111 464709435 EBS Re 33373215 N</t>
  </si>
  <si>
    <t>TJM-070726-5 Accruing GEMS Army Cost into June-26 124554 OPR Adjustment USD User 1 OPR Adjustments</t>
  </si>
  <si>
    <t>Accruing GEMS Army Cost into June-26</t>
  </si>
  <si>
    <t>Sent email to team 7/10 - unsure if this is a true benefit</t>
  </si>
  <si>
    <t>TJM-070726-2 Defer UCLA Cost Credit out of June-26 - Research Needed 111115 Spreadshe 464 33371009 N</t>
  </si>
  <si>
    <t>TJM-070726-2 Defer UCLA Cost Credit out of June-26 - Research Needed 111115 OPR Adjustment USD User</t>
  </si>
  <si>
    <t>Defer UCLA Cost Credit out of June-26 - Research Needed</t>
  </si>
  <si>
    <t>Deferring SOs on Hold out of Jul-26</t>
  </si>
  <si>
    <t>TJM-080526-16 Deferring SOs on Hold out of Jul-26 Spreadsheet A 300000305300838 33929393 N</t>
  </si>
  <si>
    <t>TJM-080526-16 Deferring SOs on Hold out of Jul-26 Adjustment</t>
  </si>
  <si>
    <t>Jul-26</t>
  </si>
  <si>
    <t>R-01025599</t>
  </si>
  <si>
    <t>TJM-080526-18 Defer Excess Army GEMSS Invoices out of Jul-26 Spreadsheet A 30000030530083 33929995 N</t>
  </si>
  <si>
    <t>TJM-080526-18 Defer Excess Army GEMSS Invoices out of Jul-26 Adjustment</t>
  </si>
  <si>
    <t>Defer Excess Army GEMSS Invoices out of Jul-26</t>
  </si>
  <si>
    <t>TJM-080526-11 Prelim Hit SO 12661094 134651 Spreadsheet A 194905 467018683 EBS OPR A 2711 33929744 N</t>
  </si>
  <si>
    <t>TJM-080526-11 Prelim Hit SO 12661094 134651 OPR Adjustment USD User 1 OPR Adjustments</t>
  </si>
  <si>
    <t>101.12014.245011.9999.999.999.9999.9999</t>
  </si>
  <si>
    <t>Sent email 8/11 - Defer SO WWTCLOUD331 out of Jul-26</t>
  </si>
  <si>
    <t>TJM-080526-2 Defer SO WWTCLOUD331 out of Jul-26 103825 Recvue A 194912 467003361 EBS Recv 33929739 N</t>
  </si>
  <si>
    <t>TJM-080526-2 Defer SO WWTCLOUD331 out of Jul-26 103825 OPR Adj EBS AutoRev USD User 1 OPR Adj EBS A</t>
  </si>
  <si>
    <t>Defer SO WWTCLOUD331 out of Jul-26</t>
  </si>
  <si>
    <t>SMS-071626-02 Release partial TJM-070726-5 133130 Recvue A 194322 465450556 EBS Recvue A  33547970 N</t>
  </si>
  <si>
    <t>SMS-071626-02 Release partial TJM-070726-5 133130 OPR Adjustment USD User 1 OPR Adjustments</t>
  </si>
  <si>
    <t>Release partial TJM-070726-5</t>
  </si>
  <si>
    <t>SMS-071726-01 Release partial TJM-070726-5 Spreadsheet A 300000276500728 33537921 N</t>
  </si>
  <si>
    <t>SMS-071726-01 Release partial TJM-070726-5 Adjustment</t>
  </si>
  <si>
    <t>Accrue Cisco Credit into Jul-26</t>
  </si>
  <si>
    <t>TJM-080626-8 Accrue Cisco Credit into Jul-26 104147 Spreadsheet A 195016 467093685 EBS OP 33950343 N</t>
  </si>
  <si>
    <t>TJM-080626-8 Accrue Cisco Credit into Jul-26 104147 OPR Adjustment USD User 1 OPR Adjustments</t>
  </si>
  <si>
    <t>101.13006.245011.9999.999.999.9999.9999</t>
  </si>
  <si>
    <t>Reversing Aug-26 - Accrue Buy Down - City of Phoenix</t>
  </si>
  <si>
    <t>TJM-080626-14 Accrue Buy Down - City of Phoenix 131836 Spreadsheet A 195051 467106395 EBS 33952496 N</t>
  </si>
  <si>
    <t>TJM-080626-14 Accrue Buy Down - City of Phoenix 131836 OPR Adjustment USD User 1 OPR Adjustments</t>
  </si>
  <si>
    <t>Accrue Buy Down - City of Phoenix</t>
  </si>
  <si>
    <t>101.13004.245011.9999.999.999.9999.9999</t>
  </si>
  <si>
    <t>Average Cost Correction 12909281</t>
  </si>
  <si>
    <t>TJM-080526-21 Average Cost Correction 12909281 05-AUG-2026 16:31:38 EBS OPR A 2720895 33935546 N</t>
  </si>
  <si>
    <t>TJM-080526-21 Average Cost Correction 12909281 OPR Adjustments</t>
  </si>
  <si>
    <t>TJM-080526-19 Defer Excess Navy GEMSS Cost out of Jul-26 162306 Recvue A 194974 467030034 33935595 N</t>
  </si>
  <si>
    <t>TJM-080526-19 Defer Excess Navy GEMSS Cost out of Jul-26 162306 OPR Adjustment USD User 1 OPR Adjus</t>
  </si>
  <si>
    <t>Defer Excess Navy GEMSS Cost out of Jul-26</t>
  </si>
  <si>
    <t>CMG-120622-3 Accrue Nov-22 Portion of Yearly VA EA Invoice PO 3633043 06-DEC-2022 10:21:1 10913179 N</t>
  </si>
  <si>
    <t>CMG-120622-3 Accrue Nov-22 Portion of Yearly VA EA Invoice PO 3633043 OPR Adjustments</t>
  </si>
  <si>
    <t>Nov-22</t>
  </si>
  <si>
    <t>Accrue Nov-22 Portion of Yearly VA EA Invoice PO 3633043</t>
  </si>
  <si>
    <t>101.11010.245011.9999.999.999.9999.9999</t>
  </si>
  <si>
    <t>CMG-120622-4 Accrue Oct-22 Portion of Yearly VA EA Invoice PO 3633043 06-DEC-2022 10:22:5 10913179 N</t>
  </si>
  <si>
    <t>CMG-120622-4 Accrue Oct-22 Portion of Yearly VA EA Invoice PO 3633043 OPR Adjustments</t>
  </si>
  <si>
    <t>Accrue Oct-22 Portion of Yearly VA EA Invoice PO 3633043</t>
  </si>
  <si>
    <t>CMG-010523-10 Accrue Dec-22 Portion of Yearly VA EA Invoice PO 3633043 06-JAN-2023 12:29: 11409092 N</t>
  </si>
  <si>
    <t>CMG-010523-10 Accrue Dec-22 Portion of Yearly VA EA Invoice PO 3633043 OPR Adjustments</t>
  </si>
  <si>
    <t>Dec-22</t>
  </si>
  <si>
    <t>Accrue Dec-22 Portion of Yearly VA EA Invoice PO 3633043</t>
  </si>
  <si>
    <t>CDW-020323-15 Accrue Jan-23 Portion of Yearly VA EA Invoice PO 3633043 03-FEB-2023 15:30: 11896705 N</t>
  </si>
  <si>
    <t>CDW-020323-15 Accrue Jan-23 Portion of Yearly VA EA Invoice PO 3633043 OPR Adjustments</t>
  </si>
  <si>
    <t>Accrual: Program Specific Margin Accrual</t>
  </si>
  <si>
    <t>Jan-23</t>
  </si>
  <si>
    <t>Accrue Jan-23 Portion of Yearly VA EA Invoice PO 3633043</t>
  </si>
  <si>
    <t>CDW-020623-3 Accrue VA EA Jan-23 AP Invoices 06-FEB-2023 08:57:24 EBS OPR A 2417086 11898421 N</t>
  </si>
  <si>
    <t>CDW-020623-3 Accrue VA EA Jan-23 AP Invoices OPR Adjustments</t>
  </si>
  <si>
    <t>CDW-020623-3 Accrue VA EA Jan-23 AP Invoices</t>
  </si>
  <si>
    <t>Reverses ""CMG-120622-3 Accrue Nov-22 Portion of Yearly VA EA""27-FEB-23 16:49:57 - 3778448 12237262 N</t>
  </si>
  <si>
    <t>Reverses ""CMG-120622-3 Accrue Nov-22 Portion of Yearly VA EA Invoice PO 363304327-FEB-2023 16:49:57</t>
  </si>
  <si>
    <t>Feb-23</t>
  </si>
  <si>
    <t>Reverses CMG-120622-3 Accrue Nov-22 Portion of Yearly VA EA Invoice PO 3633043 journal entry of CMG-120622-3 Accrue Nov-22 Portion of Yearly VA EA Invoice PO 3633043 06-DEC-2022 10:21:16 batch from NOV-22.</t>
  </si>
  <si>
    <t>Reverses ""CDW-020623-3 Accrue VA EA Jan-23 AP Invoices""27-FEB-23 16:51:47 - 377844998 EBS 12237262 N</t>
  </si>
  <si>
    <t>Reverses ""CDW-020623-3 Accrue VA EA Jan-23 AP Invoices""27-FEB-2023 16:51:47 OPR Adjustments</t>
  </si>
  <si>
    <t>Reverses CDW-020623-3 Accrue VA EA Jan-23 AP Invoices journal entry of CDW-020623-3 Accrue VA EA Jan-23 AP Invoices 06-FEB-2023 08:57:24 batch from JAN-23.</t>
  </si>
  <si>
    <t>Reverses ""CMG-010523-10 Accrue Dec-22 Portion of Yearly VA E""27-FEB-23 16:50:56 - 3778449 12237262 N</t>
  </si>
  <si>
    <t>Reverses ""CMG-010523-10 Accrue Dec-22 Portion of Yearly VA EA Invoice PO 36330427-FEB-2023 16:50:56</t>
  </si>
  <si>
    <t>Reverses CMG-010523-10 Accrue Dec-22 Portion of Yearly VA EA Invoice PO 3633043 journal entry of CMG-010523-10 Accrue Dec-22 Portion of Yearly VA EA Invoice PO 3633043 06-JAN-2023 12:29:30 batch from DEC-22.</t>
  </si>
  <si>
    <t>Reverses ""CDW-020323-15 Accrue Jan-23 Portion of Yearly VA E""27-FEB-23 16:51:16 - 3778449 12237262 N</t>
  </si>
  <si>
    <t>Reverses ""CDW-020323-15 Accrue Jan-23 Portion of Yearly VA EA Invoice PO 36330427-FEB-2023 16:51:16</t>
  </si>
  <si>
    <t>Reverses CDW-020323-15 Accrue Jan-23 Portion of Yearly VA EA Invoice PO 3633043 journal entry of CDW-020323-15 Accrue Jan-23 Portion of Yearly VA EA Invoice PO 3633043 03-FEB-2023 15:30:36 batch from JAN-23.</t>
  </si>
  <si>
    <t>Reverses ""CMG-120622-4 Accrue Oct-22 Portion of Yearly VA EA""27-FEB-23 16:50:27 - 3778449 12237262 N</t>
  </si>
  <si>
    <t>Reverses ""CMG-120622-4 Accrue Oct-22 Portion of Yearly VA EA Invoice PO 363304327-FEB-2023 16:50:27</t>
  </si>
  <si>
    <t>Reverses CMG-120622-4 Accrue Oct-22 Portion of Yearly VA EA Invoice PO 3633043 journal entry of CMG-120622-4 Accrue Oct-22 Portion of Yearly VA EA Invoice PO 3633043 06-DEC-2022 10:22:58 batch from NOV-22.</t>
  </si>
  <si>
    <t>151-180</t>
  </si>
  <si>
    <t>CDW-100522-7 SO 10094921 on hold Federal VA - Dick</t>
  </si>
  <si>
    <t>Sep-22</t>
  </si>
  <si>
    <t>SO 10094921 on hold Federal VA - Dick</t>
  </si>
  <si>
    <t>101.11010.245011.9999.950.999.9999.9999</t>
  </si>
  <si>
    <t>106360-1</t>
  </si>
  <si>
    <t>Reverses CDW-100522-7 SO 10094921 on hold Federal VA - Dick 03-03-23 15:44:35 12311216</t>
  </si>
  <si>
    <t>Reverses CDW-100522-7 SO 10094921 on hold Federal VA - Dick 03-03-23 15:44:36</t>
  </si>
  <si>
    <t>Reverses journal CDW-100522-7 SO 10094921 on hold Federal VA - Dick of journal batch CDW-100522-7 SO 10094921 on hold Federal VA - Dick from period Sep-22.</t>
  </si>
  <si>
    <t>CDW-110122-25 Order on hold 10094921</t>
  </si>
  <si>
    <t>Oct-22</t>
  </si>
  <si>
    <t>Order on hold 10094921</t>
  </si>
  <si>
    <t>Reverses CDW-110122-25 Order on hold 10094921 03-03-23 15:47:04 12311236</t>
  </si>
  <si>
    <t>Reverses CDW-110122-25 Order on hold 10094921 03-03-23 15:47:05</t>
  </si>
  <si>
    <t>Reverses journal CDW-110122-25 Order on hold 10094921 of journal batch CDW-110122-25 Order on hold 10094921 from period Oct-22.</t>
  </si>
  <si>
    <t>JMM-120222-26 Postal Order 172443 Spreadsheet A 150498 371374842 EBS OPR A 747693 10902181 N</t>
  </si>
  <si>
    <t>JMM-120522-26 Postal Order 172443 OPR Adjustment USD User 1 OPR Adjustments</t>
  </si>
  <si>
    <t>Deferring GP until PO 1CDATA-21-C-0075 closes</t>
  </si>
  <si>
    <t>101.11016.245011.9999.999.999.9999.9999</t>
  </si>
  <si>
    <t>Reverses ""JMM-120522-26 Postal Order 172443 OPR Adjustment U""21-FEB-23 16:03:11 - 3773807 12156923 N</t>
  </si>
  <si>
    <t>Reverses ""JMM-120522-26 Postal Order 172443 OPR Adjustment USD User 1""21-FEB-2023 16:03:11 OPR Adju</t>
  </si>
  <si>
    <t>Reverses JMM-120522-26 Postal Order 172443 OPR Adjustment USD User 1 journal entry of JMM-120222-26 Postal Order 172443 Spreadsheet A 150498 371374842 batch from NOV-22.</t>
  </si>
  <si>
    <t>CDW-020623-12 Accrue RecVue SAAS Cost 06-FEB-2023 15:06:13 EBS OPR A 2419405 11901030 N</t>
  </si>
  <si>
    <t>CDW-020623-12 Accrue RecVue SAAS Cost OPR Adjustments</t>
  </si>
  <si>
    <t>Accrue RecVue SAAS Cost</t>
  </si>
  <si>
    <t>101.12022.245011.9999.999.999.9999.9999</t>
  </si>
  <si>
    <t>Reverses ""CDW-020623-12 Accrue RecVue SAAS Cost""06-MAR-23 14:07:13 - 378383974 EBS OPR A  12362749 N</t>
  </si>
  <si>
    <t>Reverses ""CDW-020623-12 Accrue RecVue SAAS Cost""06-MAR-2023 14:07:13 OPR Adjustments</t>
  </si>
  <si>
    <t>Reverses CDW-020623-12 Accrue RecVue SAAS Cost journal entry of CDW-020623-12 Accrue RecVue SAAS Cost 06-FEB-2023 15:06:13 batch from JAN-23.</t>
  </si>
  <si>
    <t>241-270</t>
  </si>
  <si>
    <t>CMG-070622-12 Defer Replacement Cost Pending Cisco Credit 06-JUL-2022 21:16:01 EBS OPR A 1 8686094 N</t>
  </si>
  <si>
    <t>CMG-070622-12 Defer Replacement Cost Pending Cisco Credit OPR Adjustments</t>
  </si>
  <si>
    <t>Jun-22</t>
  </si>
  <si>
    <t>https://quote-system.apps.wwt.com/#/quotes/6071628/versions/2/detail</t>
  </si>
  <si>
    <t>Reverses ""CMG-070622-12 Defer Replacement Cost Pending Cisco""03-MAR-23 16:47:16 - 3781943 12353576 N</t>
  </si>
  <si>
    <t>Reverses ""CMG-070622-12 Defer Replacement Cost Pending Cisco Credit""03-MAR-2023 16:47:16 OPR Adjust</t>
  </si>
  <si>
    <t>Reverses CMG-070622-12 Defer Replacement Cost Pending Cisco Credit journal entry of CMG-070622-12 Defer Replacement Cost Pending Cisco Credit 06-JUL-2022 21:16:01 batch from JUN-22.</t>
  </si>
  <si>
    <t>181-210</t>
  </si>
  <si>
    <t>Reverses BDM-031522-1 17-08-22 15:04:15 9168774</t>
  </si>
  <si>
    <t>Reverses BDM-031522-1 17-08-22 15:04:16</t>
  </si>
  <si>
    <t>Aug-22</t>
  </si>
  <si>
    <t>Reverses journal BDM-031522-1 of journal batch BDM-031522-1 15-MAR-2022 09:28:40 from period Mar-22.</t>
  </si>
  <si>
    <t>Reverses ""BDM-120621-4""04-MAR-23 08:32:41 - 378238061 EBS OPR A 3165371 12353576 N</t>
  </si>
  <si>
    <t>Reverses ""BDM-120621-4""04-MAR-2023 08:32:41 OPR Adjustments</t>
  </si>
  <si>
    <t>Timing Issue - Recognition Exception</t>
  </si>
  <si>
    <t>Reverses BDM-120621-4 journal entry of BDM-120621-4 06-DEC-2021 08:42:36 batch from NOV-21.</t>
  </si>
  <si>
    <t>Reversed in March Orders on hold - follow up with team 10702660/10702659/10702554/10705836/10702668</t>
  </si>
  <si>
    <t>CDW-020323-8 Defer OPS issue Deferred Billing to Timing 03-FEB-2023 11:21:31 EBS OPR A 23 11896705 N</t>
  </si>
  <si>
    <t>CDW-020323-8 Defer OPS issue Deferred Billing to Timing OPR Adjustments</t>
  </si>
  <si>
    <t>Issue: Ops Correction Needed - Order Type</t>
  </si>
  <si>
    <t>CDW-020323-8 Defer OPS issue Deferred Billing to Timing</t>
  </si>
  <si>
    <t xml:space="preserve">Reversed in March VA EA Deal </t>
  </si>
  <si>
    <t>CMG-030223-4 Accrue VA EA Feb-23 AP Invoices 02-MAR-2023 16:33:18 EBS OPR A 3104533 12295172 N</t>
  </si>
  <si>
    <t>CMG-030223-4 Accrue VA EA Feb-23 AP Invoices OPR Adjustments</t>
  </si>
  <si>
    <t>Accrue VA EA Feb-23 AP Invoices</t>
  </si>
  <si>
    <t>Reverses ""CDW-020323-8 Defer OPS issue Deferred Billing to T""13-MAR-23 16:46:30 - 3789373 12531556 N</t>
  </si>
  <si>
    <t>Reverses ""CDW-020323-8 Defer OPS issue Deferred Billing to Timing""13-MAR-2023 16:46:30 OPR Adjustme</t>
  </si>
  <si>
    <t>Mar-23</t>
  </si>
  <si>
    <t>Reverses CDW-020323-8 Defer OPS issue Deferred Billing to Timing journal entry of CDW-020323-8 Defer OPS issue Deferred Billing to Timing 03-FEB-2023 11:21:31 batch from JAN-23.</t>
  </si>
  <si>
    <t>Reverses ""CMG-030223-4 Accrue VA EA Feb-23 AP Invoices""29-MAR-23 16:58:53 - 380216967 EBS 12758769 N</t>
  </si>
  <si>
    <t>Reverses ""CMG-030223-4 Accrue VA EA Feb-23 AP Invoices""29-MAR-2023 16:58:53 OPR Adjustments</t>
  </si>
  <si>
    <t>Reverses CMG-030223-4 Accrue VA EA Feb-23 AP Invoices journal entry of CMG-030223-4 Accrue VA EA Feb-23 AP Invoices 02-MAR-2023 16:33:18 batch from FEB-23.</t>
  </si>
  <si>
    <t>VA EA Consultant Fee</t>
  </si>
  <si>
    <t>Manual A 155398 378241195 EBS OPR A 3165371 12353576 N</t>
  </si>
  <si>
    <t>JMM-030423-2 VA Accrual Reverse Mar-23 OPR Adjustment USD User 1 OPR Adjustments</t>
  </si>
  <si>
    <t>Accruing VA consultant fee SO 10781310</t>
  </si>
  <si>
    <t>Reverses ""JMM-030423-2 VA Accrual Reverse Mar-23 OPR Adjustm""07-MAR-23 09:53:08 - 3784517 12430628 N</t>
  </si>
  <si>
    <t>Reverses ""JMM-030423-2 VA Accrual Reverse Mar-23 OPR Adjustment USD User 1""07-MAR-2023 09:53:09 OPR</t>
  </si>
  <si>
    <t>Reverses JMM-030423-2 VA Accrual Reverse Mar-23 OPR Adjustment USD User 1 journal entry of Manual A 155398 378241195 batch from FEB-23.</t>
  </si>
  <si>
    <t>Deferring AP cost hit related to PO 4088227 APINVD0064364</t>
  </si>
  <si>
    <t>JDP-030623-2 06-MAR-2023 09:00:59</t>
  </si>
  <si>
    <t>JDP-030623-2</t>
  </si>
  <si>
    <t>101.11001.245011.9999.999.999.9999.9999</t>
  </si>
  <si>
    <t>Reverses JDP-030623-2 06-03-23 23:00:10 12349467</t>
  </si>
  <si>
    <t>Reverses JDP-030623-2 06-03-23 23:00:11</t>
  </si>
  <si>
    <t>Reverses journal JDP-030623-2 of journal batch JDP-030623-2 06-MAR-2023 09:00:59 from period Feb-23.</t>
  </si>
  <si>
    <t>Reversed in March Accruing SO 10716226</t>
  </si>
  <si>
    <t>Manual A 155397 378240450 EBS OPR A 3165371 12353576 N</t>
  </si>
  <si>
    <t>JMM-030423-1 USDA CEC FLEX EA Reverse Mar-23 OPR Adjustment USD User 1 OPR Adjustments</t>
  </si>
  <si>
    <t>Accruing SO 10716226</t>
  </si>
  <si>
    <t>101.12021.245011.9999.999.999.9999.9999</t>
  </si>
  <si>
    <t>Reverses ""JMM-030423-1 USDA CEC FLEX EA Reverse Mar-23 OPR A""07-MAR-23 09:52:28 - 3784516 12430628 N</t>
  </si>
  <si>
    <t>Reverses ""JMM-030423-1 USDA CEC FLEX EA Reverse Mar-23 OPR Adjustment USD User 07-MAR-2023 09:52:28</t>
  </si>
  <si>
    <t>Reverses JMM-030423-1 USDA CEC FLEX EA Reverse Mar-23 OPR Adjustment USD User 1 journal entry of Manual A 155397 378240450 batch from FEB-23.</t>
  </si>
  <si>
    <t>Reverses ""CDW-040323-3 Accruing Cost SO 10764155 Drop Ship""04-APR-23 09:48:27 - 380642063 12856347 N</t>
  </si>
  <si>
    <t>Reverses ""CDW-040323-3 Accruing Cost SO 10764155 Drop Ship""04-APR-2023 09:48:27 OPR Adjustments</t>
  </si>
  <si>
    <t>Reverses CDW-040323-3 Accruing Cost SO 10764155 Drop Ship journal entry of CDW-040323-3 Accruing Cost SO 10764155 Drop Ship 03-APR-2023 14:50:31 batch from MAR-23.</t>
  </si>
  <si>
    <t>CDW-040323-3 Accruing Cost SO 10764155 Drop Ship 03-APR-2023 14:50:31 EBS OPR A 4039700 12835103 N</t>
  </si>
  <si>
    <t>CDW-040323-3 Accruing Cost SO 10764155 Drop Ship OPR Adjustments</t>
  </si>
  <si>
    <t>Accruing Cost SO 10764155 Drop Ship</t>
  </si>
  <si>
    <t>CDW-040523-11 Accrue VA EA Mar-23 AP Invoices 05-APR-2023 15:28:07 EBS OPR A 4123544 12887131 N</t>
  </si>
  <si>
    <t>CDW-040523-11 Accrue VA EA Mar-23 AP Invoices OPR Adjustments</t>
  </si>
  <si>
    <t>Accrue VA EA Mar-23 AP Invoices</t>
  </si>
  <si>
    <t>Reversal</t>
  </si>
  <si>
    <t>Reverses ""CDW-040523-11 Accrue VA EA Mar-23 AP Invoices""11-APR-23 19:32:24 - 381207367 EB 13016761 N</t>
  </si>
  <si>
    <t>Reverses ""CDW-040523-11 Accrue VA EA Mar-23 AP Invoices""11-APR-2023 19:32:24 OPR Adjustments</t>
  </si>
  <si>
    <t>Apr-23</t>
  </si>
  <si>
    <t>Reverses CDW-040523-11 Accrue VA EA Mar-23 AP Invoices journal entry of CDW-040523-11 Accrue VA EA Mar-23 AP Invoices 05-APR-2023 15:28:07 batch from MAR-23.</t>
  </si>
  <si>
    <t>CDW-040523-1 Defer SO10173798 Ops Issue Needs RMA/RTV 05-APR-2023 11:30:47 EBS OPR A 4123 12887131 N</t>
  </si>
  <si>
    <t>CDW-040523-1 Defer SO10173798 Ops Issue Needs RMA/RTV OPR Adjustments</t>
  </si>
  <si>
    <t>Defer SO10173798 Ops Issue Needs RMA/RTV</t>
  </si>
  <si>
    <t>Reverses ""CDW-040523-1 Defer SO10173798 Ops Issue Needs RMA/""10-APR-23 09:32:19 - 3810847 13016761 N</t>
  </si>
  <si>
    <t>Reverses ""CDW-040523-1 Defer SO10173798 Ops Issue Needs RMA/RTV""10-APR-2023 09:32:19 OPR Adjustment</t>
  </si>
  <si>
    <t>Reverses CDW-040523-1 Defer SO10173798 Ops Issue Needs RMA/RTV journal entry of CDW-040523-1 Defer SO10173798 Ops Issue Needs RMA/RTV 05-APR-2023 11:30:47 batch from MAR-23.</t>
  </si>
  <si>
    <t>CDW-040423-5 Streamlining SO 10813373 Cost 04-APR-2023 10:35:02 EBS OPR A 4057831 12856347 N</t>
  </si>
  <si>
    <t>CDW-040423-5 Streamlining SO 10813373 Cost OPR Adjustments</t>
  </si>
  <si>
    <t>Streamlining SO 10813373 Cost</t>
  </si>
  <si>
    <t>Reverses ""CDW-040423-5 Streamlining SO 10813373 Cost""10-APR-23 16:04:00 - 381113629 EBS O 13016761 N</t>
  </si>
  <si>
    <t>Reverses ""CDW-040423-5 Streamlining SO 10813373 Cost""10-APR-2023 16:04:01 OPR Adjustments</t>
  </si>
  <si>
    <t>Reverses CDW-040423-5 Streamlining SO 10813373 Cost journal entry of CDW-040423-5 Streamlining SO 10813373 Cost 04-APR-2023 10:35:02 batch from MAR-23.</t>
  </si>
  <si>
    <t>CDW-040323-2 Releasing portion of PO P3882300203 SO 10539163 03-APR-2023 14:36:32 EBS OPR 12835103 N</t>
  </si>
  <si>
    <t>CDW-040323-2 Releasing portion of PO P3882300203 SO 10539163 OPR Adjustments</t>
  </si>
  <si>
    <t>Releasing portion of PO P3882300203 SO 10539163</t>
  </si>
  <si>
    <t>Reverses ""CDW-040323-2 Releasing portion of PO P3882300203 S""19-APR-23 16:05:38 - 3818123 13175759 N</t>
  </si>
  <si>
    <t>Reverses ""CDW-040323-2 Releasing portion of PO P3882300203 SO 10539163""19-APR-2023 16:05:38 OPR Adj</t>
  </si>
  <si>
    <t>Reverses CDW-040323-2 Releasing portion of PO P3882300203 SO 10539163 journal entry of CDW-040323-2 Releasing portion of PO P3882300203 SO 10539163 03-APR-2023 14:36:32 batch from MAR-23.</t>
  </si>
  <si>
    <t>CDW-032923-2 Accrue in SO 10358949 Cost 29-MAR-2023 13:57:15 EBS OPR A 3899084 12758769 N</t>
  </si>
  <si>
    <t>CDW-032923-2 Accrue in SO 10358949 Cost OPR Adjustments</t>
  </si>
  <si>
    <t>Accrue in SO 10358949 Cost</t>
  </si>
  <si>
    <t>Reverses ""CDW-032923-2 Accrue in SO 10358949 Cost""20-APR-23 11:14:10 - 381874022 EBS OPR  13175759 N</t>
  </si>
  <si>
    <t>Reverses ""CDW-032923-2 Accrue in SO 10358949 Cost""20-APR-2023 11:14:10 OPR Adjustments</t>
  </si>
  <si>
    <t>Reverses CDW-032923-2 Accrue in SO 10358949 Cost journal entry of CDW-032923-2 Accrue in SO 10358949 Cost 29-MAR-2023 13:57:15 batch from MAR-23.</t>
  </si>
  <si>
    <t>Reclass</t>
  </si>
  <si>
    <t>CDW-041823-1 Reclass between P&amp; L's</t>
  </si>
  <si>
    <t>Reclass: P&amp;L Move</t>
  </si>
  <si>
    <t>Reclass between P&amp; L's</t>
  </si>
  <si>
    <t>JMM-031623-2 Spreadsheet A 300000031755431 12529088 N</t>
  </si>
  <si>
    <t>JMM-031623-2 Adjustment</t>
  </si>
  <si>
    <t>Reclassing JMM-022723-24/Deferring SO on hold 2209775</t>
  </si>
  <si>
    <t>101.12016.245011.9999.950.999.9999.9999</t>
  </si>
  <si>
    <t>JMM-031623-1 Spreadsheet A 300000031755431 12529088 N</t>
  </si>
  <si>
    <t>JMM-031623-1 Adjustment</t>
  </si>
  <si>
    <t>Reclassing JMM-022723-25/Deferring SO on hold 2209779</t>
  </si>
  <si>
    <t>CDW-041823-2 Reclass Accounts to AR other</t>
  </si>
  <si>
    <t>Reclass: Account Move</t>
  </si>
  <si>
    <t>Reclass Accounts to AR other</t>
  </si>
  <si>
    <t>W9127S22F0135</t>
  </si>
  <si>
    <t>CDW-041823-3 Reclass Account to AR Other SO 2209779</t>
  </si>
  <si>
    <t>Reclass Account to AR Other SO 2209779</t>
  </si>
  <si>
    <t>P010267288</t>
  </si>
  <si>
    <t>Reversed in May Accrual</t>
  </si>
  <si>
    <t>CDW-050123-7 Flywheel funding SO 10845844 01-MAY-2023 15:55:26 EBS OPR A 4755965 13294942 N</t>
  </si>
  <si>
    <t>CDW-050123-7 Flywheel funding SO 10845844 OPR Adjustments</t>
  </si>
  <si>
    <t>Flywheel funding SO 10845844</t>
  </si>
  <si>
    <t>Reverses ""CDW-050123-7 Flywheel funding SO 10845844""16-MAY-23 07:29:42 - 383812001 EBS OP 13649717 N</t>
  </si>
  <si>
    <t>Reverses ""CDW-050123-7 Flywheel funding SO 10845844""16-MAY-2023 07:29:42 OPR Adjustments</t>
  </si>
  <si>
    <t>Reverses CDW-050123-7 Flywheel funding SO 10845844 journal entry of CDW-050123-7 Flywheel funding SO 10845844 01-MAY-2023 15:55:26 batch from APR-23.</t>
  </si>
  <si>
    <t>CDW-050223-1 Accruing SAAS Cost WWTINCSAAS159 02-MAY-2023 09:57:25 EBS OPR A 4778592 13313526 N</t>
  </si>
  <si>
    <t>CDW-050223-1 Accruing SAAS Cost WWTINCSAAS159 OPR Adjustments</t>
  </si>
  <si>
    <t>Accruing SAAS Cost WWTINCSAAS159</t>
  </si>
  <si>
    <t>Reverses ""CDW-050223-1 Accruing SAAS Cost WWTINCSAAS159""16-MAY-23 12:43:19 - 383835303 EB 13649717 N</t>
  </si>
  <si>
    <t>Reverses ""CDW-050223-1 Accruing SAAS Cost WWTINCSAAS159""16-MAY-2023 12:43:19 OPR Adjustments</t>
  </si>
  <si>
    <t>Reverses CDW-050223-1 Accruing SAAS Cost WWTINCSAAS159 journal entry of CDW-050223-1 Accruing SAAS Cost WWTINCSAAS159 02-MAY-2023 09:57:25 batch from APR-23.</t>
  </si>
  <si>
    <t>MPA-031323-5 MO OA - ITSD Office of Admin Streamline Adj FEB-23 Reclass</t>
  </si>
  <si>
    <t>Reclassing FEB-23 Adj to Correct Liability Acct // Streamline P3882300203 SO10539163 to 9%GP</t>
  </si>
  <si>
    <t>MPA-060223-12</t>
  </si>
  <si>
    <t>Reclass SLED Streamline Reversal to Correct Acct</t>
  </si>
  <si>
    <t>Reversed in May Accrual AP moonshot Invoice - Emailed 5/23</t>
  </si>
  <si>
    <t>CDW-050423-2 Accruing AP Inv 005196 to Moonshot 04-MAY-2023 12:05:52 EBS OPR A 4852273 13366499 N</t>
  </si>
  <si>
    <t>CDW-050423-2 Accruing AP Inv 005196 to Moonshot OPR Adjustments</t>
  </si>
  <si>
    <t>Accruing AP Inv 005196 to Moonshot</t>
  </si>
  <si>
    <t>Reverses ""CDW-050423-2 Accruing AP Inv 005196 to Moonshot""01-JUN-23 10:50:10 - 385005396  13900848 N</t>
  </si>
  <si>
    <t>Reverses ""CDW-050423-2 Accruing AP Inv 005196 to Moonshot""01-JUN-2023 10:50:10 OPR Adjustments</t>
  </si>
  <si>
    <t>Reverses CDW-050423-2 Accruing AP Inv 005196 to Moonshot journal entry of CDW-050423-2 Accruing AP Inv 005196 to Moonshot 04-MAY-2023 12:05:52 batch from APR-23.</t>
  </si>
  <si>
    <t>CDW-050223-9 Accruing Cost SO 10297785 02-MAY-2023 11:03:52 EBS OPR A 4778592 13313526 N</t>
  </si>
  <si>
    <t>CDW-050223-9 Accruing Cost SO 10297785 OPR Adjustments</t>
  </si>
  <si>
    <t>Accruing Cost SO 10297785</t>
  </si>
  <si>
    <t>Reverses ""CDW-050223-9 Accruing Cost SO 10297785""16-MAY-23 12:40:04 - 383835131 EBS OPR A 13649717 N</t>
  </si>
  <si>
    <t>Reverses ""CDW-050223-9 Accruing Cost SO 10297785""16-MAY-2023 12:40:04 OPR Adjustments</t>
  </si>
  <si>
    <t>Reverses CDW-050223-9 Accruing Cost SO 10297785 journal entry of CDW-050223-9 Accruing Cost SO 10297785 02-MAY-2023 11:03:52 batch from APR-23.</t>
  </si>
  <si>
    <t>CDW-060623-2 Defer SO 9834148 Ops issue Awaiting Fulfillment Reverse in June</t>
  </si>
  <si>
    <t>Defer SO 9834148 Ops issue Awaiting Fulfillment Reverse in June</t>
  </si>
  <si>
    <t>HT001521F0143</t>
  </si>
  <si>
    <t>Reverses CDW-060623-2 Defer SO 9834148 Ops issue Awaiting Ful 06-06-23 16:31:11 13980092</t>
  </si>
  <si>
    <t>Reverses CDW-060623-2 Defer SO 9834148 Ops issue Awaiting Fulfillment Reverse in  06-06-23 16:31:12</t>
  </si>
  <si>
    <t>Jun-23</t>
  </si>
  <si>
    <t>Reverses journal CDW-060623-2 Defer SO 9834148 Ops issue Awaiting Fulfillment Reverse in June of journal batch CDW-060623-2 Defer SO 9834148 Ops issue Awaiting Fulfillment Reverse in June from period May-23.</t>
  </si>
  <si>
    <t>CDW-040623-4 Defer VA EA Cost WWTINCSAAS1177 06-APR-2023 12:37:06 EBS OPR A 4133055 12891247 N</t>
  </si>
  <si>
    <t>CDW-040623-4 Defer VA EA Cost WWTINCSAAS1177 OPR Adjustments</t>
  </si>
  <si>
    <t>Defer VA EA Cost WWTINCSAAS1177</t>
  </si>
  <si>
    <t>CDW-050323-11 Releasing VA EA cost from timing 03-MAY-2023 15:27:11 EBS OPR A 4822727 13337477 N</t>
  </si>
  <si>
    <t>CDW-050323-11 Releasing VA EA cost from timing OPR Adjustments</t>
  </si>
  <si>
    <t>Releasing VA EA cost from timing</t>
  </si>
  <si>
    <t>CDW-060523-15 Releasing VA EA cost from timing 05-JUN-2023 14:18:19 EBS OPR A 5827140 13964957 N</t>
  </si>
  <si>
    <t>CDW-060523-15 Releasing VA EA cost from timing OPR Adjustments</t>
  </si>
  <si>
    <t>Reverses "CDW-040623-4 Defer VA EA Cost WWTINCSAAS1177"06-JUL-23 14:09:04 - 387625398 EBS 14497649 N</t>
  </si>
  <si>
    <t>Reverses "CDW-040623-4 Defer VA EA Cost WWTINCSAAS1177"06-JUL-2023 14:09:05 OPR Adjustments</t>
  </si>
  <si>
    <t>Reverses CDW-040623-4 Defer VA EA Cost WWTINCSAAS1177 journal entry of CDW-040623-4 Defer VA EA Cost WWTINCSAAS1177 06-APR-2023 12:37:06 batch from MAR-23.</t>
  </si>
  <si>
    <t>Reverses "CDW-060523-15 Releasing VA EA cost from timing"06-JUL-23 14:10:37 - 387625543 E 14497649 N</t>
  </si>
  <si>
    <t>Reverses "CDW-060523-15 Releasing VA EA cost from timing"06-JUL-2023 14:10:37 OPR Adjustments</t>
  </si>
  <si>
    <t>Reverses CDW-060523-15 Releasing VA EA cost from timing journal entry of CDW-060523-15 Releasing VA EA cost from timing 05-JUN-2023 14:18:19 batch from MAY-23.</t>
  </si>
  <si>
    <t>Reverses "CDW-050323-11 Releasing VA EA cost from timing"06-JUL-23 14:09:55 - 387625478 E 14497649 N</t>
  </si>
  <si>
    <t>Reverses "CDW-050323-11 Releasing VA EA cost from timing"06-JUL-2023 14:09:55 OPR Adjustments</t>
  </si>
  <si>
    <t>Reverses CDW-050323-11 Releasing VA EA cost from timing journal entry of CDW-050323-11 Releasing VA EA cost from timing 03-MAY-2023 15:27:11 batch from APR-23.</t>
  </si>
  <si>
    <t>CDW-060223-11 Accruing SO 10912564 Cost 02-JUN-2023 15:10:20 EBS OPR A 5729704 13920745 N</t>
  </si>
  <si>
    <t>CDW-060223-11 Accruing SO 10912564 Cost OPR Adjustments</t>
  </si>
  <si>
    <t>Accruing SO 10912564 Cost</t>
  </si>
  <si>
    <t>Reverses "CDW-060223-11 Accruing SO 10912564 Cost"16-JUN-23 15:21:31 - 386206761 EBS OPR  14313013 N</t>
  </si>
  <si>
    <t>Reverses "CDW-060223-11 Accruing SO 10912564 Cost"16-JUN-2023 15:21:31 OPR Adjustments</t>
  </si>
  <si>
    <t>Reverses CDW-060223-11 Accruing SO 10912564 Cost journal entry of CDW-060223-11 Accruing SO 10912564 Cost 02-JUN-2023 15:10:20 batch from MAY-23.</t>
  </si>
  <si>
    <t>CDW-062023-14 Reserve Reclass to Federal House</t>
  </si>
  <si>
    <t>Reserve Reclass to Federal House</t>
  </si>
  <si>
    <t>CDW-062023-13 Reserve reclass to Federal House 20-JUN-2023 11:34:01 EBS OPR A 6535678 14397616 N</t>
  </si>
  <si>
    <t>CDW-062023-13 Reserve reclass to Federal House OPR Adjustments</t>
  </si>
  <si>
    <t>Reserve reclass to Federal House</t>
  </si>
  <si>
    <t>CDW-070723-5 Reserve funds to Federal House 07-JUL-2023 10:55:11 EBS OPR A 6710516 14512317 N</t>
  </si>
  <si>
    <t>CDW-070723-5 Reserve funds to Federal House OPR Adjustments</t>
  </si>
  <si>
    <t>Reserve funds to Federal House</t>
  </si>
  <si>
    <t>CDW-040323-8 Defer SO 10811006 Ops Issue 04-APR-2023 00:08:35 EBS OPR A 4057831 12856347 N</t>
  </si>
  <si>
    <t>CDW-040323-8 Defer SO 10811006 Ops Issue OPR Adjustments</t>
  </si>
  <si>
    <t>Defer SO 10811006 Ops Issue</t>
  </si>
  <si>
    <t>101.12013.245011.9999.999.999.9999.9999</t>
  </si>
  <si>
    <t>Reverses "CDW-040323-8 Defer SO 10811006 Ops Issue"15-JUN-23 10:14:26 - 386100880 EBS OPR 14133391 N</t>
  </si>
  <si>
    <t>Reverses "CDW-040323-8 Defer SO 10811006 Ops Issue"15-JUN-2023 10:14:26 OPR Adjustments</t>
  </si>
  <si>
    <t>Reverses CDW-040323-8 Defer SO 10811006 Ops Issue journal entry of CDW-040323-8 Defer SO 10811006 Ops Issue 04-APR-2023 00:08:35 batch from MAR-23.</t>
  </si>
  <si>
    <t>CDW-040523-12 Defer cost SO 10843632 portion of Prelim Reserve 05-APR-2023 15:58:33 EBS O 12887131 N</t>
  </si>
  <si>
    <t>CDW-040523-12 Defer cost SO 10843632 portion of Prelim Reserve OPR Adjustments</t>
  </si>
  <si>
    <t>Reserve Funds</t>
  </si>
  <si>
    <t>SO 10843632 portion of Prelim Reserve</t>
  </si>
  <si>
    <t>101.11024.245011.9999.999.999.9999.9999</t>
  </si>
  <si>
    <t>CDW-050223-7 Defer cost SO 10866627 portion of Reserve 02-MAY-2023 10:48:24 EBS OPR A 477 13313526 N</t>
  </si>
  <si>
    <t>CDW-050223-7 Defer cost SO 10866627 portion of Reserve OPR Adjustments</t>
  </si>
  <si>
    <t>Defer cost SO 10866627 portion of Reserve</t>
  </si>
  <si>
    <t>CDW-050223-6 Defer cost SO 10866610 portion of Reserve 02-MAY-2023 10:42:25 EBS OPR A 477 13313526 N</t>
  </si>
  <si>
    <t>CDW-050223-6 Defer cost SO 10866610 portion of Reserve OPR Adjustments</t>
  </si>
  <si>
    <t>Defer cost SO 10866610 portion of Reserve</t>
  </si>
  <si>
    <t>Reverses "CDW-050223-6 Defer cost SO 10866610 portion of Res"13-JUN-23 14:31:02 - 3859503 14102309 N</t>
  </si>
  <si>
    <t>Reverses "CDW-050223-6 Defer cost SO 10866610 portion of Reserve"13-JUN-2023 14:31:02 OPR Adjustmen</t>
  </si>
  <si>
    <t>Reverses CDW-050223-6 Defer cost SO 10866610 portion of Reserve journal entry of CDW-050223-6 Defer cost SO 10866610 portion of Reserve 02-MAY-2023 10:42:25 batch from APR-23.</t>
  </si>
  <si>
    <t>Reverses "CDW-040523-12 Defer cost SO 10843632 portion of Pr"13-JUN-23 14:31:00 - 3859494 14102309 N</t>
  </si>
  <si>
    <t>Reverses "CDW-040523-12 Defer cost SO 10843632 portion of Prelim Reserve"13-JUN-2023 14:31:00 OPR A</t>
  </si>
  <si>
    <t>Reverses CDW-040523-12 Defer cost SO 10843632 portion of Prelim Reserve journal entry of CDW-040523-12 Defer cost SO 10843632 portion of Prelim Reserve 05-APR-2023 15:58:33 batch from MAR-23.</t>
  </si>
  <si>
    <t>Reverses "CDW-050223-7 Defer cost SO 10866627 portion of Res"13-JUN-23 14:31:01 - 3859503 14102309 N</t>
  </si>
  <si>
    <t>Reverses "CDW-050223-7 Defer cost SO 10866627 portion of Reserve"13-JUN-2023 14:31:01 OPR Adjustmen</t>
  </si>
  <si>
    <t>Reverses CDW-050223-7 Defer cost SO 10866627 portion of Reserve journal entry of CDW-050223-7 Defer cost SO 10866627 portion of Reserve 02-MAY-2023 10:48:24 batch from APR-23.</t>
  </si>
  <si>
    <t>BDM-050322-1 03-MAY-2022 08:39:40 EBS OPR A 17429488 7937391 N</t>
  </si>
  <si>
    <t>BDM-050322-1 OPR Adjustments</t>
  </si>
  <si>
    <t>Apr-22</t>
  </si>
  <si>
    <t>Streamline for PO 157803 - OPR to justify</t>
  </si>
  <si>
    <t>Reversed in July - PO P3152301398 SO 10764155 Expecting Cost in July</t>
  </si>
  <si>
    <t>CDW-040423-4 Accruing Cost SO 10764155 Drop Ship 04-APR-2023 09:48:44 EBS OPR A 4057831 12856347 N</t>
  </si>
  <si>
    <t>CDW-040423-4 Accruing Cost SO 10764155 Drop Ship OPR Adjustments</t>
  </si>
  <si>
    <t>CDW-050123-8 Accruing cost on SO 10861252 01-MAY-2023 16:00:24 EBS OPR A 4755965 13294942 N</t>
  </si>
  <si>
    <t>CDW-050123-8 Accruing cost on SO 10861252 OPR Adjustments</t>
  </si>
  <si>
    <t>Accruing cost on SO 10861252</t>
  </si>
  <si>
    <t xml:space="preserve">Reversed in July </t>
  </si>
  <si>
    <t>CDW-070623-3 Accruing VA EA AP Inv 6101529240 06-JUL-2023 10:41:45 EBS OPR A 6682848 14497649 N</t>
  </si>
  <si>
    <t>CDW-070623-3 Accruing VA EA AP Inv 6101529240 OPR Adjustments</t>
  </si>
  <si>
    <t>Accruing VA EA AP Inv 6101529240</t>
  </si>
  <si>
    <t>CDW-070623-2 Defer SO 10917153 hits in July</t>
  </si>
  <si>
    <t>Defer SO 10917153 hits in July</t>
  </si>
  <si>
    <t>101.13008.245011.9999.950.999.9999.9999</t>
  </si>
  <si>
    <t>C1AD6E</t>
  </si>
  <si>
    <t>CDW-070523-3 Accruing Finder's fee SO 10764905 05-JUL-2023 12:04:51 EBS OPR A 6635210 14477816 N</t>
  </si>
  <si>
    <t>CDW-070523-3 Accruing Finder's fee SO 10937434 OPR Adjustments</t>
  </si>
  <si>
    <t>Accruing Finder's fee SO 10937434</t>
  </si>
  <si>
    <t>101.13017.245011.9999.999.999.9999.9999</t>
  </si>
  <si>
    <t>Reverses "CDW-070523-3 Accruing Finder's fee SO 10937434"18-JUL-23 11:17:27 - 388597249 E 14714103 N</t>
  </si>
  <si>
    <t>Reverses "CDW-070523-3 Accruing Finder's fee SO 10937434"18-JUL-2023 11:17:27 OPR Adjustments</t>
  </si>
  <si>
    <t>Jul-23</t>
  </si>
  <si>
    <t>Reverses CDW-070523-3 Accruing Finder's fee SO 10937434 journal entry of CDW-070523-3 Accruing Finder's fee SO 10764905 05-JUL-2023 12:04:51 batch from JUN-23.</t>
  </si>
  <si>
    <t>Reverses "CDW-040423-4 Accruing Cost SO 10764155 Drop Ship"11-JUL-23 15:50:11 - 388040419 14609531 N</t>
  </si>
  <si>
    <t>Reverses "CDW-040423-4 Accruing Cost SO 10764155 Drop Ship"11-JUL-2023 15:50:12 OPR Adjustments</t>
  </si>
  <si>
    <t>Reverses CDW-040423-4 Accruing Cost SO 10764155 Drop Ship journal entry of CDW-040423-4 Accruing Cost SO 10764155 Drop Ship 04-APR-2023 09:48:44 batch from MAR-23.</t>
  </si>
  <si>
    <t>Reverses "BDM-050322-1"11-JUL-23 10:00:47 - 388012388 EBS OPR A 6861803 14609531 N</t>
  </si>
  <si>
    <t>Reverses "BDM-050322-1"11-JUL-2023 10:00:47 OPR Adjustments</t>
  </si>
  <si>
    <t>Reverses BDM-050322-1 journal entry of BDM-050322-1 03-MAY-2022 08:39:40 batch from APR-22.</t>
  </si>
  <si>
    <t>Reverses CDW-070623-2 Defer SO 10917153 hits in July 10-07-23 17:20:40 14562430</t>
  </si>
  <si>
    <t>Reverses CDW-070623-2 Defer SO 10917153 hits in July 10-07-23 17:20:41</t>
  </si>
  <si>
    <t>Reverses journal CDW-070623-2 Defer SO 10917153 hits in July of journal batch CDW-070623-2 Defer SO 10917153 hits in July from period Jun-23.</t>
  </si>
  <si>
    <t>Reverses "CDW-070623-3 Accruing VA EA AP Inv 6101529240"10-JUL-23 12:46:51 - 387942308 EB 14565161 N</t>
  </si>
  <si>
    <t>Reverses "CDW-070623-3 Accruing VA EA AP Inv 6101529240"10-JUL-2023 12:46:51 OPR Adjustments</t>
  </si>
  <si>
    <t>Reverses CDW-070623-3 Accruing VA EA AP Inv 6101529240 journal entry of CDW-070623-3 Accruing VA EA AP Inv 6101529240 06-JUL-2023 10:41:45 batch from JUN-23.</t>
  </si>
  <si>
    <t>Reverses "CDW-050123-8 Accruing cost on SO 10861252"01-AUG-23 23:21:06 - 389653813 EBS OP 14960993 N</t>
  </si>
  <si>
    <t>Reverses "CDW-050123-8 Accruing cost on SO 10861252"01-AUG-2023 23:21:06 OPR Adjustments</t>
  </si>
  <si>
    <t>Reverses CDW-050123-8 Accruing cost on SO 10861252 journal entry of CDW-050123-8 Accruing cost on SO 10861252 01-MAY-2023 16:00:24 batch from APR-23.</t>
  </si>
  <si>
    <t>Reversed in AugustTo defer cost on Customer PO 10000410, SO 10768674, Emailed Shelly on 2/23, 3/14, 4/19, 6/15 - Jake is working on matching Hours completed with customer and IUB will be booked</t>
  </si>
  <si>
    <t>MNS-030223-6 02-MAR-2023 12:18:20 EBS OPR A 3111139 12300142 N</t>
  </si>
  <si>
    <t>MNS-030223-6 OPR Adjustments</t>
  </si>
  <si>
    <t>To defer cost on Customer PO 10000410, SO 10768674</t>
  </si>
  <si>
    <t>MNS-030223-5 02-MAR-2023 12:07:09 EBS OPR A 3111139 12300142 N</t>
  </si>
  <si>
    <t>MNS-030223-5 OPR Adjustments</t>
  </si>
  <si>
    <t>To defer revenue &amp; cost on Customer PO 10000410, SO 10230194</t>
  </si>
  <si>
    <t>Reversed in August</t>
  </si>
  <si>
    <t>CDW-080223-6 Accruing VForm AP Invoice 1045 SO 11004558 02-AUG-2023 16:23:10 EBS OPR A 73 14960993 N</t>
  </si>
  <si>
    <t>CDW-080223-6 Accruing VForm AP Invoice 1045 SO 11004558 OPR Adjustments</t>
  </si>
  <si>
    <t>Accruing VForm AP Invoice 1045 SO 11004558</t>
  </si>
  <si>
    <t>CDW-080423-3 AP Deferral APINVD0067908</t>
  </si>
  <si>
    <t>AP Deferral APINVD0067908</t>
  </si>
  <si>
    <t>CDW-080423-1 Defer RMA 2262334 offset in August 04-AUG-2023 09:02:39 EBS OPR A 7431615 14995037 N</t>
  </si>
  <si>
    <t>CDW-080423-1 Defer RMA 2262334 offset in August OPR Adjustments</t>
  </si>
  <si>
    <t>Defer RMA 2262334 offset in August</t>
  </si>
  <si>
    <t>CDW-080323-5 Accruing AP Inv CM 98609076A Moonshot 03-AUG-2023 11:12:36 EBS OPR A 7420012 14976598 N</t>
  </si>
  <si>
    <t>CDW-080323-5 Accruing AP Inv CM 98609076A Moonshot OPR Adjustments</t>
  </si>
  <si>
    <t>Accruing AP Inv CM 98609076A Moonshot</t>
  </si>
  <si>
    <t>Reverses CDW-080423-3 AP Deferral APINVD0067908 14-08-23 20:29:54 15160621</t>
  </si>
  <si>
    <t>Reverses CDW-080423-3 AP Deferral APINVD0067908 14-08-23 20:29:56</t>
  </si>
  <si>
    <t>Aug-23</t>
  </si>
  <si>
    <t>Reverses journal CDW-080423-3 AP Deferral APINVD0067908 of journal batch CDW-080423-3 AP Deferral APINVD0067908 from period Jul-23.</t>
  </si>
  <si>
    <t>Reverses "CDW-080223-6 Accruing VForm AP Invoice 1045 SO 110"07-AUG-23 10:44:10 - 3900449 15052919 N</t>
  </si>
  <si>
    <t>Reverses "CDW-080223-6 Accruing VForm AP Invoice 1045 SO 11004558"07-AUG-2023 10:44:10 OPR Adjustme</t>
  </si>
  <si>
    <t>Reverses CDW-080223-6 Accruing VForm AP Invoice 1045 SO 11004558 journal entry of CDW-080223-6 Accruing VForm AP Invoice 1045 SO 11004558 02-AUG-2023 16:23:10 batch from JUL-23.</t>
  </si>
  <si>
    <t>Reverses "MNS-030223-5"30-AUG-23 12:53:58 - 391767114 EBS OPR A 8190056 15433647 N</t>
  </si>
  <si>
    <t>Reverses "MNS-030223-5"30-AUG-2023 12:53:58 OPR Adjustments</t>
  </si>
  <si>
    <t>Reverses MNS-030223-5 journal entry of MNS-030223-5 02-MAR-2023 12:07:09 batch from FEB-23.</t>
  </si>
  <si>
    <t>Reverses "MNS-030223-6"30-AUG-23 12:52:47 - 391767052 EBS OPR A 8190056 15433647 N</t>
  </si>
  <si>
    <t>Reverses "MNS-030223-6"30-AUG-2023 12:52:47 OPR Adjustments</t>
  </si>
  <si>
    <t>Reverses MNS-030223-6 journal entry of MNS-030223-6 02-MAR-2023 12:18:20 batch from FEB-23.</t>
  </si>
  <si>
    <t>Reverses "CDW-080323-5 Accruing AP Inv CM 98609076A Moonshot"07-AUG-23 16:06:03 - 3900664 15110712 N</t>
  </si>
  <si>
    <t>Reverses "CDW-080323-5 Accruing AP Inv CM 98609076A Moonshot"07-AUG-2023 16:06:03 OPR Adjustments</t>
  </si>
  <si>
    <t>Reverses CDW-080323-5 Accruing AP Inv CM 98609076A Moonshot journal entry of CDW-080323-5 Accruing AP Inv CM 98609076A Moonshot 03-AUG-2023 11:12:36 batch from JUL-23.</t>
  </si>
  <si>
    <t>Reverses "CDW-080423-1 Defer RMA 2262334 offset in August"07-AUG-23 10:48:54 - 390045302  15052919 N</t>
  </si>
  <si>
    <t>Reverses "CDW-080423-1 Defer RMA 2262334 offset in August"07-AUG-2023 10:48:54 OPR Adjustments</t>
  </si>
  <si>
    <t>Reverses CDW-080423-1 Defer RMA 2262334 offset in August journal entry of CDW-080423-1 Defer RMA 2262334 offset in August 04-AUG-2023 09:02:39 batch from JUL-23.</t>
  </si>
  <si>
    <t>CDW-090523-11 Defer PO 22001181 Ops issue AP correction 05-SEP-2023 23:05:28 EBS OPR A 83 15559305 N</t>
  </si>
  <si>
    <t>CDW-090523-11 Defer PO 22001181 Ops issue AP correction OPR Adjustments</t>
  </si>
  <si>
    <t>Defer PO 22001181 Ops issue AP correction</t>
  </si>
  <si>
    <t>Reversed in September Annual billing through RecVue awaiting RMA/RTV</t>
  </si>
  <si>
    <t>CDW-090523-7 Defer Ops Issue SO 10968147 - RMA/RTV needed from annual billing i 05-SEP-20 15559305 N</t>
  </si>
  <si>
    <t>CDW-090523-7 Defer Ops Issue SO 10968147 - RMA/RTV needed from annual billing in RecVue OPR Adjustm</t>
  </si>
  <si>
    <t>Defer Ops Issue SO 10968147 - RMA/RTV needed from annual billing in RecVue</t>
  </si>
  <si>
    <t>Reverses "CDW-100323-4 Accruing SAAS Moonshot AP Invoices"04-OCT-23 14:34:06 - 394542166  16053194 N</t>
  </si>
  <si>
    <t>Reverses "CDW-100323-4 Accruing SAAS Moonshot AP Invoices"04-OCT-2023 14:34:06 OPR Adjustments</t>
  </si>
  <si>
    <t>Sep-23</t>
  </si>
  <si>
    <t>Reverses CDW-100323-4 Accruing SAAS Moonshot AP Invoices journal entry of CDW-100323-4 Accruing SAAS Moonshot AP Invoices 03-OCT-2023 11:27:22 batch from SEP-23.</t>
  </si>
  <si>
    <t>CDW-100323-4 Accruing SAAS Moonshot AP Invoices 03-OCT-2023 11:27:22 EBS OPR A 9092272 16028534 N</t>
  </si>
  <si>
    <t>CDW-100323-4 Accruing SAAS Moonshot AP Invoices OPR Adjustments</t>
  </si>
  <si>
    <t>Accruing SAAS Moonshot AP Invoices</t>
  </si>
  <si>
    <t>Reverses "CDW-090523-7 Defer Ops Issue SO 10968147 - RMA/RTV"22-SEP-23 13:28:45 - 3936439 15894389 N</t>
  </si>
  <si>
    <t>Reverses "CDW-090523-7 Defer Ops Issue SO 10968147 - RMA/RTV needed from annual22-SEP-2023 13:28:45</t>
  </si>
  <si>
    <t>Reverses CDW-090523-7 Defer Ops Issue SO 10968147 - RMA/RTV needed from annual  journal entry of CDW-090523-7 Defer Ops Issue SO 10968147 - RMA/RTV needed from annual billing i 05-SEP-2023 22:17:04 batch from AUG-23.</t>
  </si>
  <si>
    <t>Reverses "CDW-090523-11 Defer PO 22001181 Ops issue AP corre"19-SEP-23 21:21:28 - 3933869 15894389 N</t>
  </si>
  <si>
    <t>Reverses "CDW-090523-11 Defer PO 22001181 Ops issue AP correction"19-SEP-2023 21:21:28 OPR Adjustme</t>
  </si>
  <si>
    <t>Reverses CDW-090523-11 Defer PO 22001181 Ops issue AP correction journal entry of CDW-090523-11 Defer PO 22001181 Ops issue AP correction 05-SEP-2023 23:05:28 batch from AUG-23.</t>
  </si>
  <si>
    <t xml:space="preserve">Reversed in October Timing - Streamline CGI Federal PR20005283 - </t>
  </si>
  <si>
    <t>BDM-020322-22 03-FEB-2022 12:45:35 EBS OPR A 15616275 6915561 N</t>
  </si>
  <si>
    <t>BDM-020322-22 OPR Adjustments</t>
  </si>
  <si>
    <t>Jan-22</t>
  </si>
  <si>
    <t>Streamline for PR20005283</t>
  </si>
  <si>
    <t>BDM-040522-18 05-APR-2022 22:00:51 EBS OPR A 16801730 7625950 N</t>
  </si>
  <si>
    <t>BDM-040522-18 OPR Adjustments</t>
  </si>
  <si>
    <t>Mar-22</t>
  </si>
  <si>
    <t>211-240</t>
  </si>
  <si>
    <t>Reversed in October Ops Issue</t>
  </si>
  <si>
    <t>CDW-040523-3 Defer SO 10650154 Ops issue 05-APR-2023 12:36:52 EBS OPR A 4123544 12887131 N</t>
  </si>
  <si>
    <t>CDW-040523-3 Defer SO 10650154 Ops issue OPR Adjustments</t>
  </si>
  <si>
    <t>Defer SO 10650154 Ops issue</t>
  </si>
  <si>
    <t>CDW-090623-3 Accruing Finder's Fee SO 11095006 06-SEP-2023 10:54:05 EBS OPR A 8349382 15567705 N</t>
  </si>
  <si>
    <t>CDW-090623-3 Accruing Finder's Fee SO 11095006 OPR Adjustments</t>
  </si>
  <si>
    <t>Accrual: Customer Rebate</t>
  </si>
  <si>
    <t>Accruing Finder's Fee SO 11095006</t>
  </si>
  <si>
    <t>CDW-100423-8 Accruing SAAS Moonshot AP Invoices 04-OCT-2023 14:35:09 EBS OPR A 9210608 16053194 N</t>
  </si>
  <si>
    <t>CDW-100423-8 Accruing SAAS Moonshot AP Invoices OPR Adjustments</t>
  </si>
  <si>
    <t>CDW-100323-8 Defer SO 11007544 Awaiting RMA/RTV to process 03-OCT-2023 15:42:50 EBS OPR A 16035532 N</t>
  </si>
  <si>
    <t>CDW-100323-8 Defer SO 11007544 Awaiting RMA/RTV to process OPR Adjustments</t>
  </si>
  <si>
    <t>Defer SO 11007544 Awaiting RMA/RTV to process</t>
  </si>
  <si>
    <t>Reverses "BDM-040522-18"19-OCT-23 10:17:03 - 395652439 EBS OPR A 9738295 16318248 N</t>
  </si>
  <si>
    <t>Reverses "BDM-040522-18"19-OCT-2023 10:17:03 OPR Adjustments</t>
  </si>
  <si>
    <t>Oct-23</t>
  </si>
  <si>
    <t>Reverses BDM-040522-18 journal entry of BDM-040522-18 05-APR-2022 22:00:51 batch from MAR-22.</t>
  </si>
  <si>
    <t>Reverses "CDW-100423-8 Accruing SAAS Moonshot AP Invoices"10-OCT-23 12:43:48 - 394984009  16200054 N</t>
  </si>
  <si>
    <t>Reverses "CDW-100423-8 Accruing SAAS Moonshot AP Invoices"10-OCT-2023 12:43:48 OPR Adjustments</t>
  </si>
  <si>
    <t>Reverses CDW-100423-8 Accruing SAAS Moonshot AP Invoices journal entry of CDW-100423-8 Accruing SAAS Moonshot AP Invoices 04-OCT-2023 14:35:09 batch from SEP-23.</t>
  </si>
  <si>
    <t>Reverses "CDW-100323-8 Defer SO 11007544 Awaiting RMA/RTV to"31-OCT-23 10:10:42 - 3965067 16513300 N</t>
  </si>
  <si>
    <t>Reverses "CDW-100323-8 Defer SO 11007544 Awaiting RMA/RTV to process"31-OCT-2023 10:10:42 OPR Adjus</t>
  </si>
  <si>
    <t>Reverses CDW-100323-8 Defer SO 11007544 Awaiting RMA/RTV to process journal entry of CDW-100323-8 Defer SO 11007544 Awaiting RMA/RTV to process 03-OCT-2023 15:42:50 batch from SEP-23.</t>
  </si>
  <si>
    <t>Reverses "CDW-040523-3 Defer SO 10650154 Ops issue"19-OCT-23 10:15:50 - 395652326 EBS OPR 16318248 N</t>
  </si>
  <si>
    <t>Reverses "CDW-040523-3 Defer SO 10650154 Ops issue"19-OCT-2023 10:15:50 OPR Adjustments</t>
  </si>
  <si>
    <t>Reverses CDW-040523-3 Defer SO 10650154 Ops issue journal entry of CDW-040523-3 Defer SO 10650154 Ops issue 05-APR-2023 12:36:52 batch from MAR-23.</t>
  </si>
  <si>
    <t>Reverses "CDW-090623-3 Accruing Finder's Fee SO 11095006"17-OCT-23 11:13:15 - 395489783 E 16318248 N</t>
  </si>
  <si>
    <t>Reverses "CDW-090623-3 Accruing Finder's Fee SO 11095006"17-OCT-2023 11:13:16 OPR Adjustments</t>
  </si>
  <si>
    <t>Reverses CDW-090623-3 Accruing Finder's Fee SO 11095006 journal entry of CDW-090623-3 Accruing Finder's Fee SO 11095006 06-SEP-2023 10:54:05 batch from AUG-23.</t>
  </si>
  <si>
    <t>Reverses "BDM-020322-22"19-OCT-23 10:16:21 - 395652399 EBS OPR A 9738295 16318248 N</t>
  </si>
  <si>
    <t>Reverses "BDM-020322-22"19-OCT-2023 10:16:21 OPR Adjustments</t>
  </si>
  <si>
    <t>Reverses BDM-020322-22 journal entry of BDM-020322-22 03-FEB-2022 12:45:35 batch from JAN-22.</t>
  </si>
  <si>
    <t>CDW-103123-10 Reversing RMA 2209779 on hold</t>
  </si>
  <si>
    <t>Reversing RMA 2209779 on hold</t>
  </si>
  <si>
    <t>Reverses CDW-041823-3 Reclass Account to AR Other SO 2209779 16-10-23 19:10:51 16255645</t>
  </si>
  <si>
    <t>Reverses CDW-041823-3 Reclass Account to AR Other SO 2209779 16-10-23 19:10:52</t>
  </si>
  <si>
    <t>Reverses journal CDW-041823-3 Reclass Account to AR Other SO 2209779 of journal batch CDW-041823-3 Reclass Account to AR Other SO 2209779 from period Apr-23.</t>
  </si>
  <si>
    <t>CDW-091923-3 Finder's Fee Accrual SO 1105877 19-SEP-2023 23:20:37 EBS OPR A 8904188 15894389 N</t>
  </si>
  <si>
    <t>CDW-091923-3 Finder's Fee Accrual SO 1105877 OPR Adjustments</t>
  </si>
  <si>
    <t>Finder's Fee Accrual SO 1105877</t>
  </si>
  <si>
    <t>Reverses "CDW-091923-3 Finder's Fee Accrual SO 1105877"14-NOV-23 22:47:55 - 397596796 EBS 16768874 N</t>
  </si>
  <si>
    <t>Reverses "CDW-091923-3 Finder's Fee Accrual SO 1105877"14-NOV-2023 22:47:56 OPR Adjustments</t>
  </si>
  <si>
    <t>Nov-23</t>
  </si>
  <si>
    <t>Reverses CDW-091923-3 Finder's Fee Accrual SO 1105877 journal entry of CDW-091923-3 Finder's Fee Accrual SO 1105877 19-SEP-2023 23:20:37 batch from SEP-23.</t>
  </si>
  <si>
    <t>CDW-110123-6 Defer AP Inv 6101662962 WWT SAAS</t>
  </si>
  <si>
    <t>Defer AP Inv 6101662962 WWT SAAS</t>
  </si>
  <si>
    <t>Reverses CDW-110123-6 Defer AP Inv 6101662962 WWT SAAS 13-11-23 21:35:09 16732328</t>
  </si>
  <si>
    <t>Reverses CDW-110123-6 Defer AP Inv 6101662962 WWT SAAS 13-11-23 21:35:10</t>
  </si>
  <si>
    <t>Reverses journal CDW-110123-6 Defer AP Inv 6101662962 WWT SAAS of journal batch CDW-110123-6 Defer AP Inv 6101662962 WWT SAAS from period Oct-23.</t>
  </si>
  <si>
    <t>CDW-070723-1 Defer SO 10944744 Ops issue 07-JUL-2023 08:51:13 EBS OPR A 6692628 14511610 N</t>
  </si>
  <si>
    <t>CDW-070723-1 Defer SO 10944744 Ops issue OPR Adjustments</t>
  </si>
  <si>
    <t>Defer SO 10944744 Ops issue</t>
  </si>
  <si>
    <t>Reverses "CDW-070723-1 Defer SO 10944744 Ops issue"14-NOV-23 12:18:50 - 397555746 EBS OPR 16768874 N</t>
  </si>
  <si>
    <t>Reverses "CDW-070723-1 Defer SO 10944744 Ops issue"14-NOV-2023 12:18:50 OPR Adjustments</t>
  </si>
  <si>
    <t>Reverses CDW-070723-1 Defer SO 10944744 Ops issue journal entry of CDW-070723-1 Defer SO 10944744 Ops issue 07-JUL-2023 08:51:13 batch from JUN-23.</t>
  </si>
  <si>
    <t>CDW-120623-6 Accruing AP Inv 10210513706 06-DEC-2023 14:42:05 EBS OPR A 11246173 17128458 N</t>
  </si>
  <si>
    <t>CDW-120623-6 Accruing AP Inv 10210513706 OPR Adjustments</t>
  </si>
  <si>
    <t>Accruing AP Inv 10210513706</t>
  </si>
  <si>
    <t>101.12017.245011.9999.999.999.9999.9999</t>
  </si>
  <si>
    <t>Reverses "CDW-120623-6 Accruing AP Inv 10210513706"02-JAN-24 14:15:48 - 401335310 EBS OPR 17563554 N</t>
  </si>
  <si>
    <t>Reverses "CDW-120623-6 Accruing AP Inv 10210513706"02-JAN-2024 14:15:48 OPR Adjustments</t>
  </si>
  <si>
    <t>Dec-23</t>
  </si>
  <si>
    <t>Reverses CDW-120623-6 Accruing AP Inv 10210513706 journal entry of CDW-120623-6 Accruing AP Inv 10210513706 06-DEC-2023 14:42:05 batch from NOV-23.</t>
  </si>
  <si>
    <t>BDM-120221-4 02-DEC-2021 13:03:00</t>
  </si>
  <si>
    <t>BDM-120221-4</t>
  </si>
  <si>
    <t>Nov-21</t>
  </si>
  <si>
    <t>SO 9796205lines awaiting fulfillment</t>
  </si>
  <si>
    <t>BDM-010622-2 06-JAN-2022 13:17:33</t>
  </si>
  <si>
    <t>BDM-010622-2</t>
  </si>
  <si>
    <t>Dec-21</t>
  </si>
  <si>
    <t>SO 9796205has awaiting fulfillment lines</t>
  </si>
  <si>
    <t>BDM-050422-31 04-MAY-2022 12:56:00 EBS OPR A 17468738 7952288 N</t>
  </si>
  <si>
    <t>BDM-050422-31 OPR Adjustments</t>
  </si>
  <si>
    <t>Releasing cost from timing to OPR for awaiting fufillment lines on SO 9796205</t>
  </si>
  <si>
    <t>CDW-010524-14 Take SO 9796205 to G/A</t>
  </si>
  <si>
    <t>Take SO 9796205 to G/A</t>
  </si>
  <si>
    <t>75N98021F00001</t>
  </si>
  <si>
    <t>Reversed in December - Replacement orders needing RMA/RTV emailed 10/19 &amp; 11/14</t>
  </si>
  <si>
    <t>CDW-090123-17 Defer SO 10941581 WWT Cost. RMA/RTV being worked for replacement parts 3919 15474037 N</t>
  </si>
  <si>
    <t>CDW-090123-17 Defer SO 10941581 WWT Cost. RMA/RTV being worked for replacement parts 124308 OPR Adj</t>
  </si>
  <si>
    <t>Timing: Replacement Orders</t>
  </si>
  <si>
    <t>Defer SO 10941581 WWT Cost. RMA/RTV being worked for replacement parts</t>
  </si>
  <si>
    <t>CDW-090123-16 Defer SO 10941585 WWT Cost. RMA/RTV being worked for replacement parts 3919 15474037 N</t>
  </si>
  <si>
    <t>CDW-090123-16 Defer SO 10941585 WWT Cost. RMA/RTV being worked for replacement parts 123415 OPR Adj</t>
  </si>
  <si>
    <t>Defer SO 10941585 WWT Cost. RMA/RTV being worked for replacement parts</t>
  </si>
  <si>
    <t xml:space="preserve">Offsets with Federal Navy </t>
  </si>
  <si>
    <t>Reverses "CDW-090123-16 Defer SO 10941585 WWT Cost. RMA/RTV "03-JAN-24 12:34:21 - 4014160 17580027 N</t>
  </si>
  <si>
    <t>Reverses "CDW-090123-16 Defer SO 10941585 WWT Cost. RMA/RTV being worked for re03-JAN-2024 12:34:21</t>
  </si>
  <si>
    <t>Reverses CDW-090123-16 Defer SO 10941585 WWT Cost. RMA/RTV being worked for rep journal entry of CDW-090123-16 Defer SO 10941585 WWT Cost. RMA/RTV being worked for replacement parts 391945854 batch from AUG-23.</t>
  </si>
  <si>
    <t>Reverses "CDW-090123-17 Defer SO 10941581 WWT Cost. RMA/RTV "03-JAN-24 12:33:50 - 4014160 17580027 N</t>
  </si>
  <si>
    <t>Reverses "CDW-090123-17 Defer SO 10941581 WWT Cost. RMA/RTV being worked for re03-JAN-2024 12:33:50</t>
  </si>
  <si>
    <t>Reverses CDW-090123-17 Defer SO 10941581 WWT Cost. RMA/RTV being worked for rep journal entry of CDW-090123-17 Defer SO 10941581 WWT Cost. RMA/RTV being worked for replacement parts 391946541 batch from AUG-23.</t>
  </si>
  <si>
    <t>CDW-110623-2 Defer Bulk PO's AR Issue Palm Beach 06-NOV-2023 09:54:37 EBS OPR A 10218862 16614231 N</t>
  </si>
  <si>
    <t>CDW-110623-2 Defer Bulk PO's AR Issue Palm Beach OPR Adjustments</t>
  </si>
  <si>
    <t>Defer Bulk PO's AR Issue Palm Beach</t>
  </si>
  <si>
    <t>CDW-120423-8 Releasing portion of Bulk PO's WWT cost Palm Beach 04-DEC-2023 17:13:56 EBS  17087102 N</t>
  </si>
  <si>
    <t>CDW-120423-8 Releasing portion of Bulk PO's WWT cost Palm Beach OPR Adjustments</t>
  </si>
  <si>
    <t>Releasing portion of Bulk PO's WWT cost</t>
  </si>
  <si>
    <t>CDW-120423-8 Defer Bulk PO's AR Issue Palm Beach 04-DEC-2023 15:32:54 EBS OPR A 11212571 17086206 N</t>
  </si>
  <si>
    <t>CDW-120423-8 Defer Bulk PO's AR Issue Palm Beach OPR Adjustments</t>
  </si>
  <si>
    <t>CDW-0103224-1 Releasing Portion of Bulk PO WWT Cost 03-JAN-2024 13:01:01 EBS OPR A 120289 17580026 N</t>
  </si>
  <si>
    <t>CDW-0103224-1 Releasing Portion of Bulk PO WWT Cost OPR Adjustments</t>
  </si>
  <si>
    <t>Releasing Portion of Bulk PO WWT Cost</t>
  </si>
  <si>
    <t>Reverses "CDW-120423-8 Releasing portion of Bulk PO's WWT co"29-JAN-24 15:43:51 - 4033738 18030544 N</t>
  </si>
  <si>
    <t>Reverses "CDW-120423-8 Releasing portion of Bulk PO's WWT cost Palm Beach"29-JAN-2024 15:43:51 OPR</t>
  </si>
  <si>
    <t>Jan-24</t>
  </si>
  <si>
    <t>Reverses CDW-120423-8 Releasing portion of Bulk PO's WWT cost Palm Beach journal entry of CDW-120423-8 Releasing portion of Bulk PO's WWT cost Palm Beach 04-DEC-2023 17:13:56 batch from NOV-23.</t>
  </si>
  <si>
    <t>Reverses "CDW-0103224-1 Releasing Portion of Bulk PO WWT Cos"29-JAN-24 15:42:43 - 4033737 18030544 N</t>
  </si>
  <si>
    <t>Reverses "CDW-0103224-1 Releasing Portion of Bulk PO WWT Cost"29-JAN-2024 15:42:43 OPR Adjustments</t>
  </si>
  <si>
    <t>Reverses CDW-0103224-1 Releasing Portion of Bulk PO WWT Cost journal entry of CDW-0103224-1 Releasing Portion of Bulk PO WWT Cost 03-JAN-2024 13:01:01 batch from DEC-23.</t>
  </si>
  <si>
    <t>Reverses "CDW-110623-2 Defer Bulk PO's AR Issue Palm Beach"29-JAN-24 15:37:00 - 403373272 18030544 N</t>
  </si>
  <si>
    <t>Reverses "CDW-110623-2 Defer Bulk PO's AR Issue Palm Beach"29-JAN-2024 15:37:00 OPR Adjustments</t>
  </si>
  <si>
    <t>Reverses CDW-110623-2 Defer Bulk PO's AR Issue Palm Beach journal entry of CDW-110623-2 Defer Bulk PO's AR Issue Palm Beach 06-NOV-2023 09:54:37 batch from OCT-23.</t>
  </si>
  <si>
    <t>Reverses "CDW-120423-8 Defer Bulk PO's AR Issue Palm Beach"29-JAN-24 15:41:22 - 403373625 18030544 N</t>
  </si>
  <si>
    <t>Reverses "CDW-120423-8 Defer Bulk PO's AR Issue Palm Beach"29-JAN-2024 15:41:22 OPR Adjustments</t>
  </si>
  <si>
    <t>Reverses CDW-120423-8 Defer Bulk PO's AR Issue Palm Beach journal entry of CDW-120423-8 Defer Bulk PO's AR Issue Palm Beach 04-DEC-2023 15:32:54 batch from NOV-23.</t>
  </si>
  <si>
    <t>CDW-092523-22 Finder's Fee accrual SO 11050001 25-SEP-2023 12:57:50 EBS OPR A 8904188 15894389 N</t>
  </si>
  <si>
    <t>CDW-092523-22 Finder's Fee accrual SO 11050001 OPR Adjustments</t>
  </si>
  <si>
    <t>Finder's Fee accrual SO 11050001</t>
  </si>
  <si>
    <t>Reverses "CDW-092523-22 Finder's Fee accrual SO 11050001"30-JAN-24 15:41:20 - 403462695 E 18030544 N</t>
  </si>
  <si>
    <t>Reverses "CDW-092523-22 Finder's Fee accrual SO 11050001"30-JAN-2024 15:41:20 OPR Adjustments</t>
  </si>
  <si>
    <t>Reverses CDW-092523-22 Finder's Fee accrual SO 11050001 journal entry of CDW-092523-22 Finder's Fee accrual SO 11050001 25-SEP-2023 12:57:50 batch from SEP-23.</t>
  </si>
  <si>
    <t>CDW-010524-10 Accruing VA EA AP Inv 6101727171 to OPR 05-JAN-2024 10:43:50 EBS OPR A 1212 17614354 N</t>
  </si>
  <si>
    <t>CDW-010524-10 Accruing VA EA AP Inv 6101727171 to OPR OPR Adjustments</t>
  </si>
  <si>
    <t>Accruing VA EA AP Inv 6101727171 to OPR</t>
  </si>
  <si>
    <t>CDW-010524-7 Accruing Cost VA Acqueon EA SO 11214658 05-JAN-2024 09:59:14 EBS OPR A 12119 17613893 N</t>
  </si>
  <si>
    <t>CDW-010524-7 Accruing Cost VA Acqueon EA SO 11214658 OPR Adjustments</t>
  </si>
  <si>
    <t>Accruing Cost VA Acqueon EA SO 11214658</t>
  </si>
  <si>
    <t>Reverses "CDW-010524-10 Accruing VA EA AP Inv 6101727171 to "22-JAN-24 12:10:23 - 4028155 17906670 N</t>
  </si>
  <si>
    <t>Reverses "CDW-010524-10 Accruing VA EA AP Inv 6101727171 to OPR"22-JAN-2024 12:10:23 OPR Adjustment</t>
  </si>
  <si>
    <t>Reverses CDW-010524-10 Accruing VA EA AP Inv 6101727171 to OPR journal entry of CDW-010524-10 Accruing VA EA AP Inv 6101727171 to OPR 05-JAN-2024 10:43:50 batch from DEC-23.</t>
  </si>
  <si>
    <t>Reverses "CDW-010524-7 Accruing Cost VA Acqueon EA SO 112146"29-JAN-24 15:44:25 - 4033738 18030544 N</t>
  </si>
  <si>
    <t>Reverses "CDW-010524-7 Accruing Cost VA Acqueon EA SO 11214658"29-JAN-2024 15:44:25 OPR Adjustments</t>
  </si>
  <si>
    <t>Reverses CDW-010524-7 Accruing Cost VA Acqueon EA SO 11214658 journal entry of CDW-010524-7 Accruing Cost VA Acqueon EA SO 11214658 05-JAN-2024 09:59:14 batch from DEC-23.</t>
  </si>
  <si>
    <t>CDW-090623-13 Defer WWTPO 4031126 SO 10269777</t>
  </si>
  <si>
    <t>Defer WWTPO 4031126 SO 10269777</t>
  </si>
  <si>
    <t>101.12022.245011.9999.207.999.9999.9999</t>
  </si>
  <si>
    <t>PR0033292</t>
  </si>
  <si>
    <t>CDW-120623-4 Defer WWTPO 4031126 SO 10269777</t>
  </si>
  <si>
    <t>Reverses CDW-090623-13 Defer WWTPO 4031126 SO 10269777 14-11-23 21:28:37 16749861</t>
  </si>
  <si>
    <t>Reverses CDW-090623-13 Defer WWTPO 4031126 SO 10269777 14-11-23 21:28:38</t>
  </si>
  <si>
    <t>Reverses journal CDW-090623-13 Defer WWTPO 4031126 SO 10269777 of journal batch CDW-090623-13 Defer WWTPO 4031126 SO 10269777 from period Aug-23.</t>
  </si>
  <si>
    <t>Reverses CDW-120623-4 Defer WWTPO 4031126 SO 10269777 01-02-24 15:40:43 18052139</t>
  </si>
  <si>
    <t>Reverses CDW-120623-4 Defer WWTPO 4031126 SO 10269777 01-02-24 15:40:44</t>
  </si>
  <si>
    <t>Reverses journal CDW-120623-4 Defer WWTPO 4031126 SO 10269777 of journal batch CDW-120623-4 Defer WWTPO 4031126 SO 10269777 from period Nov-23.</t>
  </si>
  <si>
    <t>CDW-110223-7 Finder's Fee SO 11134396 check request to DINI 02-NOV-2023 11:56:56 EBS OPR  16550247 N</t>
  </si>
  <si>
    <t>CDW-110223-7 Finder's Fee SO 11134396 check request to DINI OPR Adjustments</t>
  </si>
  <si>
    <t>Finder's Fee SO 11134396 check request to DINI</t>
  </si>
  <si>
    <t>Reverses "CDW-110223-7 Finder's Fee SO 11134396 check reques"30-JAN-24 15:33:21 - 4034621 18030544 N</t>
  </si>
  <si>
    <t>Reverses "CDW-110223-7 Finder's Fee SO 11134396 check request to DINI"30-JAN-2024 15:33:21 OPR Adju</t>
  </si>
  <si>
    <t>Reverses CDW-110223-7 Finder's Fee SO 11134396 check request to DINI journal entry of CDW-110223-7 Finder's Fee SO 11134396 check request to DINI 02-NOV-2023 11:56:56 batch from OCT-23.</t>
  </si>
  <si>
    <t>CDW-010524-5 Accruing Finder's Fee SO 11025854 05-JAN-2024 09:34:54 EBS OPR A 12119334 17613893 N</t>
  </si>
  <si>
    <t>CDW-010524-5 Accruing Finder's Fee SO 11025854 OPR Adjustments</t>
  </si>
  <si>
    <t>Accruing Finder's Fee SO 11025854</t>
  </si>
  <si>
    <t>Reverses "CDW-010524-5 Accruing Finder's Fee SO 11025854"18-JAN-24 11:12:11 - 402524160 E 17826478 N</t>
  </si>
  <si>
    <t>Reverses "CDW-010524-5 Accruing Finder's Fee SO 11025854"18-JAN-2024 11:12:11 OPR Adjustments</t>
  </si>
  <si>
    <t>Reverses CDW-010524-5 Accruing Finder's Fee SO 11025854 journal entry of CDW-010524-5 Accruing Finder's Fee SO 11025854 05-JAN-2024 09:34:54 batch from DEC-23.</t>
  </si>
  <si>
    <t>CDW-010524-9 Defer SO 11258948 Ops Issue 05-JAN-2024 10:25:49 EBS OPR A 12119453 17613972 N</t>
  </si>
  <si>
    <t>CDW-010524-9 Defer SO 11258948 Ops Issue OPR Adjustments</t>
  </si>
  <si>
    <t>Defer SO 11258948 Ops Issue</t>
  </si>
  <si>
    <t>Reverses "CDW-010524-9 Defer SO 11258948 Ops Issue"24-JAN-24 09:53:57 - 402968650 EBS OPR 18030544 N</t>
  </si>
  <si>
    <t>Reverses "CDW-010524-9 Defer SO 11258948 Ops Issue"24-JAN-2024 09:53:57 OPR Adjustments</t>
  </si>
  <si>
    <t>Reverses CDW-010524-9 Defer SO 11258948 Ops Issue journal entry of CDW-010524-9 Defer SO 11258948 Ops Issue 05-JAN-2024 10:25:49 batch from DEC-23.</t>
  </si>
  <si>
    <t>CDW-020624-11 Tie AP Inv 6101757700 to OPR VA EA 06-FEB-2024 15:19:10 EBS OPR A 13071965 18148033 N</t>
  </si>
  <si>
    <t>CDW-020624-11 Tie AP Inv 6101757700 to OPR VA EA OPR Adjustments</t>
  </si>
  <si>
    <t>Tie AP Inv 6101757700 to OPR VA EA</t>
  </si>
  <si>
    <t>Reverses "CDW-020624-11 Tie AP Inv 6101757700 to OPR VA EA"15-FEB-24 14:57:32 - 404714087 18308966 N</t>
  </si>
  <si>
    <t>Reverses "CDW-020624-11 Tie AP Inv 6101757700 to OPR VA EA"15-FEB-2024 14:57:32 OPR Adjustments</t>
  </si>
  <si>
    <t>Feb-24</t>
  </si>
  <si>
    <t>Reverses CDW-020624-11 Tie AP Inv 6101757700 to OPR VA EA journal entry of CDW-020624-11 Tie AP Inv 6101757700 to OPR VA EA 06-FEB-2024 15:19:10 batch from JAN-24.</t>
  </si>
  <si>
    <t>JMD-040424-4 Defer Avg Cost Variance G2CUSTFCD.ACTUAL.778726.12015 Spreadsheet A 30000010 19115465 N</t>
  </si>
  <si>
    <t>JMD-040424-4 Defer Avg Cost Variance G2CUSTFCD.ACTUAL.778726.12015 Accrual</t>
  </si>
  <si>
    <t>Mar-24</t>
  </si>
  <si>
    <t>Defer Avg Cost Variance G2CUSTFCD.ACTUAL.778726.12015</t>
  </si>
  <si>
    <t>1268959</t>
  </si>
  <si>
    <t>Reverses JMD-040424-4 Defer Avg Cost Variance G2CUSTFCD.ACTUA 04-04-24 16:16:20 19116031</t>
  </si>
  <si>
    <t>Reverses JMD-040424-4 Defer Avg Cost Variance G2CUSTFCD.ACTUAL.778726.12015 Accru 04-04-24 16:16:21</t>
  </si>
  <si>
    <t>Reverses journal JMD-040424-4 Defer Avg Cost Variance G2CUSTFCD.ACTUAL.778726.12015 Accrual of journal batch JMD-040424-4 Defer Avg Cost Variance G2CUSTFCD.ACTUAL.778726.12015 Spreadsheet A 30000010 19115465 N from period Mar-24.</t>
  </si>
  <si>
    <t>CDW-030624-7 Defer SO 11139340 to timing 06-MAR-2024 13:28:37 EBS OPR A 13980978 18633466 N</t>
  </si>
  <si>
    <t>CDW-030624-7 Defer SO 11139340 to timing OPR Adjustments</t>
  </si>
  <si>
    <t>Defer SO 11139340 to timing</t>
  </si>
  <si>
    <t>Reverses "CDW-030624-7 Defer SO 11139340 to timing"04-APR-24 12:30:32 - 408382512 EBS OPR 19117031 N</t>
  </si>
  <si>
    <t>Reverses "CDW-030624-7 Defer SO 11139340 to timing"04-APR-2024 12:30:33 OPR Adjustments</t>
  </si>
  <si>
    <t>Reverses CDW-030624-7 Defer SO 11139340 to timing journal entry of CDW-030624-7 Defer SO 11139340 to timing 06-MAR-2024 13:28:37 batch from FEB-24.</t>
  </si>
  <si>
    <t xml:space="preserve">Offsets - Reversed portion 1.6M in February </t>
  </si>
  <si>
    <t>CDW-020524-1 Defer WWTXaaS177 2 months Q1 05-FEB-2024 11:54:34 EBS OPR A 13043096 18135111 N</t>
  </si>
  <si>
    <t>CDW-020524-1 Defer WWTXaaS177 2 months Q1 OPR Adjustments</t>
  </si>
  <si>
    <t>Defer WWTXaaS177 2 months Q1</t>
  </si>
  <si>
    <t>CDW-030524-8 Releasing portion of AP WWTXaaS177 from timing 05-MAR-2024 12:31:21 EBS OPR  18629568 N</t>
  </si>
  <si>
    <t>CDW-030524-8 Releasing portion of AP WWTXaaS177 from timing OPR Adjustments</t>
  </si>
  <si>
    <t>Releasing portion of AP WWTXaaS177 from timing</t>
  </si>
  <si>
    <t>CDW-022324-1 Credit Memo 99180820CM WWTXaaS177 offsetting timing</t>
  </si>
  <si>
    <t>Credit Memo 99180820CM WWTXaaS177 offsetting timing</t>
  </si>
  <si>
    <t>JMD-031324-7 Reverse portion of CDW-020524-1 Defer WWTXaaS177 153435 Spreadsheet A 16 406 18760122 N</t>
  </si>
  <si>
    <t>JMD-031324-7 Reverse portion of CDW-020524-1 Defer WWTXaaS177 153435 OPR Adjustment USD User 1 OPR</t>
  </si>
  <si>
    <t>Reverse portion of CDW-020524-1 Defer WWTXaaS177</t>
  </si>
  <si>
    <t>CDW-030524-14 Defer WWTCLOUDBROKER7 reverse in MAR-24 05-MAR-2024 23:49:38 EBS OPR A 1392 18631357 N</t>
  </si>
  <si>
    <t>CDW-030524-14 Defer WWTCLOUDBROKER7 reverse in MAR-24 OPR Adj EBS AutoRev</t>
  </si>
  <si>
    <t>Reverses "CDW-030524-14 Defer WWTCLOUDBROKER7 reverse in MAR"06-MAR-24 17:00:28 - 4062365 18636734 N</t>
  </si>
  <si>
    <t>Reverses "CDW-030524-14 Defer WWTCLOUDBROKER7 reverse in MAR-24"06-MAR-2024 17:00:28 OPR Adj EBS Au</t>
  </si>
  <si>
    <t>Reverses CDW-030524-14 Defer WWTCLOUDBROKER7 reverse in MAR-24 journal entry of CDW-030524-14 Defer WWTCLOUDBROKER7 reverse in MAR-24 05-MAR-2024 23:49:38 batch from FEB-24.</t>
  </si>
  <si>
    <t>Manual A 149969 371136527 EBS OPR A 730618 10887959 N</t>
  </si>
  <si>
    <t>JMM-120222-1 Reverse Dec-22 OPR Adjustment USD User 1 OPR Adjustments</t>
  </si>
  <si>
    <t>Accruing cost SO 10479984</t>
  </si>
  <si>
    <t>Reverses "JMM-120222-1 Reverse Dec-22 OPR Adjustment USD Use"14-MAR-24 09:42:45 - 4068768 18834665 N</t>
  </si>
  <si>
    <t>Reverses "JMM-120222-1 Reverse Dec-22 OPR Adjustment USD User 1"14-MAR-2024 09:42:45 OPR Adjustment</t>
  </si>
  <si>
    <t>Reverses JMM-120222-1 Reverse Dec-22 OPR Adjustment USD User 1 journal entry of Manual A 149969 371136527 batch from NOV-22.</t>
  </si>
  <si>
    <t>Colin did a reversal JE Jun-23/What is this supposed to offset with?/ Will offset in Decemeber Check other timing account(Colin's original note); Defer Federal Health WWTINCSAAS924, PO 22P09282</t>
  </si>
  <si>
    <t>Reverses "JMD-030623-5 Defer Federal Health WWTINCSAAS924, P"21-NOV-23 14:45:57 - 3980932 16890870 N</t>
  </si>
  <si>
    <t>Reverses "JMD-030623-5 Defer Federal Health WWTINCSAAS924, PO 22P09282"21-NOV-2023 14:45:57 OPR Adj</t>
  </si>
  <si>
    <t>Reverses JMD-030623-5 Defer Federal Health WWTINCSAAS924, PO 22P09282 journal entry of JMD-030623-5 Defer Federal Health WWTINCSAAS924, PO 22P09282 06-MAR-2023 13:00:13 batch from FEB-23.</t>
  </si>
  <si>
    <t>JMD-030623-5 Defer Federal Health WWTINCSAAS924, PO 22P09282 06-MAR-2023 13:00:13 EBS OPR 12362054 N</t>
  </si>
  <si>
    <t>JMD-030623-5 Defer Federal Health WWTINCSAAS924, PO 22P09282 OPR Adjustments</t>
  </si>
  <si>
    <t>Reversed - Per Colin's notes "Termination Fee to be paid by EOY"</t>
  </si>
  <si>
    <t>CDW-110623-4 Termination Fee to Pay EOY 06-NOV-2023 11:05:02 EBS OPR A 10218862 16614231 N</t>
  </si>
  <si>
    <t>CDW-110623-4 Termination Fee to Pay EOY OPR Adjustments</t>
  </si>
  <si>
    <t>Termination Fee to Pay EOY</t>
  </si>
  <si>
    <t>101.12001.245011.9999.999.999.9999.9999</t>
  </si>
  <si>
    <t>Colin's notes "Avg cost correction - SO 10811548 Part GSCUSTFCD"</t>
  </si>
  <si>
    <t>CDW-010424-8 Avg Cost Correction SO 10811548 Part GSCUSTFCD</t>
  </si>
  <si>
    <t>Avg Cost Correction SO 10811548 Part GSCUSTFCD</t>
  </si>
  <si>
    <t>101.12015.245011.9999.950.999.9999.9999</t>
  </si>
  <si>
    <t>CDW-030624-2 Accrue stuck balance SO 10281652 GL only</t>
  </si>
  <si>
    <t>R-00694584</t>
  </si>
  <si>
    <t>Reverse in APR-24</t>
  </si>
  <si>
    <t>TJM-040324-2</t>
  </si>
  <si>
    <t>Deferring AP Invoices reversing in APR-24</t>
  </si>
  <si>
    <t>Reversed in APR-24</t>
  </si>
  <si>
    <t>JMM-040124-5 Spreadsheet A 300000031755431 19057142 N</t>
  </si>
  <si>
    <t>JMM-040124-5 Adjustment</t>
  </si>
  <si>
    <t>Deferring RMA 2356235 on hold</t>
  </si>
  <si>
    <t>101.12021.245011.9999.204.999.9999.9999</t>
  </si>
  <si>
    <t>7426166</t>
  </si>
  <si>
    <t>JMD-040424-5 Defer Avg Cost Variance G2CUSTFCD.ACTUAL.778726.12015 Spreadsheet A 30000010 19116047 N</t>
  </si>
  <si>
    <t>JMD-040424-5 Defer Avg Cost Variance G2CUSTFCD.ACTUAL.778726.12015 Accrual</t>
  </si>
  <si>
    <t>JMD-041124-1 Reverse JMD-040424-5 Defer Avg Cost Variance Spreadsheet A 300000102776678 19240047 N</t>
  </si>
  <si>
    <t>JMD-041124-1 Reverse JMD-040424-5 Defer Avg Cost Variance Accrual</t>
  </si>
  <si>
    <t>Apr-24</t>
  </si>
  <si>
    <t>Avg Cost Variance G2CUSTFCD.ACTUAL.778726.12015</t>
  </si>
  <si>
    <t>Reverses JMM-040124-5 Adjustment 19-04-24 16:19:19 19373356</t>
  </si>
  <si>
    <t>Reverses JMM-040124-5 Adjustment 19-04-24 16:19:20</t>
  </si>
  <si>
    <t>Reverses journal JMM-040124-5 Adjustment of journal batch JMM-040124-5 Spreadsheet A 300000031755431 19057142 N from period Mar-24.</t>
  </si>
  <si>
    <t>Reverses CDW-030624-2 Accrue stuck balance SO 10281652 GL onl 09-04-24 20:25:28 19202516</t>
  </si>
  <si>
    <t>Reverses CDW-030624-2 Accrue stuck balance SO 10281652 GL only 09-04-24 20:25:29</t>
  </si>
  <si>
    <t>Reverses journal CDW-030624-2 Accrue stuck balance SO 10281652 GL only of journal batch CDW-030624-2 Accrue stuck balance SO 10281652 GL only from period Feb-24.</t>
  </si>
  <si>
    <t>Reverses TJM-040324-2 03-04-24 22:00:47 19078366</t>
  </si>
  <si>
    <t>Reverses TJM-040324-2 03-04-24 22:00:48</t>
  </si>
  <si>
    <t>Reverses journal TJM-040324-2 of journal batch TJM-040324-2 from period Mar-24.</t>
  </si>
  <si>
    <t>Reverses "CDW-110623-4 Termination Fee to Pay EOY"25-APR-24 15:47:44 - 409962344 EBS OPR  19499212 N</t>
  </si>
  <si>
    <t>Reverses "CDW-110623-4 Termination Fee to Pay EOY"25-APR-2024 15:47:44 OPR Adjustments</t>
  </si>
  <si>
    <t>Reverses CDW-110623-4 Termination Fee to Pay EOY journal entry of CDW-110623-4 Termination Fee to Pay EOY 06-NOV-2023 11:05:02 batch from OCT-23.</t>
  </si>
  <si>
    <t>Reverses CDW-010424-8 Avg Cost Correction SO 10811548 Part GS 25-04-24 21:20:23 19473602</t>
  </si>
  <si>
    <t>Reverses CDW-010424-8 Avg Cost Correction SO 10811548 Part GSCUSTFCD  25-04-24 21:20:24</t>
  </si>
  <si>
    <t>Reverses journal CDW-010424-8 Avg Cost Correction SO 10811548 Part GSCUSTFCD  of journal batch CDW-010424-8 Avg Cost Correction SO 10811548 Part GSCUSTFCD  from period Dec-23.</t>
  </si>
  <si>
    <t>Reversed in MAY-24</t>
  </si>
  <si>
    <t>TJM-042924-1 Finder's Fee Accrual SO 11414201 29-APR-2024 09:12:26 EBS OPR A 15395439 19563710 N</t>
  </si>
  <si>
    <t>TJM-042924-1 Finder's Fee Accrual SO 11414201 OPR Adjustments</t>
  </si>
  <si>
    <t>Finder's Fee Accrual SO 11414201</t>
  </si>
  <si>
    <t>Reverses "TJM-042924-1 Finder's Fee Accrual SO 11414201"03-JUN-24 11:34:59 - 412337204 EB 20127638 N</t>
  </si>
  <si>
    <t>Reverses "TJM-042924-1 Finder's Fee Accrual SO 11414201"03-JUN-2024 11:34:59 OPR Adjustments</t>
  </si>
  <si>
    <t>May-24</t>
  </si>
  <si>
    <t>Reverses TJM-042924-1 Finder's Fee Accrual SO 11414201 journal entry of TJM-042924-1 Finder's Fee Accrual SO 11414201 29-APR-2024 09:12:26 batch from APR-24.</t>
  </si>
  <si>
    <t>Defer RMA 2377943 on hold - TJM - Reversed 7/1/24</t>
  </si>
  <si>
    <t>TJM-060624-8 Defer SO 2377943 Spreadsheet A 300000305300838 20182119 N</t>
  </si>
  <si>
    <t>TJM-060624-8 Defer SO 2377943 Adjustment</t>
  </si>
  <si>
    <t>Defer SO 2377943</t>
  </si>
  <si>
    <t>3M-13308229</t>
  </si>
  <si>
    <t>Reverses TJM-060624-8 Defer SO 2377943 Adjustment 01-07-24 20:23:55 20594051</t>
  </si>
  <si>
    <t>Reverses TJM-060624-8 Defer SO 2377943 Adjustment 01-07-24 20:23:56</t>
  </si>
  <si>
    <t>Jun-24</t>
  </si>
  <si>
    <t>Reverses journal TJM-060624-8 Defer SO 2377943 Adjustment of journal batch TJM-060624-8 Defer SO 2377943 Spreadsheet A 300000305300838 20182119 N from period May-24.</t>
  </si>
  <si>
    <t>Defer SO 11512571 on hold - TJM</t>
  </si>
  <si>
    <t>TJM-060424-19 Deferring SO on Hold Spreadsheet A 300000305300838 20161991 N</t>
  </si>
  <si>
    <t>TJM-060424-19 Deferring SO on Hold Adjustment</t>
  </si>
  <si>
    <t>Deferring SO 11512571 on Hold</t>
  </si>
  <si>
    <t>101.11004.245011.9999.950.999.9999.9999</t>
  </si>
  <si>
    <t>Reverses TJM-060424-19 Deferring SO on Hold Adjustment 11-06-24 19:50:09 20265573</t>
  </si>
  <si>
    <t>Reverses TJM-060424-19 Deferring SO on Hold Adjustment 11-06-24 19:50:10</t>
  </si>
  <si>
    <t>Reverses journal TJM-060424-19 Deferring SO on Hold Adjustment of journal batch TJM-060424-19 Deferring SO on Hold Spreadsheet A 300000305300838 20161991 N from period May-24.</t>
  </si>
  <si>
    <t>Auto Reversed JUN 24 - TJM</t>
  </si>
  <si>
    <t>TJM-060624-7 Accrue SO Cost Correction Spreadsheet A 300000305300838 20182119 N</t>
  </si>
  <si>
    <t>TJM-060624-7 Accrue SO Cost Correction WWT Accrual Auto Rev</t>
  </si>
  <si>
    <t>Accrue SO WWT-HW100 Cost Correction</t>
  </si>
  <si>
    <t>101.12016.245011.9999.999.999.9999.9999</t>
  </si>
  <si>
    <t>TJM-060524-1 Accrue SO Cost</t>
  </si>
  <si>
    <t>Accrue SO WWT-HW100 Cost</t>
  </si>
  <si>
    <t>Accrue SO WWT-HW100 Cost to JUN-24</t>
  </si>
  <si>
    <t>Reverses TJM-060624-7 Accrue SO Cost Correction WWT Accrual A 06-06-24 22:01:39 20166402</t>
  </si>
  <si>
    <t>Reverses TJM-060624-7 Accrue SO Cost Correction WWT Accrual Auto Rev 06-06-24 22:01:40</t>
  </si>
  <si>
    <t>Reverses journal TJM-060624-7 Accrue SO Cost Correction WWT Accrual Auto Rev of journal batch TJM-060624-7 Accrue SO Cost Correction Spreadsheet A 300000305300838 20182119 N from period May-24.</t>
  </si>
  <si>
    <t>Reverses TJM-060524-1 Accrue SO Cost 05-06-24 22:00:21 20144701</t>
  </si>
  <si>
    <t>Reverses TJM-060524-1 Accrue SO Cost 05-06-24 22:00:22</t>
  </si>
  <si>
    <t>Reverses journal TJM-060524-1 Accrue SO Cost of journal batch TJM-060524-1 Accrue SO Cost from period May-24.</t>
  </si>
  <si>
    <t>Defer cost from PO 4500294241 - TJM</t>
  </si>
  <si>
    <t>JMM-060624-6 Deferring customer PO 4500294241 06-JUN-2024 14:02:14 EBS OPR A 16401754 20184660 N</t>
  </si>
  <si>
    <t>JMM-060624-6 Deferring customer PO 4500294241 OPR Adjustments</t>
  </si>
  <si>
    <t>Deferring customer PO 4500294241 AP correction needed</t>
  </si>
  <si>
    <t>Reverses "JMM-060624-6 Deferring customer PO 4500294241"02-JUL-24 12:03:31 - 414154701 EB 20622152 N</t>
  </si>
  <si>
    <t>Reverses "JMM-060624-6 Deferring customer PO 4500294241"02-JUL-2024 12:03:31 OPR Adjustments</t>
  </si>
  <si>
    <t>Reverses JMM-060624-6 Deferring customer PO 4500294241 journal entry of JMM-060624-6 Deferring customer PO 4500294241 06-JUN-2024 14:02:14 batch from MAY-24.</t>
  </si>
  <si>
    <t>Unit cost issue, emailed Audra Johnston 5/30/24, defer cost - TJM</t>
  </si>
  <si>
    <t>TJM-060524-3 Defer SO 10868798 083151 Spreadsheet A 169820 412538389 EBS OPR A 16358381 20181569 N</t>
  </si>
  <si>
    <t>TJM-060524-3 Defer SO 10868798 083151 OPR Adjustment USD User 1 OPR Adjustments</t>
  </si>
  <si>
    <t>RMA Needed to Fix Unit Price SO 10868798 Line 17</t>
  </si>
  <si>
    <t>TJM-080224-2 Defer RMA to Timing 092208 Spreadsheet A 171813 416259841 EBS OPR A 18384120 21196513 N</t>
  </si>
  <si>
    <t>TJM-080224-2 Defer RMA to Timing 092208 OPR Adjustment USD User 1 OPR Adjustments</t>
  </si>
  <si>
    <t>Jul-24</t>
  </si>
  <si>
    <t>Defer RMA 2387363 to Timing</t>
  </si>
  <si>
    <t>Reverses "TJM-060524-3 Defer SO 10868798 083151 OPR Adjustme"05-AUG-24 17:21:37 - 4162918 21206591 N</t>
  </si>
  <si>
    <t>Reverses "TJM-060524-3 Defer SO 10868798 083151 OPR Adjustment USD User 1"05-AUG-2024 17:21:37 OPR</t>
  </si>
  <si>
    <t>Reverses TJM-060524-3 Defer SO 10868798 083151 OPR Adjustment USD User 1 journal entry of TJM-060524-3 Defer SO 10868798 083151 Spreadsheet A 169820 412538389 batch from MAY-24.</t>
  </si>
  <si>
    <t>Reverses "TJM-080224-2 Defer RMA to Timing 092208 OPR Adjust"05-AUG-24 17:16:01 - 4162915 21206591 N</t>
  </si>
  <si>
    <t>Reverses "TJM-080224-2 Defer RMA to Timing 092208 OPR Adjustment USD User 1"05-AUG-2024 17:16:01 OP</t>
  </si>
  <si>
    <t>Reverses TJM-080224-2 Defer RMA to Timing 092208 OPR Adjustment USD User 1 journal entry of TJM-080224-2 Defer RMA to Timing 092208 Spreadsheet A 171813 416259841 batch from JUL-24.</t>
  </si>
  <si>
    <t>Recvue Per Colin's notes "Need Ticket for stuck SAAS AP invoice hit OPR but not GL " - Reversed 7/23 TJM</t>
  </si>
  <si>
    <t>CDW-020524-13 WWTINCSAAS527 Tie to GL Stuck</t>
  </si>
  <si>
    <t>WWTINCSAAS527 Tie to GL Stuck</t>
  </si>
  <si>
    <t>Deferring RMA 2389263 expected JUL-24 - TJM</t>
  </si>
  <si>
    <t>TJM-070124-9 Defer RMA 2389263 Expected to hit JUL-24 Spreadsheet A 300000305300838 20594774 N</t>
  </si>
  <si>
    <t>TJM-070124-9 Defer RMA 2389263 Expected to hit JUL-24 Adjustment</t>
  </si>
  <si>
    <t>Defer SO 2389263</t>
  </si>
  <si>
    <t>101.13006.245011.9999.207.999.9999.9999</t>
  </si>
  <si>
    <t>H000872171</t>
  </si>
  <si>
    <t>Reverses TJM-070124-9 Defer RMA 2389263 Expected to hit JUL-2 05-08-24 21:09:57 21199510</t>
  </si>
  <si>
    <t>Reverses TJM-070124-9 Defer RMA 2389263 Expected to hit JUL-24 Adjustment 05-08-24 21:09:58</t>
  </si>
  <si>
    <t>Reverses journal TJM-070124-9 Defer RMA 2389263 Expected to hit JUL-24 Adjustment of journal batch TJM-070124-9 Defer RMA 2389263 Expected to hit JUL-24 Spreadsheet A 300000305300838 20594774 N from period Jun-24.</t>
  </si>
  <si>
    <t>Reverses CDW-020524-13 WWTINCSAAS527 Tie to GL Stuck 23-07-24 17:50:45 20965293</t>
  </si>
  <si>
    <t>Reverses CDW-020524-13 WWTINCSAAS527 Tie to GL Stuck 23-07-24 17:50:46</t>
  </si>
  <si>
    <t>Reverses journal CDW-020524-13 WWTINCSAAS527 Tie to GL Stuck of journal batch CDW-020524-13 WWTINCSAAS527 Tie to GL Stuck from period Jan-24.</t>
  </si>
  <si>
    <t>Colin's notes "Accrued Missing WWT Cost PO 1CDATA-22-C-0113_3 for proper recognition "</t>
  </si>
  <si>
    <t>CDW-120423-15 Accruing WWT Cost PO 1CDATA-22-C-0113_3 USPS Postal 05-DEC-2023 01:12:13 EB 17102034 N</t>
  </si>
  <si>
    <t>CDW-120423-15 Accruing WWT Cost PO 1CDATA-22-C-0113_3 USPS Postal OPR Adjustments</t>
  </si>
  <si>
    <t>Accruing WWT Cost PO 1CDATA-22-C-0113_3 USPS Postal</t>
  </si>
  <si>
    <t>Deferring SO 10945581 AP Write-Off - TJM</t>
  </si>
  <si>
    <t>TJM-070224-9 Defer AP Write-Off 170627 Spreadsheet A 170906 414175988 EBS OPR A 17263672 20624151 N</t>
  </si>
  <si>
    <t>TJM-070224-9 Defer AP Write-Off 170627 OPR Adjustment USD User 1 OPR Adjustments</t>
  </si>
  <si>
    <t>Defer AP Write-Off SO 10945581 APINVD0069994</t>
  </si>
  <si>
    <t>Reverses TJM-080124-1 RMA on Hold Deferral Adjustment 05-08-24 21:42:59 21199859</t>
  </si>
  <si>
    <t>Reverses TJM-080124-1 RMA on Hold Deferral Adjustment 05-08-24 21:43:00</t>
  </si>
  <si>
    <t>Reverses journal TJM-080124-1 RMA on Hold Deferral Adjustment of journal batch TJM-080124-1 RMA on Hold Deferral Spreadsheet A 300000305300838 21129835 N from period Jul-24.</t>
  </si>
  <si>
    <t>101.12014.245011.9999.204.999.9999.9999</t>
  </si>
  <si>
    <t>0000002063</t>
  </si>
  <si>
    <t>TJM-080124-1 RMA on Hold Deferral Spreadsheet A 300000305300838 21129835 N</t>
  </si>
  <si>
    <t>TJM-080124-1 RMA on Hold Deferral Adjustment</t>
  </si>
  <si>
    <t>RMA on Hold Deferral 2402511</t>
  </si>
  <si>
    <t>Reverses "CDW-120423-15 Accruing WWT Cost PO 1CDATA-22-C-011"31-JUL-24 12:43:14 - 4159691 21114327 N</t>
  </si>
  <si>
    <t>Reverses "CDW-120423-15 Accruing WWT Cost PO 1CDATA-22-C-0113_3 USPS Postal"31-JUL-2024 12:43:14 OP</t>
  </si>
  <si>
    <t>Reverses CDW-120423-15 Accruing WWT Cost PO 1CDATA-22-C-0113_3 USPS Postal journal entry of CDW-120423-15 Accruing WWT Cost PO 1CDATA-22-C-0113_3 USPS Postal 05-DEC-2023 01:12:13 batch from NOV-23.</t>
  </si>
  <si>
    <t>Reverses "TJM-070224-9 Defer AP Write-Off 170627 OPR Adjustm"31-JUL-24 12:43:44 - 4159691 21114361 N</t>
  </si>
  <si>
    <t>Reverses "TJM-070224-9 Defer AP Write-Off 170627 OPR Adjustment USD User 1"31-JUL-2024 12:43:44 OPR</t>
  </si>
  <si>
    <t>Reverses TJM-070224-9 Defer AP Write-Off 170627 OPR Adjustment USD User 1 journal entry of TJM-070224-9 Defer AP Write-Off 170627 Spreadsheet A 170906 414175988 batch from JUN-24.</t>
  </si>
  <si>
    <t>Colin's notes "Sent Email for missing Cost in May 6/14/23"</t>
  </si>
  <si>
    <t>CDW-060523-14 Defer SO 10920127 missing Cost 05-JUN-2023 14:13:00 EBS OPR A 5827140 13964957 N</t>
  </si>
  <si>
    <t>CDW-060523-14 Defer SO 10920127 missing Cost OPR Adjustments</t>
  </si>
  <si>
    <t>Defer SO 10920127 missing Cost</t>
  </si>
  <si>
    <t>JMM-080524-2 160941 Spreadsheet A 171903 416287642 EBS OPR A 18415223 21208744 N</t>
  </si>
  <si>
    <t>JMM-080524-2 160941 OPR Adjustment USD User 1 OPR Adjustments</t>
  </si>
  <si>
    <t>Releasing Old Balance Sheet Items</t>
  </si>
  <si>
    <t>Per Colin's notes "Missing Cost on PO FA568522F0091" RE: APINVD0072877 - Comments Added Offset with 24500 variance in July-24 - Reversed 7/9/24</t>
  </si>
  <si>
    <t>CDW-020124-7 Accruing Cost SO 10610329 01-FEB-2024 15:53:29 EBS OPR A 12960448 18060931 N</t>
  </si>
  <si>
    <t>CDW-020124-7 Accruing Cost SO 10610329 OPR Adjustments</t>
  </si>
  <si>
    <t>Accruing Cost SO 10610329</t>
  </si>
  <si>
    <t>TJM-080124-6 Order on Hold Deferral Spreadsheet A 300000305300838 21129835 N</t>
  </si>
  <si>
    <t>TJM-080124-6 Order on Hold Deferral Adjustment</t>
  </si>
  <si>
    <t>Order on Hold Deferral 11601777</t>
  </si>
  <si>
    <t>101.11001.245011.9999.204.999.9999.9999</t>
  </si>
  <si>
    <t>P226118</t>
  </si>
  <si>
    <t>Reverses TJM-080124-6 Order on Hold Deferral Adjustment 05-08-24 21:14:43 21199587</t>
  </si>
  <si>
    <t>Reverses TJM-080124-6 Order on Hold Deferral Adjustment 05-08-24 21:14:44</t>
  </si>
  <si>
    <t>Reverses journal TJM-080124-6 Order on Hold Deferral Adjustment of journal batch TJM-080124-6 Order on Hold Deferral Spreadsheet A 300000305300838 21129835 N from period Jul-24.</t>
  </si>
  <si>
    <t>Reverses "CDW-020124-7 Accruing Cost SO 10610329"09-JUL-24 15:45:54 - 414574821 EBS OPR A 20784846 N</t>
  </si>
  <si>
    <t>Reverses "CDW-020124-7 Accruing Cost SO 10610329"09-JUL-2024 15:45:54 OPR Adjustments</t>
  </si>
  <si>
    <t>Reverses CDW-020124-7 Accruing Cost SO 10610329 journal entry of CDW-020124-7 Accruing Cost SO 10610329 01-FEB-2024 15:53:29 batch from JAN-24.</t>
  </si>
  <si>
    <t>Sent email 5/17</t>
  </si>
  <si>
    <t>JMM-040124-6 Spreadsheet A 300000031755431 19057142 N</t>
  </si>
  <si>
    <t>JMM-040124-6 Adjustment</t>
  </si>
  <si>
    <t>Deferring AP invoices</t>
  </si>
  <si>
    <t>Deferring SO 2392298 - TJM</t>
  </si>
  <si>
    <t>TJM-070124-8 Defer SO 2392298 Spreadsheet A 300000305300838 20594774 N</t>
  </si>
  <si>
    <t>TJM-070124-8 Defer SO 2392298 Adjustment</t>
  </si>
  <si>
    <t>Defer SO 2392298</t>
  </si>
  <si>
    <t>101.12013.245011.9999.204.999.9999.9999</t>
  </si>
  <si>
    <t>POA-6651</t>
  </si>
  <si>
    <t>Reverses JMM-040124-6 Adjustment 31-07-24 16:20:52 21102230</t>
  </si>
  <si>
    <t>Reverses JMM-040124-6 Adjustment 31-07-24 16:20:53</t>
  </si>
  <si>
    <t>Reverses journal JMM-040124-6 Adjustment of journal batch JMM-040124-6 Spreadsheet A 300000031755431 19057142 N from period Mar-24.</t>
  </si>
  <si>
    <t>Reverses TJM-070124-8 Defer SO 2392298 Adjustment 17-07-24 16:06:40 20871365</t>
  </si>
  <si>
    <t>Reverses TJM-070124-8 Defer SO 2392298 Adjustment 17-07-24 16:06:41</t>
  </si>
  <si>
    <t>Reverses journal TJM-070124-8 Defer SO 2392298 Adjustment of journal batch TJM-070124-8 Defer SO 2392298 Spreadsheet A 300000305300838 20594774 N from period Jun-24.</t>
  </si>
  <si>
    <t>Colin's note "Timing - RecVue Pending Credit - Follow up on credit" - Reversed 7/23 TJM</t>
  </si>
  <si>
    <t>BDM-060522-37 05-JUN-2022 21:55:59 EBS OPR A 18091846 8322753 N</t>
  </si>
  <si>
    <t>BDM-060522-37 OPR Adjustments</t>
  </si>
  <si>
    <t>May-22</t>
  </si>
  <si>
    <t>Deferring the reversal of BDM-050422-3 as the RecVue team has not yet processed the credit</t>
  </si>
  <si>
    <t>Colin's notes "Emailed 4/5 for missing Rev"</t>
  </si>
  <si>
    <t>CDW-040623-4 Defer SO 10805628 Cost 06-APR-2023 10:05:07 EBS OPR A 4131266 12888102 N</t>
  </si>
  <si>
    <t>CDW-040623-4 Defer SO 10805628 Cost OPR Adjustments</t>
  </si>
  <si>
    <t>Defer SO 10805628 Cost</t>
  </si>
  <si>
    <t>Defer cost from PO 4500294292 - TJM</t>
  </si>
  <si>
    <t>JMM-060624-7 Deferring customer PO 4500294292 140059 Spreadsheet A 169827 412559991 EBS O 20184658 N</t>
  </si>
  <si>
    <t>JMM-060624-7 Deferring customer PO 4500294292 140059 OPR Adjustment USD User 1 OPR Adjustments</t>
  </si>
  <si>
    <t>Deferring customer PO 4500294292</t>
  </si>
  <si>
    <t>Accruing SO 11542384 expected JUL-24 - TJM</t>
  </si>
  <si>
    <t>JMM-070324-1 Accruing SO 11542384 AP correction 03-JUL-2024 14:31:41 EBS OPR A 17287516 20641933 N</t>
  </si>
  <si>
    <t>JMM-070324-1 Accruing SO 11542384 AP correction OPR Adj EBS AutoRev</t>
  </si>
  <si>
    <t>Accruing SO 11542384 AP correction</t>
  </si>
  <si>
    <t>Reverses "JMM-060624-7 Deferring customer PO 4500294292 1400"31-JUL-24 08:57:00 - 4159527 21114361 N</t>
  </si>
  <si>
    <t>Reverses "JMM-060624-7 Deferring customer PO 4500294292 140059 OPR Adjustment U31-JUL-2024 08:57:00</t>
  </si>
  <si>
    <t>Reverses JMM-060624-7 Deferring customer PO 4500294292 140059 OPR Adjustment US journal entry of JMM-060624-7 Deferring customer PO 4500294292 140059 Spreadsheet A 169827 412559991 batch from MAY-24.</t>
  </si>
  <si>
    <t>Reverses "CDW-040623-4 Defer SO 10805628 Cost"23-JUL-24 13:12:33 - 415429305 EBS OPR A 18 20991624 N</t>
  </si>
  <si>
    <t>Reverses "CDW-040623-4 Defer SO 10805628 Cost"23-JUL-2024 13:12:33 OPR Adjustments</t>
  </si>
  <si>
    <t>Reverses CDW-040623-4 Defer SO 10805628 Cost journal entry of CDW-040623-4 Defer SO 10805628 Cost 06-APR-2023 10:05:07 batch from MAR-23.</t>
  </si>
  <si>
    <t>Reverses "BDM-060522-37"23-JUL-24 13:12:02 - 415429270 EBS OPR A 18075436 20991624 N</t>
  </si>
  <si>
    <t>Reverses "BDM-060522-37"23-JUL-2024 13:12:03 OPR Adjustments</t>
  </si>
  <si>
    <t>Reverses BDM-060522-37 journal entry of BDM-060522-37 05-JUN-2022 21:55:59 batch from MAY-22.</t>
  </si>
  <si>
    <t>Reverses "JMM-070324-1 Accruing SO 11542384 AP correction"04-JUL-24 17:00:31 - 414246405  20663950 N</t>
  </si>
  <si>
    <t>Reverses "JMM-070324-1 Accruing SO 11542384 AP correction"04-JUL-2024 17:00:31 OPR Adj EBS AutoRev</t>
  </si>
  <si>
    <t>Reverses JMM-070324-1 Accruing SO 11542384 AP correction journal entry of JMM-070324-1 Accruing SO 11542384 AP correction 03-JUL-2024 14:31:41 batch from JUN-24.</t>
  </si>
  <si>
    <t>Emailed Todd Wilson to encure credit accuracy 6/5/24 - TJM</t>
  </si>
  <si>
    <t>TJM-060524-4 Defer SO 10556964 150428 Spreadsheet A 169743 412492343 EBS OPR A 16354819 20167390 N</t>
  </si>
  <si>
    <t>TJM-060524-4 Defer SO 10556964 150428 OPR Adjustment USD User 1 OPR Adjustments</t>
  </si>
  <si>
    <t>Deferring Credit to Verify Accruacy SO 10556964</t>
  </si>
  <si>
    <t>101.12011.245011.9999.999.999.9999.9999</t>
  </si>
  <si>
    <t>Reverses "TJM-060524-4 Defer SO 10556964 150428 OPR Adjustme"23-JUL-24 13:15:58 - 4154295 20991615 N</t>
  </si>
  <si>
    <t>Reverses "TJM-060524-4 Defer SO 10556964 150428 OPR Adjustment USD User 1"23-JUL-2024 13:15:58 OPR</t>
  </si>
  <si>
    <t>Reverses TJM-060524-4 Defer SO 10556964 150428 OPR Adjustment USD User 1 journal entry of TJM-060524-4 Defer SO 10556964 150428 Spreadsheet A 169743 412492343 batch from MAY-24.</t>
  </si>
  <si>
    <t>Ticket needed on OPR but not in GL/Can you release this? Reversed 7/23 TJM</t>
  </si>
  <si>
    <t>CDW-100523-1 WWTINCSAAS931 Tie to GL Stuck</t>
  </si>
  <si>
    <t>WWTINCSAAS931 Tie to GL Stuck</t>
  </si>
  <si>
    <t>Ticket needed on OPR but not in GL/Can you release this? - Reversed 7/23 TJM</t>
  </si>
  <si>
    <t>TJM-040324-3 WWTINCSAAS1402 Tie to GL Stuck</t>
  </si>
  <si>
    <t>WWTINCSAAS1402 Tie to GL Stuck</t>
  </si>
  <si>
    <t>Reverses CDW-100523-1 WWTINCSAAS931 Tie to GL Stuck 23-07-24 18:08:30 20965698</t>
  </si>
  <si>
    <t>Reverses CDW-100523-1 WWTINCSAAS931 Tie to GL Stuck 23-07-24 18:08:31</t>
  </si>
  <si>
    <t>Reverses journal CDW-100523-1 WWTINCSAAS931 Tie to GL Stuck of journal batch CDW-100523-1 WWTINCSAAS931 Tie to GL Stuck from period Sep-23.</t>
  </si>
  <si>
    <t>Reverses TJM-040324-3 WWTINCSAAS1402 Tie to GL Stuck 23-07-24 18:04:45 20965593</t>
  </si>
  <si>
    <t>Reverses TJM-040324-3 WWTINCSAAS1402 Tie to GL Stuck 23-07-24 18:04:46</t>
  </si>
  <si>
    <t>Reverses journal TJM-040324-3 WWTINCSAAS1402 Tie to GL Stuck of journal batch TJM-040324-3 WWTINCSAAS1402 Tie to GL Stuck from period Mar-24.</t>
  </si>
  <si>
    <t>Deferring SO 11544894 - TJM</t>
  </si>
  <si>
    <t>Federal GDCH-GCP</t>
  </si>
  <si>
    <t>TJM-070524-1 Defer Google SO 11544894 05-JUL-2024 10:53:40 EBS OPR A 17342369 20673725 N</t>
  </si>
  <si>
    <t>TJM-070524-1 Defer Google SO 11544894 OPR Adjustments</t>
  </si>
  <si>
    <t>Defer Google SO 11544894</t>
  </si>
  <si>
    <t>101.12024.245011.9999.999.999.9999.9999</t>
  </si>
  <si>
    <t>Reverses "TJM-070524-1 Defer Google SO 11544894"15-JUL-24 09:54:09 - 414913353 EBS OPR A  20858099 N</t>
  </si>
  <si>
    <t>Reverses "TJM-070524-1 Defer Google SO 11544894"15-JUL-2024 09:54:09 OPR Adjustments</t>
  </si>
  <si>
    <t>Reverses TJM-070524-1 Defer Google SO 11544894 journal entry of TJM-070524-1 Defer Google SO 11544894 05-JUL-2024 10:53:40 batch from JUN-24.</t>
  </si>
  <si>
    <t>Deferring SO 2388990 on hold - TJM</t>
  </si>
  <si>
    <t>TJM-070124-7 Defer SO 2388990 Spreadsheet A 300000305300838 20594774 N</t>
  </si>
  <si>
    <t>TJM-070124-7 Defer SO 2388990 Adjustment</t>
  </si>
  <si>
    <t>Defer SO 2388990</t>
  </si>
  <si>
    <t>101.12015.245011.9999.207.999.9999.9999</t>
  </si>
  <si>
    <t>W564KV19F0253</t>
  </si>
  <si>
    <t>Reverses TJM-070124-7 Defer SO 2388990 Adjustment 17-07-24 15:26:53 20870901</t>
  </si>
  <si>
    <t>Reverses TJM-070124-7 Defer SO 2388990 Adjustment 17-07-24 15:26:54</t>
  </si>
  <si>
    <t>Reverses journal TJM-070124-7 Defer SO 2388990 Adjustment of journal batch TJM-070124-7 Defer SO 2388990 Spreadsheet A 300000305300838 20594774 N from period Jun-24.</t>
  </si>
  <si>
    <t>Deferring WWT PO 4320469 credit memo CMUS240 - TJM</t>
  </si>
  <si>
    <t>JMM-070324-2</t>
  </si>
  <si>
    <t>Deferring credit memo CMUS240 WWT PO 4320469/Tie to OPR in July-24</t>
  </si>
  <si>
    <t>Reverses JMM-070324-2  04-07-24 22:00:21 20640418</t>
  </si>
  <si>
    <t>Reverses JMM-070324-2  04-07-24 22:00:22</t>
  </si>
  <si>
    <t>Reverses journal JMM-070324-2  of journal batch JMM-070324-2  from period Jun-24.</t>
  </si>
  <si>
    <t>Reversed in Aug-24</t>
  </si>
  <si>
    <t>CDW-020524-11 Defer CUB 2325470 Rebill through RecVue 05-FEB-2024 23:19:30 EBS OPR A 1304 18145006 N</t>
  </si>
  <si>
    <t>CDW-020524-11 Defer CUB 2325470 Rebill through RecVue OPR Adjustments</t>
  </si>
  <si>
    <t>Defer CUB 2325470 Rebill through RecVue</t>
  </si>
  <si>
    <t>Finder's Fee Accrual SO 11319477/Waiting for full payment from customer before we pay out DPL and reverse these entry</t>
  </si>
  <si>
    <t>CDW-022824-3 Finder's Fee Accrual SO 11319477 28-FEB-2024 23:00:29 EBS OPR A 13816807 18524553 N</t>
  </si>
  <si>
    <t>CDW-022824-3 Finder's Fee Accrual SO 11319477 OPR Adjustments</t>
  </si>
  <si>
    <t>Finders fee Accrual SO 11404344/Waiting for full payment from customer before we pay out DPL and reverse these entry/8/7/24</t>
  </si>
  <si>
    <t>JDP-040224-1 Finder's Fee Accrual SO 11404344 02-APR-2024 09:15:27 EBS OPR A 14706310 19085113 N</t>
  </si>
  <si>
    <t>JDP-040224-1 Finder's Fee Accrual SO 11404344 OPR Adjustments</t>
  </si>
  <si>
    <t>Finder's Fee Accrual SO 11404344</t>
  </si>
  <si>
    <t>Finder's fee Accrual SO 11440650/Enough of payment received - waiting for Sales direction if we have an invoice or cutting a check, then we can reverse the entr8/7/24</t>
  </si>
  <si>
    <t>TJM-053124-14 Finder's Fee Accrual SO 11440650 125806 Spreadsheet A 169708 412342773 EBS  20127637 N</t>
  </si>
  <si>
    <t>TJM-053124-14 Finder's Fee Accrual SO 11440650 125806 OPR Adjustment USD User 1 OPR Adjustments</t>
  </si>
  <si>
    <t>Finder's Fee Accrual SO 11440650</t>
  </si>
  <si>
    <t>$0 RMA/RTV needed/followed up 7/17 - JMM Reversed in AUG-24</t>
  </si>
  <si>
    <t>TJM-070324-5 Accrue Cost Credit SO 11536313 03-JUL-2024 11:57:36 EBS OPR A 17287516 20641933 N</t>
  </si>
  <si>
    <t>TJM-070324-5 Accrue Cost Credit SO 11536313 OPR Adjustments</t>
  </si>
  <si>
    <t>Accrue Cost Credit SO 11536313 - RMA/RTV Expected in July</t>
  </si>
  <si>
    <t>TJM-062724-66 Deferral Expected to Hit JUL-24 Spreadsheet A 300000305300838 20528406 N</t>
  </si>
  <si>
    <t>TJM-062724-66 Deferral Expected to Hit JUL-24 Adjustment</t>
  </si>
  <si>
    <t>Deferral AP Correction Needed Expected to Hit JUL-24 Inv 60224010</t>
  </si>
  <si>
    <t>TJM-062724-67 Deferral Expected to Hit JUL-24 Spreadsheet A 300000305300838 20528406 N</t>
  </si>
  <si>
    <t>TJM-062724-67 Deferral Expected to Hit JUL-24 Adjustment</t>
  </si>
  <si>
    <t>Deferral AP Correction Needed Expected to Hit JUL-24 Inv 60224011</t>
  </si>
  <si>
    <t>Deferring RMA 2396837, reshipment in backlog - TJM</t>
  </si>
  <si>
    <t>TJM-080224-3 Defer RMA to Timing 092218 Spreadsheet A 171814 416259848 EBS OPR A 18384120 21196513 N</t>
  </si>
  <si>
    <t>TJM-080224-3 Defer RMA to Timing 092218 OPR Adjustment USD User 1 OPR Adjustments</t>
  </si>
  <si>
    <t>Defer RMA 2396837 to Timing/Reshipment in backlog</t>
  </si>
  <si>
    <t>Deferring SO 11604436, credit expected AUG-24 - TJM Possibly reverse in AUG?</t>
  </si>
  <si>
    <t>TJM-080624-4 Defer SO to Timing 06-AUG-2024 10:15:26 EBS OPR A 18432708 21217142 N</t>
  </si>
  <si>
    <t>TJM-080624-4 Defer SO to Timing OPR Adjustments</t>
  </si>
  <si>
    <t>Defer SO 11604436 PO Support Upgrade Credit Expected in AUG-24</t>
  </si>
  <si>
    <t>Reverses TJM-082024-17 Defer SO to Timing OPR Adjustments 21-08-24 18:34:31 21475489</t>
  </si>
  <si>
    <t>Reverses TJM-082024-17 Defer SO to Timing OPR Adjustments 21-08-24 18:34:32</t>
  </si>
  <si>
    <t>Aug-24</t>
  </si>
  <si>
    <t>Reverses journal TJM-082024-17 Defer SO to Timing OPR Adjustments of journal batch TJM-082024-17 Defer SO to Timing Spreadsheet A 300000305300838 21456880 N from period Aug-24.</t>
  </si>
  <si>
    <t>Reverses "TJM-080224-3 Defer RMA to Timing 092218 OPR Adjust"21-AUG-24 13:48:10 - 4173445 21560426 N</t>
  </si>
  <si>
    <t>Reverses "TJM-080224-3 Defer RMA to Timing 092218 OPR Adjustment USD User 1"21-AUG-2024 13:48:10 OP</t>
  </si>
  <si>
    <t>Reverses TJM-080224-3 Defer RMA to Timing 092218 OPR Adjustment USD User 1 journal entry of TJM-080224-3 Defer RMA to Timing 092218 Spreadsheet A 171814 416259848 batch from JUL-24.</t>
  </si>
  <si>
    <t>Reverses "TJM-053124-14 Finder's Fee Accrual SO 11440650 125"23-AUG-24 14:13:52 - 4175006 21560426 N</t>
  </si>
  <si>
    <t>Reverses "TJM-053124-14 Finder's Fee Accrual SO 11440650 125806 OPR Adjustment 23-AUG-2024 14:13:52</t>
  </si>
  <si>
    <t>Reverses TJM-053124-14 Finder's Fee Accrual SO 11440650 125806 OPR Adjustment U journal entry of TJM-053124-14 Finder's Fee Accrual SO 11440650 125806 Spreadsheet A 169708 412342773 batch from MAY-24.</t>
  </si>
  <si>
    <t>Reverses "TJM-080624-4 Defer SO to Timing"20-AUG-24 11:37:11 - 417259290 EBS OPR A 188777 21465216 N</t>
  </si>
  <si>
    <t>Reverses "TJM-080624-4 Defer SO to Timing"20-AUG-2024 11:37:12 OPR Adjustments</t>
  </si>
  <si>
    <t>Reverses TJM-080624-4 Defer SO to Timing journal entry of TJM-080624-4 Defer SO to Timing 06-AUG-2024 10:15:26 batch from JUL-24.</t>
  </si>
  <si>
    <t>Reverses TJM-062724-67 Deferral Expected to Hit JUL-24 Adjust 14-08-24 12:57:21 21357804</t>
  </si>
  <si>
    <t>Reverses TJM-062724-67 Deferral Expected to Hit JUL-24 Adjustment 14-08-24 12:57:22</t>
  </si>
  <si>
    <t>Reverses journal TJM-062724-67 Deferral Expected to Hit JUL-24 Adjustment of journal batch TJM-062724-67 Deferral Expected to Hit JUL-24 Spreadsheet A 300000305300838 20528406 N from period Jun-24.</t>
  </si>
  <si>
    <t>TJM-082024-17 Defer SO to Timing Spreadsheet A 300000305300838 21456880 N</t>
  </si>
  <si>
    <t>TJM-082024-17 Defer SO to Timing OPR Adjustments</t>
  </si>
  <si>
    <t>Defer SO 11563295 PO Varonis</t>
  </si>
  <si>
    <t>Reverses "JDP-040224-1 Finder's Fee Accrual SO 11404344"16-AUG-24 10:49:47 - 417019685 EB 21405666 N</t>
  </si>
  <si>
    <t>Reverses "JDP-040224-1 Finder's Fee Accrual SO 11404344"16-AUG-2024 10:49:47 OPR Adjustments</t>
  </si>
  <si>
    <t>Reverses JDP-040224-1 Finder's Fee Accrual SO 11404344 journal entry of JDP-040224-1 Finder's Fee Accrual SO 11404344 02-APR-2024 09:15:27 batch from MAR-24.</t>
  </si>
  <si>
    <t>Reverses "CDW-022824-3 Finder's Fee Accrual SO 11319477"16-AUG-24 10:45:14 - 417019537 EB 21405666 N</t>
  </si>
  <si>
    <t>Reverses "CDW-022824-3 Finder's Fee Accrual SO 11319477"16-AUG-2024 10:45:15 OPR Adjustments</t>
  </si>
  <si>
    <t>Reverses CDW-022824-3 Finder's Fee Accrual SO 11319477 journal entry of CDW-022824-3 Finder's Fee Accrual SO 11319477 28-FEB-2024 23:00:29 batch from FEB-24.</t>
  </si>
  <si>
    <t>Reverses TJM-062724-66 Deferral Expected to Hit JUL-24 Adjust 13-08-24 20:01:35 21342767</t>
  </si>
  <si>
    <t>Reverses TJM-062724-66 Deferral Expected to Hit JUL-24 Adjustment 13-08-24 20:01:36</t>
  </si>
  <si>
    <t>Reverses journal TJM-062724-66 Deferral Expected to Hit JUL-24 Adjustment of journal batch TJM-062724-66 Deferral Expected to Hit JUL-24 Spreadsheet A 300000305300838 20528406 N from period Jun-24.</t>
  </si>
  <si>
    <t>Reverses "TJM-070324-5 Accrue Cost Credit SO 11536313"13-AUG-24 15:48:47 - 416817879 EBS  21351249 N</t>
  </si>
  <si>
    <t>Reverses "TJM-070324-5 Accrue Cost Credit SO 11536313"13-AUG-2024 15:48:47 OPR Adjustments</t>
  </si>
  <si>
    <t>Reverses TJM-070324-5 Accrue Cost Credit SO 11536313 journal entry of TJM-070324-5 Accrue Cost Credit SO 11536313 03-JUL-2024 11:57:36 batch from JUN-24.</t>
  </si>
  <si>
    <t>Reverses "CDW-020524-11 Defer CUB 2325470 Rebill through Rec"07-AUG-24 12:42:49 - 4164210 21251369 N</t>
  </si>
  <si>
    <t>Reverses "CDW-020524-11 Defer CUB 2325470 Rebill through RecVue"07-AUG-2024 12:42:49 OPR Adjustment</t>
  </si>
  <si>
    <t>Reverses CDW-020524-11 Defer CUB 2325470 Rebill through RecVue journal entry of CDW-020524-11 Defer CUB 2325470 Rebill through RecVue 05-FEB-2024 23:19:30 batch from JAN-24.</t>
  </si>
  <si>
    <t>JMM-090624-4 NYC1 Software Dropship Accrual 152520 Spreadsheet A 172897 418418140 EBS OPR 21760333 N</t>
  </si>
  <si>
    <t>JMM-090624-4 NYC1 Software Dropship Accrual 152520 OPR Adjustment USD User 1 OPR Adjustments</t>
  </si>
  <si>
    <t>Accruing SO 11606583 The City of New York funded by Eplus</t>
  </si>
  <si>
    <t>101.13014.245011.9999.950.999.9999.9999</t>
  </si>
  <si>
    <t>DO1 056 20252001023</t>
  </si>
  <si>
    <t>Reverses "JMM-090624-4 NYC1 Software Dropship Accrual 152520"06-SEP-24 15:40:01 - 4184191 21760333 N</t>
  </si>
  <si>
    <t>Reverses "JMM-090624-4 NYC1 Software Dropship Accrual 152520 OPR Adjustment USD06-SEP-2024 15:40:01</t>
  </si>
  <si>
    <t>Reverses JMM-090624-4 NYC1 Software Dropship Accrual 152520 OPR Adjustment USD  journal entry of JMM-090624-4 NYC1 Software Dropship Accrual 152520 Spreadsheet A 172897 418418140 batch from AUG-24.</t>
  </si>
  <si>
    <t>Deferring SO 11606579, not supposed to recognize until OCT-24 - TJM</t>
  </si>
  <si>
    <t>TJM-080224-1 Defer SO to Timing 092155 Spreadsheet A 171812 416259833 EBS OPR A 18384120 21196513 N</t>
  </si>
  <si>
    <t>TJM-080224-1 Defer SO to Timing 092155 OPR Adjustment USD User 1 OPR Adjustments</t>
  </si>
  <si>
    <t>Defer SO 11606579 - Sales Ops Researching - Not Supposed to Recognize until Oct</t>
  </si>
  <si>
    <t>Reverses "TJM-080224-1 Defer SO to Timing 092155 OPR Adjustm"13-AUG-24 16:25:22 - 4168203 21351219 N</t>
  </si>
  <si>
    <t>Reverses "TJM-080224-1 Defer SO to Timing 092155 OPR Adjustment USD User 1"13-AUG-2024 16:25:22 OPR</t>
  </si>
  <si>
    <t>Reverses TJM-080224-1 Defer SO to Timing 092155 OPR Adjustment USD User 1 journal entry of TJM-080224-1 Defer SO to Timing 092155 Spreadsheet A 171812 416259833 batch from JUL-24.</t>
  </si>
  <si>
    <t>Reverses TJM-100124-22 Deferring Prelim SO 11657875 to hit NOV-24 Adjustm 01-10-24 17:56:19 22177335</t>
  </si>
  <si>
    <t>Reverses TJM-100124-22 Deferring Prelim SO 11657875 to hit NOV-24 Adjustment 01-10-24 17:56:20</t>
  </si>
  <si>
    <t>Sep-24</t>
  </si>
  <si>
    <t>Reverses journal TJM-100124-22 Deferring Prelim SO 11657875 to hit NOV-24 Adjustment of journal batch TJM-100124-22 Deferring Prelim SO 11657875 to hit NOV-24 Spreadsheet A 300000305300838 22177029 N from period Sep-24.</t>
  </si>
  <si>
    <t>FA872624FB033</t>
  </si>
  <si>
    <t>TJM-100124-22 Deferring Prelim SO 11657875 to hit NOV-24 Spreadsheet A 300000305300838 22177029 N</t>
  </si>
  <si>
    <t>TJM-100124-22 Deferring Prelim SO 11657875 to hit NOV-24 Adjustment</t>
  </si>
  <si>
    <t>Deferring Prelim SO 11657875 to hit NOV-24</t>
  </si>
  <si>
    <t>Reverses TJM-100124-18 Deferring Prelim SO 11657875 to hit NOV-24 Adjustm 01-10-24 17:26:19 22176996</t>
  </si>
  <si>
    <t>Reverses TJM-100124-18 Deferring Prelim SO 11657875 to hit NOV-24 Adjustment 01-10-24 17:26:20</t>
  </si>
  <si>
    <t>Reverses journal TJM-100124-18 Deferring Prelim SO 11657875 to hit NOV-24 Adjustment of journal batch TJM-100124-18 Deferring Prelim SO 11657875 to hit NOV-24 Spreadsheet A 300000305300838 22176337 N from period Sep-24.</t>
  </si>
  <si>
    <t>TJM-100124-18 Deferring Prelim SO 11657875 to hit NOV-24 Spreadsheet A 300000305300838 22176337 N</t>
  </si>
  <si>
    <t>TJM-100124-18 Deferring Prelim SO 11657875 to hit NOV-24 Adjustment</t>
  </si>
  <si>
    <t>Reverses TJM-100124-17 Deferring Prelim SO 11584369 to hit NOV-24 Adjustm 01-10-24 17:21:04 22176934</t>
  </si>
  <si>
    <t>Reverses TJM-100124-17 Deferring Prelim SO 11584369 to hit NOV-24 Adjustment 01-10-24 17:21:05</t>
  </si>
  <si>
    <t>Reverses journal TJM-100124-17 Deferring Prelim SO 11584369 to hit NOV-24 Adjustment of journal batch TJM-100124-17 Deferring Prelim SO 11584369 to hit NOV-24 Spreadsheet A 300000305300838 22176337 N from period Sep-24.</t>
  </si>
  <si>
    <t>1400460</t>
  </si>
  <si>
    <t>TJM-100124-17 Deferring Prelim SO 11584369 to hit NOV-24 Spreadsheet A 300000305300838 22176337 N</t>
  </si>
  <si>
    <t>TJM-100124-17 Deferring Prelim SO 11584369 to hit NOV-24 Adjustment</t>
  </si>
  <si>
    <t>Deferring Prelim SO 11584369 to hit NOV-24</t>
  </si>
  <si>
    <t>Re: PO 63550P SO 10537043 Cost decrepancy/We need invoice through RecVue</t>
  </si>
  <si>
    <t>CDW-110422-3 Defer SO 10537043 04-NOV-2022 11:12:10 EBS OPR A 22130344 10408274 N</t>
  </si>
  <si>
    <t>CDW-110422-3 Defer SO 10537043 OPR Adjustments</t>
  </si>
  <si>
    <t>Defer SO 10537043</t>
  </si>
  <si>
    <t>Reverses "CDW-110422-3 Defer SO 10537043"30-SEP-24 15:32:50 - 419991683 EBS OPR A 2066651 22162384 N</t>
  </si>
  <si>
    <t>Reverses "CDW-110422-3 Defer SO 10537043"30-SEP-2024 15:32:50 OPR Adjustments</t>
  </si>
  <si>
    <t>Reverses CDW-110422-3 Defer SO 10537043 journal entry of CDW-110422-3 Defer SO 10537043 04-NOV-2022 11:12:10 batch from OCT-22.</t>
  </si>
  <si>
    <t>Accruing PO FA714623F0031 SEP-24 AP Invoices to AUG-24 OPR - Reversed SEP-24</t>
  </si>
  <si>
    <t>TJM-090524-26 Tying SEP-24 AP Invoices to AUG-24 OPR 152546 Spreadsheet A 172833 41834162 21755264 N</t>
  </si>
  <si>
    <t>TJM-090524-26 Accrue SEP-24 AP Invoices to AUG-24 OPR 152546 OPR Adjustment USD User 1 OPR Adjustme</t>
  </si>
  <si>
    <t>Accruing PO FA714623F0031 SEP-24 AP Invoices to AUG-24 OPR</t>
  </si>
  <si>
    <t>Reverses "TJM-090524-26 Accrue SEP-24 AP Invoices to AUG-24 "17-SEP-24 14:54:11 - 4191281 21970194 N</t>
  </si>
  <si>
    <t>Reverses "TJM-090524-26 Accrue SEP-24 AP Invoices to AUG-24 OPR 152546 OPR Adju17-SEP-2024 14:54:11</t>
  </si>
  <si>
    <t>Reverses TJM-090524-26 Accrue SEP-24 AP Invoices to AUG-24 OPR 152546 OPR Adjus journal entry of TJM-090524-26 Tying SEP-24 AP Invoices to AUG-24 OPR 152546 Spreadsheet A 172833 418341622 batch from AUG-24.</t>
  </si>
  <si>
    <t>Deferring SO 11601777 order on hold - TJM - can't invoice customer until late SEP-24</t>
  </si>
  <si>
    <t>TJM-080524-10 Order on Hold Deferral Spreadsheet A 300000305300838 21199675 N</t>
  </si>
  <si>
    <t>TJM-080524-10 Order on Hold Deferral Adjustment</t>
  </si>
  <si>
    <t>Deferring Prelim SO 11605828 to hit OCT-24</t>
  </si>
  <si>
    <t>TJM-090524-17 Deferring Prelim SO 11605828 to hit OCT-24 Spreadsheet A 300000305300838 21737416 N</t>
  </si>
  <si>
    <t>TJM-090524-17 Deferring Prelim SO 11605828 to hit OCT-24 Adjustment</t>
  </si>
  <si>
    <t>R-00845049 - 24-E-006813-RITM12185249</t>
  </si>
  <si>
    <t>Deferring Prelim SO 11562164 to hit OCT-24</t>
  </si>
  <si>
    <t>TJM-090524-12 Deferring Prelim SO 11562164 to hit OCT-24 Spreadsheet A 300000305300838 21737416 N</t>
  </si>
  <si>
    <t>TJM-090524-12 Deferring Prelim SO 11562164 to hit OCT-24 Adjustment</t>
  </si>
  <si>
    <t>PO3000288531</t>
  </si>
  <si>
    <t>Deferring Prelim SO 11562245 to hit OCT-24</t>
  </si>
  <si>
    <t>TJM-090524-13 Deferring Prelim SO 11562245 to hit OCT-24 Spreadsheet A 300000305300838 21737416 N</t>
  </si>
  <si>
    <t>TJM-090524-13 Deferring Prelim SO 11562245 to hit OCT-24 Adjustment</t>
  </si>
  <si>
    <t>Defer PO 36C10B24C0017 SO 11606579 to Recognize Oct-24</t>
  </si>
  <si>
    <t>TJM-090524-8 Defer SO to Timing - Recognize in Oct-24 140226 Spreadsheet A 172892 4183363 21745633 N</t>
  </si>
  <si>
    <t>TJM-090524-8 Defer SO to Timing - Recognize in Oct-24 140226 OPR Adjustment USD User 1 OPR Adjustme</t>
  </si>
  <si>
    <t>Deferring Prelim SO 11562286 to hit OCT-24</t>
  </si>
  <si>
    <t>TJM-090524-15 Deferring Prelim SO 11562286 to hit OCT-24 Spreadsheet A 300000305300838 21737416 N</t>
  </si>
  <si>
    <t>TJM-090524-15 Deferring Prelim SO 11562286 to hit OCT-24 Adjustment</t>
  </si>
  <si>
    <t>Deferring Prelim SO 11562284 to hit OCT-24</t>
  </si>
  <si>
    <t>TJM-090524-14 Deferring Prelim SO 11562284 to hit OCT-24 Spreadsheet A 300000305300838 21737416 N</t>
  </si>
  <si>
    <t>TJM-090524-14 Deferring Prelim SO 11562284 to hit OCT-24 Adjustment</t>
  </si>
  <si>
    <t>Reverses TJM-080524-10 Order on Hold Deferral Adjustment 27-09-24 19:03:11 22109093</t>
  </si>
  <si>
    <t>Reverses TJM-080524-10 Order on Hold Deferral Adjustment 27-09-24 19:03:12</t>
  </si>
  <si>
    <t>Reverses journal TJM-080524-10 Order on Hold Deferral Adjustment of journal batch TJM-080524-10 Order on Hold Deferral Spreadsheet A 300000305300838 21199675 N from period Jul-24.</t>
  </si>
  <si>
    <t>Reverses TJM-090524-17 Deferring Prelim SO 11605828 to hit OCT-24 Adjustm 30-09-24 16:15:11 22149430</t>
  </si>
  <si>
    <t>Reverses TJM-090524-17 Deferring Prelim SO 11605828 to hit OCT-24 Adjustment 30-09-24 16:15:12</t>
  </si>
  <si>
    <t>Reverses journal TJM-090524-17 Deferring Prelim SO 11605828 to hit OCT-24 Adjustment of journal batch TJM-090524-17 Deferring Prelim SO 11605828 to hit OCT-24 Spreadsheet A 300000305300838 21737416 N from period Aug-24.</t>
  </si>
  <si>
    <t>PO3000291637</t>
  </si>
  <si>
    <t>Reverses TJM-090524-14 Deferring Prelim SO 11562284 to hit OCT-24 Adjustm 30-09-24 16:31:36 22149570</t>
  </si>
  <si>
    <t>Reverses TJM-090524-14 Deferring Prelim SO 11562284 to hit OCT-24 Adjustment 30-09-24 16:31:37</t>
  </si>
  <si>
    <t>Reverses journal TJM-090524-14 Deferring Prelim SO 11562284 to hit OCT-24 Adjustment of journal batch TJM-090524-14 Deferring Prelim SO 11562284 to hit OCT-24 Spreadsheet A 300000305300838 21737416 N from period Aug-24.</t>
  </si>
  <si>
    <t>Reverses TJM-090524-13 Deferring Prelim SO 11562245 to hit OCT-24 Adjustm 30-09-24 16:20:35 22149484</t>
  </si>
  <si>
    <t>Reverses TJM-090524-13 Deferring Prelim SO 11562245 to hit OCT-24 Adjustment 30-09-24 16:20:36</t>
  </si>
  <si>
    <t>Reverses journal TJM-090524-13 Deferring Prelim SO 11562245 to hit OCT-24 Adjustment of journal batch TJM-090524-13 Deferring Prelim SO 11562245 to hit OCT-24 Spreadsheet A 300000305300838 21737416 N from period Aug-24.</t>
  </si>
  <si>
    <t>Reverses TJM-090524-12 Deferring Prelim SO 11562164 to hit OCT-24 Adjustm 30-09-24 16:17:11 22149455</t>
  </si>
  <si>
    <t>Reverses TJM-090524-12 Deferring Prelim SO 11562164 to hit OCT-24 Adjustment 30-09-24 16:17:12</t>
  </si>
  <si>
    <t>Reverses journal TJM-090524-12 Deferring Prelim SO 11562164 to hit OCT-24 Adjustment of journal batch TJM-090524-12 Deferring Prelim SO 11562164 to hit OCT-24 Spreadsheet A 300000305300838 21737416 N from period Aug-24.</t>
  </si>
  <si>
    <t>Reverses TJM-090524-15 Deferring Prelim SO 11562286 to hit OCT-24 Adjustm 30-09-24 16:29:57 22149536</t>
  </si>
  <si>
    <t>Reverses TJM-090524-15 Deferring Prelim SO 11562286 to hit OCT-24 Adjustment 30-09-24 16:29:58</t>
  </si>
  <si>
    <t>Reverses journal TJM-090524-15 Deferring Prelim SO 11562286 to hit OCT-24 Adjustment of journal batch TJM-090524-15 Deferring Prelim SO 11562286 to hit OCT-24 Spreadsheet A 300000305300838 21737416 N from period Aug-24.</t>
  </si>
  <si>
    <t>Reverses "TJM-090524-8 Defer SO to Timing - Recognize in Oct"27-SEP-24 12:52:49 - 4198212 22116192 N</t>
  </si>
  <si>
    <t>Reverses "TJM-090524-8 Defer SO to Timing - Recognize in Oct-24 140226 OPR Adju27-SEP-2024 12:52:49</t>
  </si>
  <si>
    <t>Reverses TJM-090524-8 Defer SO to Timing - Recognize in Oct-24 140226 OPR Adjus journal entry of TJM-090524-8 Defer SO to Timing - Recognize in Oct-24 140226 Spreadsheet A 172892 418336313 batch from AUG-24.</t>
  </si>
  <si>
    <t>Deferring SO 11563295, discussing with team AUG-24 - TJM - IUB needed, credit coded to 50210 in AUG-24 - Reversed AUG-24</t>
  </si>
  <si>
    <t>TJM-080601-1 Defer SO to Timing 095917 Spreadsheet A 171912 416337091 EBS OPR A 18431883 21216315 N</t>
  </si>
  <si>
    <t>TJM-080601-1 Defer SO to Timing 095917 OPR Adjustment USD User 1 OPR Adjustments</t>
  </si>
  <si>
    <t>Defer SO 11563295 PO Varonis - Discussing with team in AUG-24</t>
  </si>
  <si>
    <t>Defer SO 11563295 PO Varonis to Timing - Reversed AUG-24</t>
  </si>
  <si>
    <t>TJM-082124-1 Defer SO to Timing Spreadsheet A 300000305300838 21475501 N</t>
  </si>
  <si>
    <t>TJM-082024-17 Defer SO to Timing Adjustment</t>
  </si>
  <si>
    <t>Deferring PO PO00389659 Out of AUG-24</t>
  </si>
  <si>
    <t>TJM-090524-25 Deferring PO PO00389659 Out of AUG-24 152534 Spreadsheet A 172832 418341610 21745633 N</t>
  </si>
  <si>
    <t>TJM-090524-25 Deferring PO PO00389659 Out of AUG-24 152534 OPR Adjustment USD User 1 OPR Adjustment</t>
  </si>
  <si>
    <t>Deferring PO PO00389659 Out of AUG-24 - Researching RMA</t>
  </si>
  <si>
    <t>Reverses "TJM-080601-1 Defer SO to Timing 095917 OPR Adjustm"16-SEP-24 14:23:33 - 4190443 21948799 N</t>
  </si>
  <si>
    <t>Reverses "TJM-080601-1 Defer SO to Timing 095917 OPR Adjustment USD User 1"16-SEP-2024 14:23:33 OPR</t>
  </si>
  <si>
    <t>Reverses TJM-080601-1 Defer SO to Timing 095917 OPR Adjustment USD User 1 journal entry of TJM-080601-1 Defer SO to Timing 095917 Spreadsheet A 171912 416337091 batch from JUL-24.</t>
  </si>
  <si>
    <t>Reverses TJM-082024-17 Defer SO to Timing Adjustment 16-09-24 19:29:43 21924283</t>
  </si>
  <si>
    <t>Reverses TJM-082024-17 Defer SO to Timing Adjustment 16-09-24 19:29:44</t>
  </si>
  <si>
    <t>Reverses journal TJM-082024-17 Defer SO to Timing Adjustment of journal batch TJM-082124-1 Defer SO to Timing Spreadsheet A 300000305300838 21475501 N from period Aug-24.</t>
  </si>
  <si>
    <t>Reverses "TJM-090524-25 Deferring PO PO00389659 Out of AUG-2"12-SEP-24 14:41:59 - 4188049 21932281 N</t>
  </si>
  <si>
    <t>Reverses "TJM-090524-25 Deferring PO PO00389659 Out of AUG-24 152534 OPR Adjust12-SEP-2024 14:41:59</t>
  </si>
  <si>
    <t>Reverses TJM-090524-25 Deferring PO PO00389659 Out of AUG-24 152534 OPR Adjustm journal entry of TJM-090524-25 Deferring PO PO00389659 Out of AUG-24 152534 Spreadsheet A 172832 418341610 batch from AUG-24.</t>
  </si>
  <si>
    <t>Waiting for full credit from Cisco|need a CUB/Do you have an email for this?</t>
  </si>
  <si>
    <t>TJM-050124-9 Spreadsheet A 300000305300838 19576890 N</t>
  </si>
  <si>
    <t>TJM-050124-9 Adjustment</t>
  </si>
  <si>
    <t>Deferring Credit Memo 6102069227 CUB or Manual Credit Needed</t>
  </si>
  <si>
    <t>02115573</t>
  </si>
  <si>
    <t>TJM-092724-7 Release Credit Memo 6102069227 Deferral from Balance Sheet 27-SEP-2024 14:30 22162384 N</t>
  </si>
  <si>
    <t>TJM-092724-7 Release Credit Memo 6102069227 Deferral from Balance Sheet OPR Adjustments</t>
  </si>
  <si>
    <t>Defer ReclassINV258407733 Out of AUG-24</t>
  </si>
  <si>
    <t>TJM-090524-30 Defer AP Invoice Out of AUG-24</t>
  </si>
  <si>
    <t>Reverses TJM-090624-6 Accruing Missing GL Cost SO EQUINIX133 01-10-24 20:29:35 22181128</t>
  </si>
  <si>
    <t>Reverses TJM-090624-6 Accruing Missing GL Cost SO EQUINIX133 01-10-24 20:29:36</t>
  </si>
  <si>
    <t>Reverses journal TJM-090624-6 Accruing Missing GL Cost SO EQUINIX133 of journal batch TJM-090624-6 Accruing Missing GL Cost SO EQUINIX133 from period Sep-24.</t>
  </si>
  <si>
    <t>AR Invoice # 81043974 and #81043889 both reference AP invoice #100210583979DCF - causing cost not to show in GL</t>
  </si>
  <si>
    <t>Reverses TJM-090524-30 Defer AP Invoice Out of AUG-24 05-09-24 22:01:09 21715973</t>
  </si>
  <si>
    <t>Reverses TJM-090524-30 Defer AP Invoice Out of AUG-24 05-09-24 22:01:10</t>
  </si>
  <si>
    <t>Reverses journal TJM-090524-30 Defer AP Invoice Out of AUG-24 of journal batch TJM-090524-30 Defer AP Invoice Out of AUG-24 from period Aug-24.</t>
  </si>
  <si>
    <t>TJM-090624-6 Accruing Missing GL Cost SO EQUINIX133</t>
  </si>
  <si>
    <t>Accruing Missing GL Cost SO EQUINIX133 - Cost Not Showing in GL</t>
  </si>
  <si>
    <t>Deferring Prelim SO 11584295 to hit OCT-24</t>
  </si>
  <si>
    <t>TJM-090524-16 Deferring Prelim SO 11584295 to hit OCT-24 Spreadsheet A 300000305300838 21737416 N</t>
  </si>
  <si>
    <t>TJM-090524-16 Deferring Prelim SO 11584295 to hit OCT-24 Adjustment</t>
  </si>
  <si>
    <t>101.11001.245011.9999.950.999.9999.9999</t>
  </si>
  <si>
    <t>R-00841599</t>
  </si>
  <si>
    <t>Reverses TJM-090524-16 Deferring Prelim SO 11584295 to hit OCT-24 Adjustm 15-10-24 14:21:41 22425427</t>
  </si>
  <si>
    <t>Reverses TJM-090524-16 Deferring Prelim SO 11584295 to hit OCT-24 Adjustment 15-10-24 14:21:42</t>
  </si>
  <si>
    <t>Reverses journal TJM-090524-16 Deferring Prelim SO 11584295 to hit OCT-24 Adjustment of journal batch TJM-090524-16 Deferring Prelim SO 11584295 to hit OCT-24 Spreadsheet A 300000305300838 21737416 N from period Aug-24.</t>
  </si>
  <si>
    <t>TJM-090524-20 Deferring RMA 2412713 Out of Aug-24</t>
  </si>
  <si>
    <t>TJM-090524-20 Deferring RMA 2412713 Out of Aug-24 Spreadsheet A 300000305300838 21737416 N</t>
  </si>
  <si>
    <t>TJM-090524-20 Deferring RMA 2412713 Out of Aug-24 Adjustment</t>
  </si>
  <si>
    <t>Deferring RMA 2412713 Out of Aug-24</t>
  </si>
  <si>
    <t>101.11015.245011.9999.204.999.9999.9999</t>
  </si>
  <si>
    <t>D84ZK.CM.02.0S.WWTB</t>
  </si>
  <si>
    <t>Reverses TJM-090524-20 Deferring RMA 2412713 Out of Aug-24 Adjustment 14-10-24 20:19:58 22412563</t>
  </si>
  <si>
    <t>Reverses TJM-090524-20 Deferring RMA 2412713 Out of Aug-24 Adjustment 14-10-24 20:19:59</t>
  </si>
  <si>
    <t>Reverses journal TJM-090524-20 Deferring RMA 2412713 Out of Aug-24 Adjustment of journal batch TJM-090524-20 Deferring RMA 2412713 Out of Aug-24 Spreadsheet A 300000305300838 21737416 N from period Aug-24.</t>
  </si>
  <si>
    <t>TJM-102924-4 Streamline PO GDIT-33088 General Dynamics Information Tech Reverse Year 4219 22707136 N</t>
  </si>
  <si>
    <t>TJM-102924-4 Streamline PO GDIT-33088 General Dynamics Information Tech Reverse Year 5 2027 131319</t>
  </si>
  <si>
    <t>TJM-102924-2 Streamline PO GDIT-33088 General Dynamics Information Tech Reverse Year 4219 22707136 N</t>
  </si>
  <si>
    <t>TJM-102924-2 Streamline PO GDIT-33088 General Dynamics Information Tech Reverse Year 3 2025 131247</t>
  </si>
  <si>
    <t>TJM-102924-3 Streamline PO GDIT-33088 General Dynamics Information Tech Reverse Year 4219 22707136 N</t>
  </si>
  <si>
    <t>TJM-102924-3 Streamline PO GDIT-33088 General Dynamics Information Tech Reverse Year 4 2026 131309</t>
  </si>
  <si>
    <t>Reverses "TJM-102924-3 Streamline PO GDIT-33088 General Dyna"04-NOV-24 22:47:02 - 4223140 22800007 N</t>
  </si>
  <si>
    <t>Reverses "TJM-102924-3 Streamline PO GDIT-33088 General Dynamics Information Te04-NOV-2024 22:47:02</t>
  </si>
  <si>
    <t>Reverses TJM-102924-3 Streamline PO GDIT-33088 General Dynamics Information Tec journal entry of TJM-102924-3 Streamline PO GDIT-33088 General Dynamics Information Tech Reverse Year 421901341 batch from OCT-24.</t>
  </si>
  <si>
    <t>Reverses "TJM-102924-4 Streamline PO GDIT-33088 General Dyna"04-NOV-24 22:47:32 - 4223140 22800007 N</t>
  </si>
  <si>
    <t>Reverses "TJM-102924-4 Streamline PO GDIT-33088 General Dynamics Information Te04-NOV-2024 22:47:32</t>
  </si>
  <si>
    <t>Reverses TJM-102924-4 Streamline PO GDIT-33088 General Dynamics Information Tec journal entry of TJM-102924-4 Streamline PO GDIT-33088 General Dynamics Information Tech Reverse Year 421901350 batch from OCT-24.</t>
  </si>
  <si>
    <t>Reverses "TJM-102924-2 Streamline PO GDIT-33088 General Dyna"04-NOV-24 22:46:32 - 4223140 22800007 N</t>
  </si>
  <si>
    <t>Reverses "TJM-102924-2 Streamline PO GDIT-33088 General Dynamics Information Te04-NOV-2024 22:46:32</t>
  </si>
  <si>
    <t>Reverses TJM-102924-2 Streamline PO GDIT-33088 General Dynamics Information Tec journal entry of TJM-102924-2 Streamline PO GDIT-33088 General Dynamics Information Tech Reverse Year 421901320 batch from OCT-24.</t>
  </si>
  <si>
    <t>Streamline PO00335202 SO 2325470</t>
  </si>
  <si>
    <t>TJM-082024-19 Streamline Cost PO00335202 SO 2325470 143933 Spreadsheet A 172249 417272012 21560426 N</t>
  </si>
  <si>
    <t>TJM-082024-19 Streamline Cost PO00335202 SO 2325470 143933 OPR Adjustment USD User 1 OPR Adjustment</t>
  </si>
  <si>
    <t>Streamline Cost PO00335202 SO 2325470 - Reverse OCT-24</t>
  </si>
  <si>
    <t>Reverses "TJM-082024-19 Streamline Cost PO00335202 SO 232547"20-SEP-24 13:47:30 - 4193627 22378940 N</t>
  </si>
  <si>
    <t>Reverses "TJM-082024-19 Streamline Cost PO00335202 SO 2325470 143933 OPR Adjust20-SEP-2024 13:47:30</t>
  </si>
  <si>
    <t>Reverses TJM-082024-19 Streamline Cost PO00335202 SO 2325470 143933 OPR Adjustm journal entry of TJM-082024-19 Streamline Cost PO00335202 SO 2325470 143933 Spreadsheet A 172249 417272012 batch from AUG-24.</t>
  </si>
  <si>
    <t>Accruing Invoice 6102252509 into SEP-24</t>
  </si>
  <si>
    <t>TJM-100324-7 Accrue Invoice 6102252509 into SEP-24 03-OCT-2024 15:12:33 EBS OPR A 2084497 22231860 N</t>
  </si>
  <si>
    <t>TJM-100324-7 Accrue Invoice 6102252509 into SEP-24 OPR Adjustments</t>
  </si>
  <si>
    <t>Accrue Invoice 6102252509 into SEP-24 and Reclass from 24500</t>
  </si>
  <si>
    <t>Reverses "TJM-100324-7 Accrue Invoice 6102252509 into SEP-24"22-OCT-24 15:38:16 - 4214580 22571168 N</t>
  </si>
  <si>
    <t>Reverses "TJM-100324-7 Accrue Invoice 6102252509 into SEP-24"22-OCT-2024 15:38:16 OPR Adjustments</t>
  </si>
  <si>
    <t>Reverses TJM-100324-7 Accrue Invoice 6102252509 into SEP-24 journal entry of TJM-100324-7 Accrue Invoice 6102252509 into SEP-24 03-OCT-2024 15:12:33 batch from SEP-24.</t>
  </si>
  <si>
    <t>NYC1 Software Dropship Accrual - Reversed in OCT-24</t>
  </si>
  <si>
    <t>JMM-090624-5 NYC1 Software Dropship Accrual 154602 Spreadsheet A 172947 418419551 EBS OPR 21760333 N</t>
  </si>
  <si>
    <t>JMM-090624-5 NYC1 Software Dropship Accrual 154602 OPR Adjustment USD User 1 OPR Adjustments</t>
  </si>
  <si>
    <t>Reverses "JMM-090624-5 NYC1 Software Dropship Accrual 154602"08-OCT-24 15:57:33 - 4205313 22571105 N</t>
  </si>
  <si>
    <t>Reverses "JMM-090624-5 NYC1 Software Dropship Accrual 154602 OPR Adjustment USD08-OCT-2024 15:57:33</t>
  </si>
  <si>
    <t>Reverses JMM-090624-5 NYC1 Software Dropship Accrual 154602 OPR Adjustment USD  journal entry of JMM-090624-5 NYC1 Software Dropship Accrual 154602 Spreadsheet A 172947 418419551 batch from AUG-24.</t>
  </si>
  <si>
    <t>Defer ReclassINV258407733 Out of SEP-24</t>
  </si>
  <si>
    <t>TJM-100424-2 Defer AP Invoice Out of SEP-24</t>
  </si>
  <si>
    <t>Reverses TJM-100424-2 Defer AP Invoice Out of SEP-24 04-10-24 22:01:43 22225441</t>
  </si>
  <si>
    <t>Reverses TJM-100424-2 Defer AP Invoice Out of SEP-24 04-10-24 22:01:44</t>
  </si>
  <si>
    <t>Reverses journal TJM-100424-2 Defer AP Invoice Out of SEP-24 of journal batch TJM-100424-2 Defer AP Invoice Out of SEP-24 from period Sep-24.</t>
  </si>
  <si>
    <t>Accrue Check Request CUREF0002556 into OCT-24</t>
  </si>
  <si>
    <t>TJM-110624-11 Accrue Check Request CUREF0002556 into Oct 134027 Spreadsheet A 175044 4224 22814959 N</t>
  </si>
  <si>
    <t>TJM-110624-11 Accrue Check Request CUREF0002556 into Oct 134027 OPR Adj EBS AutoRev USD User 1 OPR</t>
  </si>
  <si>
    <t>Accrue Check Request CUREF0002556 into Oct</t>
  </si>
  <si>
    <t>Reverses "TJM-110624-11 Accrue Check Request CUREF0002556 in"06-NOV-24 17:00:42 - 4223769 22817207 N</t>
  </si>
  <si>
    <t>Reverses "TJM-110624-11 Accrue Check Request CUREF0002556 into Oct 134027 OPR A06-NOV-2024 17:00:42</t>
  </si>
  <si>
    <t>Nov-24</t>
  </si>
  <si>
    <t>Reverses TJM-110624-11 Accrue Check Request CUREF0002556 into Oct 134027 OPR Ad journal entry of TJM-110624-11 Accrue Check Request CUREF0002556 into Oct 134027 Spreadsheet A 175044 422439493 batch from OCT-24.</t>
  </si>
  <si>
    <t>Defer SO 9733937 out of OCT-24</t>
  </si>
  <si>
    <t>TJM-110524-2 Defer SO 9733937 out of OCT-24 PO R-00624372 WWT PO 3895147 123337 Sprea 422 22800007 N</t>
  </si>
  <si>
    <t>TJM-110524-2 Defer SO 9733937 out of OCT-24 PO R-00624372 WWT PO 3895147 123337 OPR Adj EBS AutoRev</t>
  </si>
  <si>
    <t>Defer SO 9733937 out of OCT-24 PO R-00624372 WWT PO 3895147</t>
  </si>
  <si>
    <t>Reverses "TJM-110524-2 Defer SO 9733937 out of OCT-24 PO R-0"05-NOV-24 17:00:32 - 4222985 22800007 N</t>
  </si>
  <si>
    <t>Reverses "TJM-110524-2 Defer SO 9733937 out of OCT-24 PO R-00624372 WWT PO 389505-NOV-2024 17:00:32</t>
  </si>
  <si>
    <t>Reverses TJM-110524-2 Defer SO 9733937 out of OCT-24 PO R-00624372 WWT PO 38951 journal entry of TJM-110524-2 Defer SO 9733937 out of OCT-24 PO R-00624372 WWT PO 3895147 123337 Sprea 422359625 batch from OCT-24.</t>
  </si>
  <si>
    <t>Accrue PO 36C10B24C0017 SO 11600180 into OCT-24</t>
  </si>
  <si>
    <t>TJM-110624-1 Accrue PO 36C10B24C0017 SO 11600180 into Oct 06-NOV-2024 09:53:44 EBS OPR A  22811742 N</t>
  </si>
  <si>
    <t>TJM-110624-1 Accrue PO 36C10B24C0017 SO 11600180 into Oct OPR Adjustments</t>
  </si>
  <si>
    <t>Accrue PO 36C10B24C0017 SO 11600180 into Oct</t>
  </si>
  <si>
    <t>Reverses "TJM-110624-1 Accrue PO 36C10B24C0017 SO 11600180 i"19-NOV-24 11:04:21 - 4232779 23085558 N</t>
  </si>
  <si>
    <t>Reverses "TJM-110624-1 Accrue PO 36C10B24C0017 SO 11600180 into Oct"19-NOV-2024 11:04:21 OPR Adjust</t>
  </si>
  <si>
    <t>Reverses TJM-110624-1 Accrue PO 36C10B24C0017 SO 11600180 into Oct journal entry of TJM-110624-1 Accrue PO 36C10B24C0017 SO 11600180 into Oct 06-NOV-2024 09:53:44 batch from OCT-24.</t>
  </si>
  <si>
    <t>Was moved to offset tab with JMD-030623-5, but should not have been since that JE was reversed; Notes from prior people "Colin did a reversal JE Jun-23/What is this supposed to offset with?/ Will offset in Decemeber Check other timing account(Colin's original note); Defer Federal Health WWTINCSAAS924, PO 22P09282"</t>
  </si>
  <si>
    <t>CDW-070623-6 Reversing VA EA Cost from timing 06-JUL-2023 14:15:12 EBS OPR A 6682848 14497649 N</t>
  </si>
  <si>
    <t>CDW-070623-6 Reversing VA EA Cost from timing OPR Adjustments</t>
  </si>
  <si>
    <t>Reversing VA EA Cost from timing</t>
  </si>
  <si>
    <t>Reverses "CDW-070623-6 Reversing VA EA Cost from timing"04-DEC-24 07:46:14 - 424214459 EB 23284659 N</t>
  </si>
  <si>
    <t>Reverses "CDW-070623-6 Reversing VA EA Cost from timing"04-DEC-2024 07:46:14 OPR Adjustments</t>
  </si>
  <si>
    <t>Reverses CDW-070623-6 Reversing VA EA Cost from timing journal entry of CDW-070623-6 Reversing VA EA Cost from timing 06-JUL-2023 14:15:12 batch from JUN-23.</t>
  </si>
  <si>
    <t>Accrue AP Invoice 223739 into OCT-24</t>
  </si>
  <si>
    <t>TJM-110624-13 Accrue AP Invoice 223739 into Oct 144635 Spreadsheet A 175068 422444707 EBS 22815492 N</t>
  </si>
  <si>
    <t>TJM-110624-13 Accrue AP Invoice 223739 into Oct 144635 OPR Adjustment USD User 1 OPR Adjustments</t>
  </si>
  <si>
    <t>Accrue AP Invoice 223739 into Oct</t>
  </si>
  <si>
    <t>Reverses "TJM-110624-13 Accrue AP Invoice 223739 into Oct 14"19-NOV-24 14:37:36 - 4232934 23085593 N</t>
  </si>
  <si>
    <t>Reverses "TJM-110624-13 Accrue AP Invoice 223739 into Oct 144635 OPR Adjustment19-NOV-2024 14:37:37</t>
  </si>
  <si>
    <t>Reverses TJM-110624-13 Accrue AP Invoice 223739 into Oct 144635 OPR Adjustment  journal entry of TJM-110624-13 Accrue AP Invoice 223739 into Oct 144635 Spreadsheet A 175068 422444707 batch from OCT-24.</t>
  </si>
  <si>
    <t>Accruing Cost Credit SO 2387191 RMA/RTV expected - TJM/Sent follow up email 7/17</t>
  </si>
  <si>
    <t>TJM-070324-9 Accrue Cost Credit into JUN for Expected RMA/RTV SO 2387191 03-JUL-2024 14:3 20641933 N</t>
  </si>
  <si>
    <t>TJM-070324-9 Accrue Cost Credit into JUN for Expected RMA/RTV SO 2387191 OPR Adjustments</t>
  </si>
  <si>
    <t>Accrue Cost Credit into JUN for Expected RMA/RTV SO 2387191</t>
  </si>
  <si>
    <t>Reverses "TJM-070324-9 Accrue Cost Credit into JUN for Expec"14-NOV-24 14:11:37 - 4229776 22969714 N</t>
  </si>
  <si>
    <t>Reverses "TJM-070324-9 Accrue Cost Credit into JUN for Expected RMA/RTV SO 238714-NOV-2024 14:11:37</t>
  </si>
  <si>
    <t>Reverses TJM-070324-9 Accrue Cost Credit into JUN for Expected RMA/RTV SO 23871 journal entry of TJM-070324-9 Accrue Cost Credit into JUN for Expected RMA/RTV SO 2387191 03-JUL-2024 14:31:56 batch from JUN-24.</t>
  </si>
  <si>
    <t>Defer RMA 2429435 out of OCT-24</t>
  </si>
  <si>
    <t>TJM-110524-6 Defer RMA 2429435 out of OCT-24 05-NOV-2024 15:53:18 EBS OPR A 22500575 22800004 N</t>
  </si>
  <si>
    <t>TJM-110524-6 Defer RMA 2429435 out of OCT-24 OPR Adjustments</t>
  </si>
  <si>
    <t>Reverses "TJM-110524-6 Defer RMA 2429435 out of OCT-24"12-NOV-24 14:46:28 - 422829796 EBS 22969714 N</t>
  </si>
  <si>
    <t>Reverses "TJM-110524-6 Defer RMA 2429435 out of OCT-24"12-NOV-2024 14:46:28 OPR Adjustments</t>
  </si>
  <si>
    <t>Reverses TJM-110524-6 Defer RMA 2429435 out of OCT-24 journal entry of TJM-110524-6 Defer RMA 2429435 out of OCT-24 05-NOV-2024 15:53:18 batch from OCT-24.</t>
  </si>
  <si>
    <t>Deferring POs IT-00074 &amp; IT-00075 RMAs Out of AUG-24</t>
  </si>
  <si>
    <t>TJM-090524-27 Deferring RMAs Out of AUG-24 162829 Spreadsheet A 172835 418345845 EBS OPR  21754391 N</t>
  </si>
  <si>
    <t>TJM-090524-27 Deferring RMAs Out of AUG-24 162829 OPR Adjustment USD User 1 OPR Adjustments</t>
  </si>
  <si>
    <t>Deferring Prelim SO 11606872 to hit OCT-24</t>
  </si>
  <si>
    <t>TJM-090524-19 Deferring Prelim SO 11606872 to hit OCT-24 Spreadsheet A 300000305300838 21737416 N</t>
  </si>
  <si>
    <t>TJM-090524-19 Deferring Prelim SO 11606872 to hit OCT-24 Adjustment</t>
  </si>
  <si>
    <t>101.13001.245011.9999.950.999.9999.9999</t>
  </si>
  <si>
    <t>R-00845466</t>
  </si>
  <si>
    <t>Deferring Prelim SO 11606872 to hit DEC-24</t>
  </si>
  <si>
    <t>TJM-110624-7 Deferring Prelim SO 11606872 Spreadsheet A 300000305300838 22812276 N</t>
  </si>
  <si>
    <t>TJM-110624-7 Deferring Prelim SO 11606872 Adjustment</t>
  </si>
  <si>
    <t>Deferring Prelim SO11606872</t>
  </si>
  <si>
    <t>1409194-EPP</t>
  </si>
  <si>
    <t>Reverses TJM-090524-19 Deferring Prelim SO 11606872 to hit OCT-24 Adjustm 03-12-24 16:54:12 23255531</t>
  </si>
  <si>
    <t>Reverses TJM-090524-19 Deferring Prelim SO 11606872 to hit OCT-24 Adjustment 03-12-24 16:54:13</t>
  </si>
  <si>
    <t>Reverses journal TJM-090524-19 Deferring Prelim SO 11606872 to hit OCT-24 Adjustment of journal batch TJM-090524-19 Deferring Prelim SO 11606872 to hit OCT-24 Spreadsheet A 300000305300838 21737416 N from period Aug-24.</t>
  </si>
  <si>
    <t>Reverses TJM-110624-7 Deferring Prelim SO 11606872 Adjustment 03-12-24 16:55:57 23255548</t>
  </si>
  <si>
    <t>Reverses TJM-110624-7 Deferring Prelim SO 11606872 Adjustment 03-12-24 16:55:58</t>
  </si>
  <si>
    <t>Reverses journal TJM-110624-7 Deferring Prelim SO 11606872 Adjustment of journal batch TJM-110624-7 Deferring Prelim SO 11606872 Spreadsheet A 300000305300838 22812276 N from period Oct-24.</t>
  </si>
  <si>
    <t>Reverses "TJM-090524-27 Deferring RMAs Out of AUG-24 162829 "19-NOV-24 14:51:39 - 4232945 23085593 N</t>
  </si>
  <si>
    <t>Reverses "TJM-090524-27 Deferring RMAs Out of AUG-24 162829 OPR Adjustment USD 19-NOV-2024 14:51:39</t>
  </si>
  <si>
    <t>Reverses TJM-090524-27 Deferring RMAs Out of AUG-24 162829 OPR Adjustment USD U journal entry of TJM-090524-27 Deferring RMAs Out of AUG-24 162829 Spreadsheet A 172835 418345845 batch from AUG-24.</t>
  </si>
  <si>
    <t>Defer ReclassINV258407733 Out of OCT-24</t>
  </si>
  <si>
    <t>TJM-110624-10 Defer AP Invoice out of OCT-24</t>
  </si>
  <si>
    <t>Defer ReclassINV25840773</t>
  </si>
  <si>
    <t>Reverses TJM-110624-10 Defer AP Invoice out of OCT-24 06-11-24 23:01:17 22795265</t>
  </si>
  <si>
    <t>Reverses TJM-110624-10 Defer AP Invoice out of OCT-24 06-11-24 23:01:18</t>
  </si>
  <si>
    <t>Reverses journal TJM-110624-10 Defer AP Invoice out of OCT-24 of journal batch TJM-110624-10 Defer AP Invoice out of OCT-24 from period Oct-24.</t>
  </si>
  <si>
    <t>Accrued check request into November - expecting to clear DEC-24</t>
  </si>
  <si>
    <t>TJM-120424-9 Accrue Check Request into Nov-24 PO FA875124F0092 SO 11729652 04-DEC-2024 15 23292536 N</t>
  </si>
  <si>
    <t>TJM-120424-9 Accrue Check Request into Nov-24 PO FA875124F0092 SO 11729652 OPR Adj EBS AutoRev</t>
  </si>
  <si>
    <t>Accrue Check Request into Nov-24 PO FA875124F0092 SO 11729652</t>
  </si>
  <si>
    <t>FA875124F0092</t>
  </si>
  <si>
    <t>Reverses "TJM-120424-9 Accrue Check Request into Nov-24 PO F"05-DEC-24 17:00:35 - 4242540 23314100 N</t>
  </si>
  <si>
    <t>Reverses "TJM-120424-9 Accrue Check Request into Nov-24 PO FA875124F0092 SO 11705-DEC-2024 17:00:35</t>
  </si>
  <si>
    <t>Reverses TJM-120424-9 Accrue Check Request into Nov-24 PO FA875124F0092 SO 1172 journal entry of TJM-120424-9 Accrue Check Request into Nov-24 PO FA875124F0092 SO 11729652 04-DEC-2024 15:43:40 batch from NOV-24.</t>
  </si>
  <si>
    <t>Accrue Check Request CUREF0002556 into NOV-24 - expected to release DEC-24</t>
  </si>
  <si>
    <t>TJM-120524-3 Accrue Check Request CUREF0002556 into Nov 05-DEC-2024 09:59:11 EBS OPR A 24 23301935 N</t>
  </si>
  <si>
    <t>TJM-120524-3 Accrue Check Request CUREF0002556 into Nov OPR Adj EBS AutoRev</t>
  </si>
  <si>
    <t>Accrue Check Request CUREF0002556 into Nov</t>
  </si>
  <si>
    <t>Expecting credit from vendor and RTV - RE: AP Invoices on WWT PO 3895147 SO 9733937</t>
  </si>
  <si>
    <t>TJM-120424-5 Defer SO 9733937 out of NOV-24 PO R-00624372 WWT PO 3895147 04-DEC-2024 13:0 23284659 N</t>
  </si>
  <si>
    <t>TJM-120424-5 Defer SO 9733937 out of NOV-24 PO R-00624372 WWT PO 3895147 OPR Adj EBS AutoRev</t>
  </si>
  <si>
    <t>Defer SO 9733937 out of NOV-24 PO R-00624372 WWT PO 3895147 - Waiting on Vendor Credit</t>
  </si>
  <si>
    <t>Reverses "TJM-120524-3 Accrue Check Request CUREF0002556 int"05-DEC-24 17:00:45 - 4242540 23314100 N</t>
  </si>
  <si>
    <t>Reverses "TJM-120524-3 Accrue Check Request CUREF0002556 into Nov"05-DEC-2024 17:00:45 OPR Adj EBS</t>
  </si>
  <si>
    <t>Reverses TJM-120524-3 Accrue Check Request CUREF0002556 into Nov journal entry of TJM-120524-3 Accrue Check Request CUREF0002556 into Nov 05-DEC-2024 09:59:11 batch from NOV-24.</t>
  </si>
  <si>
    <t>Reverses "TJM-120424-5 Defer SO 9733937 out of NOV-24 PO R-0"04-DEC-24 17:00:36 - 4241754 23284659 N</t>
  </si>
  <si>
    <t>Reverses "TJM-120424-5 Defer SO 9733937 out of NOV-24 PO R-00624372 WWT PO 389504-DEC-2024 17:00:36</t>
  </si>
  <si>
    <t>Reverses TJM-120424-5 Defer SO 9733937 out of NOV-24 PO R-00624372 WWT PO 38951 journal entry of TJM-120424-5 Defer SO 9733937 out of NOV-24 PO R-00624372 WWT PO 3895147 04-DEC-2024 13:03:04 batch from NOV-24.</t>
  </si>
  <si>
    <t>Deferring PO Rcpt Adjust.SA-X300N-A001-GEGE.ACTUAL.1323.CSFC_DAR - NAIC3 WMS - WWT (Org 132) and PO Rcpt Adjust.VTX-TE-S23KETTC.ACTUAL.1323.CSFC_DAR - NAIC3 WMS - WWT (Org 132) out of SEP-24 - Reversed DEC-24</t>
  </si>
  <si>
    <t>JMM-100324-1</t>
  </si>
  <si>
    <t>Deferring PO Rcpt Adjust.SA-X300N-A001-GEGE.ACTUAL.1323.CSFC_DAR - NAIC3 WMS - WWT (Org 132) and PO Rcpt Adjust.VTX-TE-S23KETTC.ACTUAL.1323.CSFC_DAR - NAIC3 WMS - WWT (Org 132)</t>
  </si>
  <si>
    <t>Reverses JMM-100324-1  12-12-24 21:11:05 23434603</t>
  </si>
  <si>
    <t>Reverses JMM-100324-1  12-12-24 21:11:06</t>
  </si>
  <si>
    <t>Reverses journal JMM-100324-1  of journal batch JMM-100324-1  from period Sep-24.</t>
  </si>
  <si>
    <t>Reversed DEC-24</t>
  </si>
  <si>
    <t>TJM-120524-6 Defer PO 4500296931 out of Nov 05-DEC-2024 11:14:46 EBS OPR A 24271887 23303083 N</t>
  </si>
  <si>
    <t>TJM-120524-6 Defer PO 4500296931 out of Nov OPR Adj EBS AutoRev</t>
  </si>
  <si>
    <t>Defer PO 4500296931 out of Nov</t>
  </si>
  <si>
    <t>Reverses "TJM-120524-6 Defer PO 4500296931 out of Nov"05-DEC-24 17:00:50 - 424254024 EBS  23314100 N</t>
  </si>
  <si>
    <t>Reverses "TJM-120524-6 Defer PO 4500296931 out of Nov"05-DEC-2024 17:00:50 OPR Adj EBS AutoRev</t>
  </si>
  <si>
    <t>Reverses TJM-120524-6 Defer PO 4500296931 out of Nov journal entry of TJM-120524-6 Defer PO 4500296931 out of Nov 05-DEC-2024 11:14:46 batch from NOV-24.</t>
  </si>
  <si>
    <t>Colin's notes"RMA on hold 2335887 PO Reciept Adj on WWT PO 4259673" - Followed up with team 12/12/24 - Needs to be tied to OPR, should we be giving credit to customer?</t>
  </si>
  <si>
    <t>CDW-030424-8 RMA on hold 2335887 PO Reciept Adj on WWT PO 4259673</t>
  </si>
  <si>
    <t>1CDATA-24-C-0018</t>
  </si>
  <si>
    <t>Reverses CDW-030424-8 RMA on hold 2335887 PO Reciept Adj on WWT PO 425967 19-12-24 16:08:56 23549593</t>
  </si>
  <si>
    <t>Reverses CDW-030424-8 RMA on hold 2335887 PO Reciept Adj on WWT PO 4259673 19-12-24 16:08:57</t>
  </si>
  <si>
    <t>Reverses journal CDW-030424-8 RMA on hold 2335887 PO Reciept Adj on WWT PO 4259673 of journal batch CDW-030424-8 RMA on hold 2335887 PO Reciept Adj on WWT PO 4259673 from period Feb-24.</t>
  </si>
  <si>
    <t>Sydney followed up 7/22/24/email Re: PO 55603P SO 9788664 - awaiting credit approval from Cisco - meeting w/ FP&amp;A to discuss 12/18/24</t>
  </si>
  <si>
    <t>CDW-030124-5 Defer SO 9788664 Awaiting AP credit 01-MAR-2024 14:29:24 EBS OPR A 13863374 18550712 N</t>
  </si>
  <si>
    <t>CDW-030124-5 Defer SO 9788664 Awaiting AP credit OPR Adjustments</t>
  </si>
  <si>
    <t>Reverses "CDW-030124-5 Defer SO 9788664 Awaiting AP credit"19-DEC-24 10:11:27 - 425222723 23579965 N</t>
  </si>
  <si>
    <t>Reverses "CDW-030124-5 Defer SO 9788664 Awaiting AP credit"19-DEC-2024 10:11:27 OPR Adjustments</t>
  </si>
  <si>
    <t>Reverses CDW-030124-5 Defer SO 9788664 Awaiting AP credit journal entry of CDW-030124-5 Defer SO 9788664 Awaiting AP credit 01-MAR-2024 14:29:24 batch from FEB-24.</t>
  </si>
  <si>
    <t>Deferred portion of high GP order - team awaiting vendor credit 12/4/24 - Reversed DEC-24</t>
  </si>
  <si>
    <t>TJM-120524-10 Defer Portion of SO 2429435 Cost Credit out of Nov 05-DEC-2024 13:43:59 EBS 23303783 N</t>
  </si>
  <si>
    <t>TJM-120524-10 Defer Portion of SO 2429435 Cost Credit out of Nov OPR Adjustments</t>
  </si>
  <si>
    <t>Defer Portion of SO 2429435 Cost Credit out of Nov</t>
  </si>
  <si>
    <t>Reverses "TJM-120524-10 Defer Portion of SO 2429435 Cost Cre"16-DEC-24 15:54:20 - 4250181 23522126 N</t>
  </si>
  <si>
    <t>Reverses "TJM-120524-10 Defer Portion of SO 2429435 Cost Credit out of Nov"16-DEC-2024 15:54:20 OPR</t>
  </si>
  <si>
    <t>Reverses TJM-120524-10 Defer Portion of SO 2429435 Cost Credit out of Nov journal entry of TJM-120524-10 Defer Portion of SO 2429435 Cost Credit out of Nov 05-DEC-2024 13:43:59 batch from NOV-24.</t>
  </si>
  <si>
    <t>Accruing SO 11490767 credit expected, taking hit in DEC-24 if not resolved</t>
  </si>
  <si>
    <t>Manual A 170722 414151534 EBS OPR A 17255528 20624153 N</t>
  </si>
  <si>
    <t>TJM-070224-2 Accrue Credit into JUN-24 OPR Adjustment USD User 1 OPR Adjustments</t>
  </si>
  <si>
    <t>Accrue 11490767 Cisco Credit - Expected JUL-24</t>
  </si>
  <si>
    <t>Reverses "TJM-070224-2 Accrue Credit into JUN-24 OPR Adjustm"19-DEC-24 09:25:54 - 4252193 23579965 N</t>
  </si>
  <si>
    <t>Reverses "TJM-070224-2 Accrue Credit into JUN-24 OPR Adjustment USD User 1"19-DEC-2024 09:25:55 OPR</t>
  </si>
  <si>
    <t>Reverses TJM-070224-2 Accrue Credit into JUN-24 OPR Adjustment USD User 1 journal entry of Manual A 170722 414151534 batch from JUN-24.</t>
  </si>
  <si>
    <t>Colin's notes "Needs $0 RMA billed through RecVue"/Re: POs FSBA1-0000007448 and FSBA1-0000007888</t>
  </si>
  <si>
    <t>CDW-020524-5 Defer CUB 2310384, Need RMA/RTV 05-FEB-2024 21:23:33 EBS OPR A 13049791 18145006 N</t>
  </si>
  <si>
    <t>CDW-020524-5 Defer CUB 2310384, Need RMA/RTV OPR Adjustments</t>
  </si>
  <si>
    <t>Defer CUB 2310384, Need RMA/RTV</t>
  </si>
  <si>
    <t>Defer ReclassINV258407733 Out of NOV-24 - expected to clear DEC-24</t>
  </si>
  <si>
    <t>TJM-120524-9 Defer AP Invoice out of NOV-24</t>
  </si>
  <si>
    <t>Defer ReclassINV258407733 Out of NOV-24</t>
  </si>
  <si>
    <t>AutoCopy</t>
  </si>
  <si>
    <t>Reverses TJM-120524-9 Defer AP Invoice out of NOV-24 05-12-24 23:01:10 23283752</t>
  </si>
  <si>
    <t>Reverses TJM-120524-9 Defer AP Invoice out of NOV-24 05-12-24 23:01:11</t>
  </si>
  <si>
    <t>Reverses journal TJM-120524-9 Defer AP Invoice out of NOV-24 of journal batch TJM-120524-9 Defer AP Invoice out of NOV-24 from period Nov-24.</t>
  </si>
  <si>
    <t>Reverses "CDW-020524-5 Defer CUB 2310384, Need RMA/RTV"06-JAN-25 21:20:18 - 426222875 EBS 23861300 N</t>
  </si>
  <si>
    <t>Reverses "CDW-020524-5 Defer CUB 2310384, Need RMA/RTV"06-JAN-2025 21:20:18 OPR Adjustments</t>
  </si>
  <si>
    <t>Reverses CDW-020524-5 Defer CUB 2310384, Need RMA/RTV journal entry of CDW-020524-5 Defer CUB 2310384, Need RMA/RTV 05-FEB-2024 21:23:33 batch from JAN-24.</t>
  </si>
  <si>
    <t>Accrue SO 11728010 PO KDS00005 into Dec - Reversed Jan-25</t>
  </si>
  <si>
    <t>TJM-010725-1 Accrue SO 11728010 PO KDS00005 into Dec-24 092121 Spreadsheet A 176883 42625 23863966 N</t>
  </si>
  <si>
    <t>TJM-010725-1 Accrue SO 11728010 PO KDS00005 into Dec-24 092121 OPR Adj EBS AutoRev USD User 1 OPR A</t>
  </si>
  <si>
    <t>Accrue SO 11728010 PO KDS00005 into Dec-24</t>
  </si>
  <si>
    <t>101.11015.245011.9999.999.999.9999.9999</t>
  </si>
  <si>
    <t>Reverses "TJM-010725-1 Accrue SO 11728010 PO KDS00005 into D"07-JAN-25 17:00:30 - 4262134 23875131 N</t>
  </si>
  <si>
    <t>Reverses "TJM-010725-1 Accrue SO 11728010 PO KDS00005 into Dec-24 092121 OPR Ad07-JAN-2025 17:00:30</t>
  </si>
  <si>
    <t>Reverses TJM-010725-1 Accrue SO 11728010 PO KDS00005 into Dec-24 092121 OPR Adj journal entry of TJM-010725-1 Accrue SO 11728010 PO KDS00005 into Dec-24 092121 Spreadsheet A 176883 426250604 batch from DEC-24.</t>
  </si>
  <si>
    <t>Defer SO 11877203 PO 7152170 out of Dec-24 - RMA/RTV to correct in Jan-25</t>
  </si>
  <si>
    <t>TJM-010725-3 Defer SO 11877203 PO 7152170 out of Dec-24 07-JAN-2025 10:03:04 EBS OPR A 25 23863969 N</t>
  </si>
  <si>
    <t>TJM-010725-3 Defer SO 11877203 PO 7152170 out of Dec-24 OPR Adjustments</t>
  </si>
  <si>
    <t>TJM-012125-1 Release SO 11877203 PO 712170 from timing and correct Sales Channe 21-JAN-20 24205306 N</t>
  </si>
  <si>
    <t>TJM-012125-1 Release SO 11877203 PO 712170 from timing and correct Sales Channel OPR Adjustments</t>
  </si>
  <si>
    <t>Release SO 11877203 PO 712170 from timing and correct Sales Channel</t>
  </si>
  <si>
    <t>Accrued check request into Dec - expecting to clear JAN-25</t>
  </si>
  <si>
    <t>TJM-010325-8 Accrue Check Request into Dec-24 PO FA875124F0092 SO 11729652 123103 Spr 426 23804576 N</t>
  </si>
  <si>
    <t>TJM-010325-8 Accrue Check Request into Dec-24 PO FA875124F0092 SO 11729652 123103 OPR Adj EBS AutoR</t>
  </si>
  <si>
    <t>Accrue Check Request into Dec-24 PO FA875124F0092 SO 11729652</t>
  </si>
  <si>
    <t>Reverses "TJM-010325-8 Accrue Check Request into Dec-24 PO F"03-JAN-25 17:00:25 - 4260013 23804576 N</t>
  </si>
  <si>
    <t>Reverses "TJM-010325-8 Accrue Check Request into Dec-24 PO FA875124F0092 SO 11703-JAN-2025 17:00:25</t>
  </si>
  <si>
    <t>Reverses TJM-010325-8 Accrue Check Request into Dec-24 PO FA875124F0092 SO 1172 journal entry of TJM-010325-8 Accrue Check Request into Dec-24 PO FA875124F0092 SO 11729652 123103 Spr 426056600 batch from DEC-24.</t>
  </si>
  <si>
    <t>Defer ReclassINV258407733 Out of Jan-24</t>
  </si>
  <si>
    <t>TJM-010725-4 Defer AP Invoice out of DEC-24</t>
  </si>
  <si>
    <t>Defer ReclassINV258407733 Out of DEC-24</t>
  </si>
  <si>
    <t>Reverses TJM-010725-4 Defer AP Invoice out of DEC-24 07-01-25 23:01:36 23848195</t>
  </si>
  <si>
    <t>Reverses TJM-010725-4 Defer AP Invoice out of DEC-24 07-01-25 23:01:37</t>
  </si>
  <si>
    <t>Reverses journal TJM-010725-4 Defer AP Invoice out of DEC-24 of journal batch TJM-010725-4 Defer AP Invoice out of DEC-24 from period Dec-24.</t>
  </si>
  <si>
    <t>Defer Portion of PO FA714623F0031 out of Dec - working with RecVue team to correct invoice reversals</t>
  </si>
  <si>
    <t>TJM-010625-5 Defer Portion of PO FA714623F0031 to Timing Spreadsheet A 300000305300838 23845644 N</t>
  </si>
  <si>
    <t>TJM-010625-5 Defer Portion of PO FA714623F0031 to Timing Adjustment</t>
  </si>
  <si>
    <t>210956D</t>
  </si>
  <si>
    <t>FA714623F0031</t>
  </si>
  <si>
    <t>TJM-020525-7 Defer Portion of PO FA714623F0031 to Timing Spreadsheet A 300000305300838 24370978 N</t>
  </si>
  <si>
    <t>TJM-020525-7 Defer Portion of PO FA714623F0031 to Timing Adjustment</t>
  </si>
  <si>
    <t>Defer Portion of PO FA714623F0031 to Timing -  Inv 224439</t>
  </si>
  <si>
    <t>Reverses TJM-020525-7 Defer Portion of PO FA714623F0031 to Timing Adjust 24-02-25 21:49:14 24690784</t>
  </si>
  <si>
    <t>Reverses TJM-020525-7 Defer Portion of PO FA714623F0031 to Timing Adjustment 24-02-25 21:49:15</t>
  </si>
  <si>
    <t>Feb-25</t>
  </si>
  <si>
    <t>Reverses journal TJM-020525-7 Defer Portion of PO FA714623F0031 to Timing Adjustment of journal batch TJM-020525-7 Defer Portion of PO FA714623F0031 to Timing Spreadsheet A 300000305300838 24370978 N from period Jan-25.</t>
  </si>
  <si>
    <t>Reverses TJM-010625-5 Defer Portion of PO FA714623F0031 to Timing Adjust 24-02-25 21:45:59 24690772</t>
  </si>
  <si>
    <t>Reverses TJM-010625-5 Defer Portion of PO FA714623F0031 to Timing Adjustment 24-02-25 21:46:00</t>
  </si>
  <si>
    <t>Reverses journal TJM-010625-5 Defer Portion of PO FA714623F0031 to Timing Adjustment of journal batch TJM-010625-5 Defer Portion of PO FA714623F0031 to Timing Spreadsheet A 300000305300838 23845644 N from period Dec-24.</t>
  </si>
  <si>
    <t>Defer SO 118808180 PO GDIT-59934 out of Dec-24 - Sysco credit expected</t>
  </si>
  <si>
    <t>TJM-010725-7 Defer SO 118808180 PO GDIT-59934 out of Dec-24 07-JAN-2025 12:56:20 EBS OPR  23865721 N</t>
  </si>
  <si>
    <t>TJM-010725-7 Defer SO 118808180 PO GDIT-59934 out of Dec-24 OPR Adjustments</t>
  </si>
  <si>
    <t>Deferred SO 11865172 out of Jan-25 - awaiting Cisco credit</t>
  </si>
  <si>
    <t>TJM-020625-2 Deferring SO 11865172 out of Jan-25 - awaiting credit 06-FEB-2025 09:38:58 E 24387089 N</t>
  </si>
  <si>
    <t>TJM-020625-2 Deferring SO 11865172 out of Jan-25 - awaiting credit OPR Adj EBS AutoRev</t>
  </si>
  <si>
    <t>Deferring SO 11865172 out of Jan-25 - awaiting credit</t>
  </si>
  <si>
    <t>Reverses "TJM-010725-7 Defer SO 118808180 PO GDIT-59934 out "04-MAR-25 13:43:23 - 4299630 24861617 N</t>
  </si>
  <si>
    <t>Reverses "TJM-010725-7 Defer SO 118808180 PO GDIT-59934 out of Dec-24"04-MAR-2025 13:43:24 OPR Adju</t>
  </si>
  <si>
    <t>Reverses TJM-010725-7 Defer SO 118808180 PO GDIT-59934 out of Dec-24 journal entry of TJM-010725-7 Defer SO 118808180 PO GDIT-59934 out of Dec-24 07-JAN-2025 12:56:20 batch from DEC-24.</t>
  </si>
  <si>
    <t>Reverses "TJM-020625-2 Deferring SO 11865172 out of Jan-25 -"06-FEB-25 17:00:50 - 4281282 24399616 N</t>
  </si>
  <si>
    <t>Reverses "TJM-020625-2 Deferring SO 11865172 out of Jan-25 - awaiting credit"06-FEB-2025 17:00:50 O</t>
  </si>
  <si>
    <t>Reverses TJM-020625-2 Deferring SO 11865172 out of Jan-25 - awaiting credit journal entry of TJM-020625-2 Deferring SO 11865172 out of Jan-25 - awaiting credit 06-FEB-2025 09:38:58 batch from JAN-25.</t>
  </si>
  <si>
    <t>Deferred RMAs out of Jan-25 - reviewing with AR team</t>
  </si>
  <si>
    <t>TJM-020525-1 Defer RMA 2460662 to Timing 151801 Spreadsheet A 177688 428121608 EBS OPR A  24375257 N</t>
  </si>
  <si>
    <t>TJM-020525-1 Defer RMA 2460662 to Timing 151801 OPR Adjustment USD User 1 OPR Adjustments</t>
  </si>
  <si>
    <t>Defer RMA 2460662 to Timing - Need to credit customer or re-ship</t>
  </si>
  <si>
    <t>24-038</t>
  </si>
  <si>
    <t>Reverses "TJM-020525-1 Defer RMA 2460662 to Timing 151801 OP"05-MAR-25 15:08:13 - 4300653 24878737 N</t>
  </si>
  <si>
    <t>Reverses "TJM-020525-1 Defer RMA 2460662 to Timing 151801 OPR Adjustment USD Us05-MAR-2025 15:08:13</t>
  </si>
  <si>
    <t>Reverses TJM-020525-1 Defer RMA 2460662 to Timing 151801 OPR Adjustment USD Use journal entry of TJM-020525-1 Defer RMA 2460662 to Timing 151801 Spreadsheet A 177688 428121608 batch from JAN-25.</t>
  </si>
  <si>
    <t>Deferring Prelim SO 11606421 - hit taken OCT-24</t>
  </si>
  <si>
    <t>TJM-090524-18 Deferring Prelim SO 11606421 to hit OCT-24 Spreadsheet A 300000305300838 21737416 N</t>
  </si>
  <si>
    <t>TJM-090524-18 Deferring Prelim SO 11606421 to hit OCT-24 Adjustment</t>
  </si>
  <si>
    <t>Deferring Prelim SO 11606421 to hit OCT-24</t>
  </si>
  <si>
    <t>R-00845465</t>
  </si>
  <si>
    <t>Reverses TJM-090524-18 Deferring Prelim SO 11606421 to hit OCT-24 Adjust 03-03-25 19:51:17 24829824</t>
  </si>
  <si>
    <t>Reverses TJM-090524-18 Deferring Prelim SO 11606421 to hit OCT-24 Adjustment 03-03-25 19:51:18</t>
  </si>
  <si>
    <t>Reverses journal TJM-090524-18 Deferring Prelim SO 11606421 to hit OCT-24 Adjustment of journal batch TJM-090524-18 Deferring Prelim SO 11606421 to hit OCT-24 Spreadsheet A 300000305300838 21737416 N from period Aug-24.</t>
  </si>
  <si>
    <t>1409406</t>
  </si>
  <si>
    <t>TJM-020525-16 Defer AP Invoice out of Jan-25</t>
  </si>
  <si>
    <t>Defer ReclassINV258407733 Out of JAN-25</t>
  </si>
  <si>
    <t>Reverses TJM-020525-16 Defer AP Invoice out of Jan-25 06-02-25 23:00:47 24372690</t>
  </si>
  <si>
    <t>Reverses TJM-020525-16 Defer AP Invoice out of Jan-25 06-02-25 23:00:48</t>
  </si>
  <si>
    <t>Reverses journal TJM-020525-16 Defer AP Invoice out of Jan-25 of journal batch TJM-020525-16 Defer AP Invoice out of Jan-25 from period Jan-25.</t>
  </si>
  <si>
    <t>Cisco invoiced for years 2 and 3 mistakenly.  Will release in 2025 and 2026 - RE 1CDATA-24-C-0204</t>
  </si>
  <si>
    <t>TJM-120524-4 PO 1CDATA-24-C-0204 SO 11790365 Defer Years 2 &amp; 3 Cost 05-DEC-2024 10:32:03  23301935 N</t>
  </si>
  <si>
    <t>TJM-120524-4 PO 1CDATA-24-C-0204 SO 11790365 Defer Years 2 &amp; 3 Cost OPR Adjustments</t>
  </si>
  <si>
    <t>PO 1CDATA-24-C-0204 SO 11790365 Defer Years 2 &amp; 3 Cost</t>
  </si>
  <si>
    <t>Reverses "TJM-120524-4 PO 1CDATA-24-C-0204 SO 11790365 Defer"18-FEB-25 13:26:03 - 4289821 24625704 N</t>
  </si>
  <si>
    <t>Reverses "TJM-120524-4 PO 1CDATA-24-C-0204 SO 11790365 Defer Years 2 &amp; 3 Cost"18-FEB-2025 13:26:03</t>
  </si>
  <si>
    <t>Reverses TJM-120524-4 PO 1CDATA-24-C-0204 SO 11790365 Defer Years 2 &amp; 3 Cost journal entry of TJM-120524-4 PO 1CDATA-24-C-0204 SO 11790365 Defer Years 2 &amp; 3 Cost 05-DEC-2024 10:32:03 batch from NOV-24.</t>
  </si>
  <si>
    <t>TJM-040325-3 Deferring AP Invoices Coded to Incorrect Account Spreadsheet A 3000003053008 25402179 N</t>
  </si>
  <si>
    <t>TJM-040325-3 Deferring AP Invoices Coded to Incorrect Account Adjustment</t>
  </si>
  <si>
    <t>Reverses TJM-040325-3 Deferring AP Invoices Coded to Incorrect Account A 04-04-25 16:21:47 25423545</t>
  </si>
  <si>
    <t>Reverses TJM-040325-3 Deferring AP Invoices Coded to Incorrect Account Adjustment 04-04-25 16:21:48</t>
  </si>
  <si>
    <t>Reverses journal TJM-040325-3 Deferring AP Invoices Coded to Incorrect Account Adjustment of journal batch TJM-040325-3 Deferring AP Invoices Coded to Incorrect Account Spreadsheet A 3000003053008 25402179 N from period Mar-25.</t>
  </si>
  <si>
    <t>Reverses "TJM-031825-2 Release SO WWTXaaS428 Cost from Timin"01-APR-25 13:46:55 - 4322241 25368308 N</t>
  </si>
  <si>
    <t>Reverses "TJM-031825-2 Release SO WWTXaaS428 Cost from Timing and Tie to OPR 1601-APR-2025 13:46:55</t>
  </si>
  <si>
    <t>Reverses TJM-031825-2 Release SO WWTXaaS428 Cost from Timing and Tie to OPR 162 journal entry of TJM-031825-2 Release SO WWTXaaS428 Cost from Timing and Tie to OPR 162302 Spreadsheet 431107040 batch from MAR-25.</t>
  </si>
  <si>
    <t>TJM-031825-2 Release SO WWTXaaS428 Cost from Timing and Tie to OPR 162302 Spreadsheet 431 25154670 N</t>
  </si>
  <si>
    <t>TJM-031825-2 Release SO WWTXaaS428 Cost from Timing and Tie to OPR 162302 OPR Adjustment USD User 1</t>
  </si>
  <si>
    <t>Release SO WWTXaaS428 Cost from Timing and Tie to OPR</t>
  </si>
  <si>
    <t>Reversed Mar-25</t>
  </si>
  <si>
    <t>TJM-022625-2 Defer SO WWTXaaS428 Spreadsheet A 30000030530 24736717 N</t>
  </si>
  <si>
    <t>TJM-022625-2 Defer SO WWTXaaS428</t>
  </si>
  <si>
    <t>Defer SO WWTXaaS428</t>
  </si>
  <si>
    <t>Invoice 224440</t>
  </si>
  <si>
    <t>Invoice 224439</t>
  </si>
  <si>
    <t>TJM-040125-13 Correcting Release SO WWTXaaS428 from Timing and Tie to SO BP108 01-APR-202 25368257 N</t>
  </si>
  <si>
    <t>TJM-040125-13 Correcting Release SO WWTXaaS428 from Timing and Tie to SO BP108 OPR Adjustments</t>
  </si>
  <si>
    <t>Correcting Release SO WWTXaaS428 from Timing and Tie to SO BP108</t>
  </si>
  <si>
    <t>TJM-030425-3 Deferring RMA 2482239 - Customer Invoicing Needed Spreadsheet A 300000305300 24842833 N</t>
  </si>
  <si>
    <t>TJM-030425-3 Deferring RMA 2482239 - Customer Invoicing Needed Adjustment</t>
  </si>
  <si>
    <t>Deferring RMA 2482239 - Customer Invoicing Needed</t>
  </si>
  <si>
    <t>D84ZK-S1 CLIN 7</t>
  </si>
  <si>
    <t>TJM-031825-1 Releasing RMA 2482239 from Timing and Tying to OPR 18-MAR-2025 15:24:54 EBS  25154705 N</t>
  </si>
  <si>
    <t>TJM-031825-1 Releasing RMA 2482239 from Timing and Tying to OPR OPR Adjustments</t>
  </si>
  <si>
    <t>Releasing RMA 2482239 from Timing and Tying to OPR</t>
  </si>
  <si>
    <t>Defer SO 11861512 On Hold out of Dec-24</t>
  </si>
  <si>
    <t>TJM-010625-10 Defer SO 11861512 On Hold Spreadsheet A 300000305300838 23851828 N</t>
  </si>
  <si>
    <t>TJM-010625-10 Defer SO 11861512 On Hold Adjustment</t>
  </si>
  <si>
    <t>Defer SO 11861512 On Hold</t>
  </si>
  <si>
    <t>114996-015</t>
  </si>
  <si>
    <t>Reverses TJM-010625-10 Defer SO 11861512 On Hold Adjustment 01-04-25 14:58:08 25355071</t>
  </si>
  <si>
    <t>Reverses TJM-010625-10 Defer SO 11861512 On Hold Adjustment 01-04-25 14:58:09</t>
  </si>
  <si>
    <t>Reverses journal TJM-010625-10 Defer SO 11861512 On Hold Adjustment of journal batch TJM-010625-10 Defer SO 11861512 On Hold Spreadsheet A 300000305300838 23851828 N from period Dec-24.</t>
  </si>
  <si>
    <t>TJM-020525-2 Defer RMA 2466213 to Timing 05-FEB-2025 18:30:30 EBS OPR A 27010721 24387089 N</t>
  </si>
  <si>
    <t>TJM-020525-2 Defer RMA 2466213 to Timing OPR Adjustments</t>
  </si>
  <si>
    <t>Defer RMA 2466213 to Timing - Need to credit customer or re-ship</t>
  </si>
  <si>
    <t>TJM-040325-4 Deferring RMA 2486831 On Hold Out of Mar-25 Spreadsheet A 300000305300838 25402179 N</t>
  </si>
  <si>
    <t>TJM-040325-4 Deferring RMA 2486831 On Hold Out of Mar-25 Adjustment</t>
  </si>
  <si>
    <t>Deferring RMA 2486831 On Hold Out of Mar-25</t>
  </si>
  <si>
    <t>Reverses TJM-040325-4 Deferring RMA 2486831 On Hold Out of Mar-25 Adjust 04-04-25 16:29:46 25423619</t>
  </si>
  <si>
    <t>Reverses TJM-040325-4 Deferring RMA 2486831 On Hold Out of Mar-25 Adjustment 04-04-25 16:29:47</t>
  </si>
  <si>
    <t>Reverses journal TJM-040325-4 Deferring RMA 2486831 On Hold Out of Mar-25 Adjustment of journal batch TJM-040325-4 Deferring RMA 2486831 On Hold Out of Mar-25 Spreadsheet A 300000305300838 25402179 N from period Mar-25.</t>
  </si>
  <si>
    <t>TJM-040325-5 Deferring RMA 2483085 On Hold Out of Mar-25 Spreadsheet A 300000305300838 25402179 N</t>
  </si>
  <si>
    <t>TJM-040325-5 Deferring RMA 2483085 On Hold Out of Mar-25 Adjustment</t>
  </si>
  <si>
    <t>Deferring RMA 2483085 On Hold Out of Mar-25</t>
  </si>
  <si>
    <t>Reverses TJM-040325-5 Deferring RMA 2483085 On Hold Out of Mar-25 Adjust 04-04-25 16:30:17 25423635</t>
  </si>
  <si>
    <t>Reverses TJM-040325-5 Deferring RMA 2483085 On Hold Out of Mar-25 Adjustment 04-04-25 16:30:18</t>
  </si>
  <si>
    <t>Reverses journal TJM-040325-5 Deferring RMA 2483085 On Hold Out of Mar-25 Adjustment of journal batch TJM-040325-5 Deferring RMA 2483085 On Hold Out of Mar-25 Spreadsheet A 300000305300838 25402179 N from period Mar-25.</t>
  </si>
  <si>
    <t>Reverses "TJM-020525-2 Defer RMA 2466213 to Timing"26-MAR-25 09:46:35 - 431728509 EBS OPR 25279037 N</t>
  </si>
  <si>
    <t>Reverses "TJM-020525-2 Defer RMA 2466213 to Timing"26-MAR-2025 09:46:35 OPR Adjustments</t>
  </si>
  <si>
    <t>Reverses TJM-020525-2 Defer RMA 2466213 to Timing journal entry of TJM-020525-2 Defer RMA 2466213 to Timing 05-FEB-2025 18:30:30 batch from JAN-25.</t>
  </si>
  <si>
    <t>Deferred RMA 2478030 on hold out of Feb-25</t>
  </si>
  <si>
    <t>TJM-030425-1 Deferring RMA 2478030 On Hold Spreadsheet A 300000305300838 24842833 N</t>
  </si>
  <si>
    <t>TJM-030425-1 Deferring RMA 2478030 On Hold Adjustment</t>
  </si>
  <si>
    <t>Deferring RMA 2478030 On Hold</t>
  </si>
  <si>
    <t>CC7143004</t>
  </si>
  <si>
    <t>Reverses TJM-030425-1 Deferring RMA 2478030 On Hold Adjustment 01-04-25 14:59:38 25355086</t>
  </si>
  <si>
    <t>Reverses TJM-030425-1 Deferring RMA 2478030 On Hold Adjustment 01-04-25 14:59:39</t>
  </si>
  <si>
    <t>Reverses journal TJM-030425-1 Deferring RMA 2478030 On Hold Adjustment of journal batch TJM-030425-1 Deferring RMA 2478030 On Hold Spreadsheet A 300000305300838 24842833 N from period Feb-25.</t>
  </si>
  <si>
    <t>Defer PO W519TC23F0463 to Timing - RTVs Needed - released remainder Apr-25</t>
  </si>
  <si>
    <t>TJM-090524-4 Defer SO to Timing - RTVs Needed 140156 Spreadsheet A 172888 418336280 EBS O 21745633 N</t>
  </si>
  <si>
    <t>TJM-090524-4 Defer SO to Timing - RTVs Needed 140156 OPR Adjustment USD User 1 OPR Adjustments</t>
  </si>
  <si>
    <t>Defer PO W519TC23F0463 to Timing - RTVs Needed</t>
  </si>
  <si>
    <t>TJM-100324-5 Release cost from timing for RMAs PO W519TC23F0463 SO 23986837 130108 Sp 420 22231952 N</t>
  </si>
  <si>
    <t>TJM-100324-5 Release cost from timing for RMAs PO W519TC23F0463 SO 23986837 130108 OPR Adjustment U</t>
  </si>
  <si>
    <t>TJM-110424-1 Release cost from timing for RMAs PO W519TC23F0463 SO 23986837 04-NOV-2024 0 22779157 N</t>
  </si>
  <si>
    <t>TJM-110424-1 Release cost from timing for RMAs PO W519TC23F0463 SO 23986837 OPR Adjustments</t>
  </si>
  <si>
    <t>TJM-030425-9 Release cost from timing for RMAs PO W519TC23F0463 SO 23986837 145310 Sp 429 24861654 N</t>
  </si>
  <si>
    <t>TJM-030425-9 Release cost from timing for RMAs PO W519TC23F0463 SO 23986837 145310 OPR Adjustment U</t>
  </si>
  <si>
    <t>TJM-050225-1 Release cost from timing for RMAs PO W519TC23F0463 SO 23986837 02-MAY-2025 1 25968441 N</t>
  </si>
  <si>
    <t>TJM-050225-1 Release cost from timing for RMAs PO W519TC23F0463 SO 23986837 OPR Adjustments</t>
  </si>
  <si>
    <t>Apr-25</t>
  </si>
  <si>
    <t>Defer RMA 2482392 On Hold out of Mar-25</t>
  </si>
  <si>
    <t>Federal Army USACE</t>
  </si>
  <si>
    <t>TJM-040325-8 Defer RMA 2482392 On Hold out of Mar-25 Spreadsheet A 300000305300838 25409843 N</t>
  </si>
  <si>
    <t>TJM-040325-8 Defer RMA 2482392 On Hold out of Mar-25 WWT Accrual Auto Rev</t>
  </si>
  <si>
    <t>AIS00113152</t>
  </si>
  <si>
    <t>Reverses TJM-040325-8 Defer RMA 2482392 On Hold out of Mar-25 WWT Accrua 03-04-25 22:01:08 25385966</t>
  </si>
  <si>
    <t>Reverses TJM-040325-8 Defer RMA 2482392 On Hold out of Mar-25 WWT Accrual Auto Re 03-04-25 22:01:09</t>
  </si>
  <si>
    <t>Reverses journal TJM-040325-8 Defer RMA 2482392 On Hold out of Mar-25 WWT Accrual Auto Rev of journal batch TJM-040325-8 Defer RMA 2482392 On Hold out of Mar-25 Spreadsheet A 300000305300838 25409843 N from period Mar-25.</t>
  </si>
  <si>
    <t>Defer RMA 2488099 On Hold out of Mar-25 - Reversed Apr-25</t>
  </si>
  <si>
    <t>TJM-040325-9 Defer RMA 2488099 On Hold out of Mar-25 Spreadsheet A 300000305300838 25409843 N</t>
  </si>
  <si>
    <t>TJM-040325-9 Defer RMA 2488099 On Hold out of Mar-25 WWT Accrual Auto Rev</t>
  </si>
  <si>
    <t>Defer RMA 2488099 On Hold out of Mar-25</t>
  </si>
  <si>
    <t>101.11023.245011.9999.204.999.9999.9999</t>
  </si>
  <si>
    <t>7500046097</t>
  </si>
  <si>
    <t>Reverses TJM-040325-9 Defer RMA 2488099 On Hold out of Mar-25 WWT Accrua 03-04-25 22:01:04 25385966</t>
  </si>
  <si>
    <t>Reverses TJM-040325-9 Defer RMA 2488099 On Hold out of Mar-25 WWT Accrual Auto Re 03-04-25 22:01:05</t>
  </si>
  <si>
    <t>Reverses journal TJM-040325-9 Defer RMA 2488099 On Hold out of Mar-25 WWT Accrual Auto Rev of journal batch TJM-040325-9 Defer RMA 2488099 On Hold out of Mar-25 Spreadsheet A 300000305300838 25409843 N from period Mar-25.</t>
  </si>
  <si>
    <t>Accrued Finder's Fee into SEP-24 - Reversed Apr-25</t>
  </si>
  <si>
    <t>TJM-092724-8 - Accruing Finder's Fee into Sep-24 27-SEP-2024 15:00:05 EBS OPR A 20666516 22162384 N</t>
  </si>
  <si>
    <t>TJM-092724-8 - Accruing Finder's Fee into Sep-24 OPR Adjustments</t>
  </si>
  <si>
    <t>Accruing Finders Fee into Sep-24 PO P001178A01 SO 11654932</t>
  </si>
  <si>
    <t>Reverses "TJM-092724-8 - Accruing Finder's Fee into Sep-24"30-APR-25 14:12:13 - 434339437 25913358 N</t>
  </si>
  <si>
    <t>Reverses "TJM-092724-8 - Accruing Finder's Fee into Sep-24"30-APR-2025 14:12:13 OPR Adjustments</t>
  </si>
  <si>
    <t>Reverses TJM-092724-8 - Accruing Finder's Fee into Sep-24 journal entry of TJM-092724-8 - Accruing Finder's Fee into Sep-24 27-SEP-2024 15:00:05 batch from SEP-24.</t>
  </si>
  <si>
    <t>Defer SO 11999834 On Hold out of Mar-25</t>
  </si>
  <si>
    <t>TJM-040325-10 Defer SO 11999834 On Hold out of Mar-25 Spreadsheet A 300000305300838 25409843 N</t>
  </si>
  <si>
    <t>TJM-040325-10 Defer SO 11999834 On Hold out of Mar-25 WWT Accrual Auto Rev</t>
  </si>
  <si>
    <t>R-00886369</t>
  </si>
  <si>
    <t>Reverses TJM-040325-10 Defer SO 11999834 On Hold out of Mar-25 WWT Accru 03-04-25 22:01:06 25385966</t>
  </si>
  <si>
    <t>Reverses TJM-040325-10 Defer SO 11999834 On Hold out of Mar-25 WWT Accrual Auto R 03-04-25 22:01:07</t>
  </si>
  <si>
    <t>Reverses journal TJM-040325-10 Defer SO 11999834 On Hold out of Mar-25 WWT Accrual Auto Rev of journal batch TJM-040325-10 Defer SO 11999834 On Hold out of Mar-25 Spreadsheet A 300000305300838 25409843 N from period Mar-25.</t>
  </si>
  <si>
    <t>Deferring RMA 2486831 On Hold Out of Mar-25 - Reversed Apr-25</t>
  </si>
  <si>
    <t>TJM-040425-10 Deferring RMA 2486831 On Hold Out of Mar-25 Spreadsheet A 300000305300838 25423659 N</t>
  </si>
  <si>
    <t>TJM-040425-10 Deferring RMA 2486831 On Hold Out of Mar-25 Adjustment</t>
  </si>
  <si>
    <t>TJM-040425-11 Deferring RMA 2483085 On Hold Out of Mar-25 Spreadsheet A 300000305300838 25423659 N</t>
  </si>
  <si>
    <t>TJM-040425-11 Deferring RMA 2483085 On Hold Out of Mar-25 Adjustment</t>
  </si>
  <si>
    <t>Reverses TJM-040425-10 Deferring RMA 2486831 On Hold Out of Mar-25 Adjus 05-05-25 18:35:39 25979881</t>
  </si>
  <si>
    <t>Reverses TJM-040425-10 Deferring RMA 2486831 On Hold Out of Mar-25 Adjustment 05-05-25 18:35:40</t>
  </si>
  <si>
    <t>Reverses journal TJM-040425-10 Deferring RMA 2486831 On Hold Out of Mar-25 Adjustment of journal batch TJM-040425-10 Deferring RMA 2486831 On Hold Out of Mar-25 Spreadsheet A 300000305300838 25423659 N from period Mar-25.</t>
  </si>
  <si>
    <t>Reverses TJM-040425-11 Deferring RMA 2483085 On Hold Out of Mar-25 Adjus 05-05-25 18:37:09 25979891</t>
  </si>
  <si>
    <t>Reverses TJM-040425-11 Deferring RMA 2483085 On Hold Out of Mar-25 Adjustment 05-05-25 18:37:10</t>
  </si>
  <si>
    <t>Reverses journal TJM-040425-11 Deferring RMA 2483085 On Hold Out of Mar-25 Adjustment of journal batch TJM-040425-11 Deferring RMA 2483085 On Hold Out of Mar-25 Spreadsheet A 300000305300838 25423659 N from period Mar-25.</t>
  </si>
  <si>
    <t>Defer Credit Invoice 8100035202reclass out of Mar-25</t>
  </si>
  <si>
    <t>TJM-040325-12 Defer Credit Invoice 8100035202reclass out of Mar-25 Spreadsheet A 30000030 25409843 N</t>
  </si>
  <si>
    <t>TJM-040325-12 Defer Credit Invoice 8100035202reclass out of Mar-25 WWT Accrual Auto Rev</t>
  </si>
  <si>
    <t>136621</t>
  </si>
  <si>
    <t>TJM-040325-11 Defer Credit Invoice 8100035212reclass out of Mar-25 Spreadsheet A 30000030 25409843 N</t>
  </si>
  <si>
    <t>TJM-040325-11 Defer Credit Invoice 8100035212reclass out of Mar-25 WWT Accrual Auto Rev</t>
  </si>
  <si>
    <t>Defer Credit Invoice 8100035212reclass out of Mar-25</t>
  </si>
  <si>
    <t>Reverses TJM-040325-12 Defer Credit Invoice 8100035202reclass out of Mar 03-04-25 22:01:12 25385966</t>
  </si>
  <si>
    <t>Reverses TJM-040325-12 Defer Credit Invoice 8100035202reclass out of Mar-25 WWT A 03-04-25 22:01:13</t>
  </si>
  <si>
    <t>Reverses journal TJM-040325-12 Defer Credit Invoice 8100035202reclass out of Mar-25 WWT Accrual Auto Rev of journal batch TJM-040325-12 Defer Credit Invoice 8100035202reclass out of Mar-25 Spreadsheet A 30000030 25409843 N from period Mar-2</t>
  </si>
  <si>
    <t>Reverses TJM-040325-11 Defer Credit Invoice 8100035212reclass out of Mar 03-04-25 22:01:10 25385966</t>
  </si>
  <si>
    <t>Reverses TJM-040325-11 Defer Credit Invoice 8100035212reclass out of Mar-25 WWT A 03-04-25 22:01:11</t>
  </si>
  <si>
    <t>Reverses journal TJM-040325-11 Defer Credit Invoice 8100035212reclass out of Mar-25 WWT Accrual Auto Rev of journal batch TJM-040325-11 Defer Credit Invoice 8100035212reclass out of Mar-25 Spreadsheet A 30000030 25409843 N from period Mar-2</t>
  </si>
  <si>
    <t>Deferring SO 12018326 On Hold out of Apr-25</t>
  </si>
  <si>
    <t>TJM-050525-3 Deferring SO 12018326 On Hold out of Apr-25 Spreadsheet A 300000305300838 25979789 N</t>
  </si>
  <si>
    <t>TJM-050525-3 Deferring SO 12018326 On Hold out of Apr-25 Adjustment</t>
  </si>
  <si>
    <t>101.12015.245011.9999.204.999.9999.9999</t>
  </si>
  <si>
    <t>4522727630</t>
  </si>
  <si>
    <t>Reverses TJM-050525-3 Deferring SO 12018326 On Hold out of Apr-25 Adjust 05-06-25 14:01:13 26541261</t>
  </si>
  <si>
    <t>Reverses TJM-050525-3 Deferring SO 12018326 On Hold out of Apr-25 Adjustment 05-06-25 14:01:14</t>
  </si>
  <si>
    <t>Reverses journal TJM-050525-3 Deferring SO 12018326 On Hold out of Apr-25 Adjustment of journal batch TJM-050525-3 Deferring SO 12018326 On Hold out of Apr-25 Spreadsheet A 300000305300838 25979789 N from period Apr-25.</t>
  </si>
  <si>
    <t>Reverses "TJM-060525-8 Defer RecVue SOs WWT-HW228, WWT-HW243"05-JUN-25 14:11:32 - 4368074 26547675 N</t>
  </si>
  <si>
    <t>Reverses "TJM-060525-8 Defer RecVue SOs WWT-HW228, WWT-HW243, WWT-HW245 Missing05-JUN-2025 14:11:32</t>
  </si>
  <si>
    <t>Reverses TJM-060525-8 Defer RecVue SOs WWT-HW228, WWT-HW243, WWT-HW245 Missing  journal entry of TJM-060525-8 Defer RecVue SOs WWT-HW228, WWT-HW243, WWT-HW245 Missing Cost 122010 Spr 436798572 batch from MAY-25.</t>
  </si>
  <si>
    <t>TJM-060525-8 Defer RecVue SOs WWT-HW228, WWT-HW243, WWT-HW245 Missing Cost 122010 Spr 436 26545431 N</t>
  </si>
  <si>
    <t>TJM-060525-8 Defer RecVue SOs WWT-HW228, WWT-HW243, WWT-HW245 Missing Cost 122010 OPR Adj EBS AutoR</t>
  </si>
  <si>
    <t>Defer RecVue SOs WWT-HW228, WWT-HW243, WWT-HW245 Missing Cost</t>
  </si>
  <si>
    <t>Defer SO 11999834 On Hold out of Apr-25</t>
  </si>
  <si>
    <t>TJM-050525-2 Defer SO 11999834 On Hold out of Apr-25</t>
  </si>
  <si>
    <t>Reverses TJM-050525-2 Defer SO 11999834 On Hold out of Apr-25 05-05-25 22:00:33 25964667</t>
  </si>
  <si>
    <t>Reverses TJM-050525-2 Defer SO 11999834 On Hold out of Apr-25 05-05-25 22:00:34</t>
  </si>
  <si>
    <t>Reverses journal TJM-050525-2 Defer SO 11999834 On Hold out of Apr-25 of journal batch TJM-050525-2 Defer SO 11999834 On Hold out of Apr-25 from period Apr-25.</t>
  </si>
  <si>
    <t>Reverses TJM-060525-11 Deferring AP Invoice out of May-25 05-06-25 19:25:07 26547479</t>
  </si>
  <si>
    <t>Reverses TJM-060525-11 Deferring AP Invoice out of May-25 05-06-25 19:25:08</t>
  </si>
  <si>
    <t>Reverses journal TJM-060525-11 Deferring AP Invoice out of May-25 of journal batch TJM-060525-11 Deferring AP Invoice out of May-25 from period May-25.</t>
  </si>
  <si>
    <t>11031710</t>
  </si>
  <si>
    <t>TJM-060525-11 Deferring AP Invoice out of May-25</t>
  </si>
  <si>
    <t>Deferring RMA 2514419 On Hold out of Apr-25</t>
  </si>
  <si>
    <t>TJM-050525-4 Deferring RMA 2514419 On Hold out of Apr-25 Spreadsheet A 300000305300838 25979789 N</t>
  </si>
  <si>
    <t>TJM-050525-4 Deferring RMA 2514419 On Hold out of Apr-25 Adjustment</t>
  </si>
  <si>
    <t>5A-63197</t>
  </si>
  <si>
    <t>Reverses TJM-050525-4 Deferring RMA 2514419 On Hold out of Apr-25 Adjust 05-06-25 16:39:11 26544616</t>
  </si>
  <si>
    <t>Reverses TJM-050525-4 Deferring RMA 2514419 On Hold out of Apr-25 Adjustment 05-06-25 16:39:12</t>
  </si>
  <si>
    <t>Reverses journal TJM-050525-4 Deferring RMA 2514419 On Hold out of Apr-25 Adjustment of journal batch TJM-050525-4 Deferring RMA 2514419 On Hold out of Apr-25 Spreadsheet A 300000305300838 25979789 N from period Apr-25.</t>
  </si>
  <si>
    <t>Deferring SO 12111222 out of Apr-25 - Awaiting Credit Memo</t>
  </si>
  <si>
    <t>TJM-050625-5 - Deferring SO 12111222 out of Apr-25 - Awaiting Credit Memo 06-MAY-2025 11: 25998991 N</t>
  </si>
  <si>
    <t>TJM-050625-5 - Deferring SO 12111222 out of Apr-25 - Awaiting Credit Memo OPR Adjustments</t>
  </si>
  <si>
    <t>Reverses "TJM-050625-5 - Deferring SO 12111222 out of Apr-25"21-MAY-25 09:36:05 - 4357265 26266393 N</t>
  </si>
  <si>
    <t>Reverses "TJM-050625-5 - Deferring SO 12111222 out of Apr-25 - Awaiting Credit 21-MAY-2025 09:36:06</t>
  </si>
  <si>
    <t>Reverses TJM-050625-5 - Deferring SO 12111222 out of Apr-25 - Awaiting Credit M journal entry of TJM-050625-5 - Deferring SO 12111222 out of Apr-25 - Awaiting Credit Memo 06-MAY-2025 11:47:48 batch from APR-25.</t>
  </si>
  <si>
    <t>Defer RecVue SOs WWT-HW228, WWT-HW243, WWT-HW245 Missing Recvue Cost</t>
  </si>
  <si>
    <t>TJM-060525-14 Defer RecVue SOs WWT-HW228, WWT-HW243, WWT-HW245 Missing Cost 05-JUN-2025 1 26547676 N</t>
  </si>
  <si>
    <t>TJM-060525-14 Defer RecVue SOs WWT-HW228, WWT-HW243, WWT-HW245 Missing Cost OPR Adj EBS AutoRev</t>
  </si>
  <si>
    <t>Reverses "TJM-060525-14 Defer RecVue SOs WWT-HW228, WWT-HW24"05-JUN-25 17:00:23 - 4367376 26552950 N</t>
  </si>
  <si>
    <t>Reverses "TJM-060525-14 Defer RecVue SOs WWT-HW228, WWT-HW243, WWT-HW245 Missin05-JUN-2025 17:00:23</t>
  </si>
  <si>
    <t>Jun-25</t>
  </si>
  <si>
    <t>Reverses TJM-060525-14 Defer RecVue SOs WWT-HW228, WWT-HW243, WWT-HW245 Missing journal entry of TJM-060525-14 Defer RecVue SOs WWT-HW228, WWT-HW243, WWT-HW245 Missing Cost 05-JUN-2025 14:13:10 batch from MAY-25.</t>
  </si>
  <si>
    <t>Defer RMA 2518197 out of May-25 - Gear Shipping in Jun-25</t>
  </si>
  <si>
    <t>TJM-060525-6 Defer RMA 2518197 out of May-25 - Gear Shipping in Jun-25 105340 Spreads 436 26544518 N</t>
  </si>
  <si>
    <t>TJM-060525-6 Defer RMA 2518197 out of May-25 - Gear Shipping in Jun-25 105340 OPR Adj EBS AutoRev U</t>
  </si>
  <si>
    <t>Defer RMA 2518552 out of May-25 - Gear Shipping in Jun-25</t>
  </si>
  <si>
    <t>TJM-060525-5 Defer RMA 2518552 out of May-25 - Gear Shipping in Jun-25 105348 Spreads 436 26544518 N</t>
  </si>
  <si>
    <t>TJM-060525-5 Defer RMA 2518552 out of May-25 - Gear Shipping in Jun-25 105348 OPR Adj EBS AutoRev U</t>
  </si>
  <si>
    <t>Reverses "TJM-060525-6 Defer RMA 2518197 out of May-25 - Gea"05-JUN-25 17:00:18 - 4367376 26552948 N</t>
  </si>
  <si>
    <t>Reverses "TJM-060525-6 Defer RMA 2518197 out of May-25 - Gear Shipping in Jun-205-JUN-2025 17:00:18</t>
  </si>
  <si>
    <t>Reverses TJM-060525-6 Defer RMA 2518197 out of May-25 - Gear Shipping in Jun-25 journal entry of TJM-060525-6 Defer RMA 2518197 out of May-25 - Gear Shipping in Jun-25 105340 Spreads 436792425 batch from MAY-25.</t>
  </si>
  <si>
    <t>Reverses "TJM-060525-5 Defer RMA 2518552 out of May-25 - Gea"05-JUN-25 17:00:20 - 4367376 26552948 N</t>
  </si>
  <si>
    <t>Reverses "TJM-060525-5 Defer RMA 2518552 out of May-25 - Gear Shipping in Jun-205-JUN-2025 17:00:20</t>
  </si>
  <si>
    <t>Reverses TJM-060525-5 Defer RMA 2518552 out of May-25 - Gear Shipping in Jun-25 journal entry of TJM-060525-5 Defer RMA 2518552 out of May-25 - Gear Shipping in Jun-25 105348 Spreads 436792430 batch from MAY-25.</t>
  </si>
  <si>
    <t>Streamline PO GDIT-33088 General Dynamics Information Tech - Releasing 2027</t>
  </si>
  <si>
    <t>TJM-110424-9 Streamline PO GDIT-33088 General Dynamics Information Tech Reverse Year 4223 22800007 N</t>
  </si>
  <si>
    <t>TJM-110424-9 Streamline PO GDIT-33088 General Dynamics Information Tech Reverse Year 3 2025 225408</t>
  </si>
  <si>
    <t>TJM-080425-5 Reversing TJM-110424-9 Streamline PO GDIT-33088 General Dynamics I 05-AUG-20 27617362 N</t>
  </si>
  <si>
    <t>TJM-080425-5 Reversing TJM-110424-9 Streamline PO GDIT-33088 General Dynamics Information Tec OPR A</t>
  </si>
  <si>
    <t>Timing: Recvue Streamline</t>
  </si>
  <si>
    <t>Jul-25</t>
  </si>
  <si>
    <t>Reversing TJM-110424-9 Streamline PO GDIT-33088 General Dynamics Information Tec</t>
  </si>
  <si>
    <t>Reverses TJM-110424-9 Streamline PO GDIT-33088 General Dynamics Information Tec 01-AUG-20 27550583 N</t>
  </si>
  <si>
    <t>Reverses TJM-110424-9 Streamline PO GDIT-33088 General Dynamics Information Tech Reverse Year 3 202</t>
  </si>
  <si>
    <t>Defer RMA 2518552 out of Jun-25 - Gear Shipping in Jul-25</t>
  </si>
  <si>
    <t>TJM-070725-6 Defer RMA 2518552 out of Jun-25 07-JUL-2025 10:13:25 EBS OPR A 38096925 27106916 N</t>
  </si>
  <si>
    <t>TJM-070725-6 Defer RMA 2518552 out of Jun-25 OPR Adj EBS AutoRev</t>
  </si>
  <si>
    <t>Defer RMA 2518552 out of Jun-25</t>
  </si>
  <si>
    <t>Reverses "TJM-070725-6 Defer RMA 2518552 out of Jun-25"07-JUL-25 17:00:18 - 439026550 EBS 27117928 N</t>
  </si>
  <si>
    <t>Reverses "TJM-070725-6 Defer RMA 2518552 out of Jun-25"07-JUL-2025 17:00:19 OPR Adj EBS AutoRev</t>
  </si>
  <si>
    <t>Reverses TJM-070725-6 Defer RMA 2518552 out of Jun-25 journal entry of TJM-070725-6 Defer RMA 2518552 out of Jun-25 07-JUL-2025 10:13:25 batch from JUN-25.</t>
  </si>
  <si>
    <t>Deferring RMA out of Jun-25 - AP correcting</t>
  </si>
  <si>
    <t>TJM-070725-5 Defer RMA out of  Jun-25 - AP correction needed 07-JUL-2025 09:49:11 EBS OPR 27106916 N</t>
  </si>
  <si>
    <t>TJM-070725-5 Defer RMA out of  Jun-25 - AP correction needed OPR Adj EBS AutoRev</t>
  </si>
  <si>
    <t>Defer RMA out of  Jun-25 - AP correction needed</t>
  </si>
  <si>
    <t>Reverses "TJM-070725-5 Defer RMA out of  Jun-25 - AP correct"07-JUL-25 17:00:15 - 4390265 27117928 N</t>
  </si>
  <si>
    <t>Reverses "TJM-070725-5 Defer RMA out of  Jun-25 - AP correction needed"07-JUL-2025 17:00:15 OPR Adj</t>
  </si>
  <si>
    <t>Reverses TJM-070725-5 Defer RMA out of  Jun-25 - AP correction needed journal entry of TJM-070725-5 Defer RMA out of  Jun-25 - AP correction needed 07-JUL-2025 09:49:11 batch from JUN-25.</t>
  </si>
  <si>
    <t>LAS-080425-1 Spreadsheet A 300000276500728 27612323 N</t>
  </si>
  <si>
    <t>LAS-080425-1 Adjustment</t>
  </si>
  <si>
    <t>Reclass to correct location code</t>
  </si>
  <si>
    <t>Deferring RMA 2561451 On Hold out of Jul-25</t>
  </si>
  <si>
    <t>TJM-080625-10 Deferring RMA 2561451 On Hold out of Jul-25 Spreadsheet A 300000305300838 27636257 N</t>
  </si>
  <si>
    <t>TJM-080625-10 Deferring RMA 2561451 On Hold out of Jul-25 Adjustment</t>
  </si>
  <si>
    <t>101.12011.245011.9999.950.999.9999.9999</t>
  </si>
  <si>
    <t>PO4008890</t>
  </si>
  <si>
    <t>Reverses TJM-080625-10 Deferring RMA 2561451 On Hold out of Jul-25 Adjus 19-08-25 19:13:35 27873556</t>
  </si>
  <si>
    <t>Reverses TJM-080625-10 Deferring RMA 2561451 On Hold out of Jul-25 Adjustment 19-08-25 19:13:36</t>
  </si>
  <si>
    <t>Reverses journal TJM-080625-10 Deferring RMA 2561451 On Hold out of Jul-25 Adjustment of journal batch TJM-080625-10 Deferring RMA 2561451 On Hold out of Jul-25 Spreadsheet A 300000305300838 27636257 N from period Jul-25.</t>
  </si>
  <si>
    <t>Will be corrected August 25 - Defer RMA 2518552 out of Jul-25 - Gear Shipping in Aug-25</t>
  </si>
  <si>
    <t>TJM-080525-10 Defer RMA 2518552 out of July 25 06-AUG-2025 05:54:19 EBS OPR A 40306221 27633458 N</t>
  </si>
  <si>
    <t>TJM-080525-10 Defer RMA 2518552 out of July 25 OPR Adj EBS AutoRev</t>
  </si>
  <si>
    <t>Defer RMA 2518552 out of July 25</t>
  </si>
  <si>
    <t>Reverses "TJM-080525-10 Defer RMA 2518552 out of July 25"06-AUG-25 17:00:14 - 441206703 E 27647491 N</t>
  </si>
  <si>
    <t>Reverses "TJM-080525-10 Defer RMA 2518552 out of July 25"06-AUG-2025 17:00:14 OPR Adj EBS AutoRev</t>
  </si>
  <si>
    <t>Reverses TJM-080525-10 Defer RMA 2518552 out of July 25 journal entry of TJM-080525-10 Defer RMA 2518552 out of July 25 06-AUG-2025 05:54:19 batch from JUL-25.</t>
  </si>
  <si>
    <t>Deferring RMA out of Jul-25 - AP correcting</t>
  </si>
  <si>
    <t>TJM-080525-12 Defer RMA out of July 25 - AP Correction Needed 06-AUG-2025 06:20:41 EBS OP 27633458 N</t>
  </si>
  <si>
    <t>TJM-080525-12 Defer RMA out of July 25 - AP Correction Needed OPR Adj EBS AutoRev</t>
  </si>
  <si>
    <t>TJM-080525-12 Defer RMA out of July 25 - AP Correction Needed</t>
  </si>
  <si>
    <t>Reverses "TJM-080525-12 Defer RMA out of July 25 - AP Correc"06-AUG-25 17:00:17 - 4412067 27647491 N</t>
  </si>
  <si>
    <t>Reverses "TJM-080525-12 Defer RMA out of July 25 - AP Correction Needed"06-AUG-2025 17:00:17 OPR Ad</t>
  </si>
  <si>
    <t>Reverses TJM-080525-12 Defer RMA out of July 25 - AP Correction Needed journal entry of TJM-080525-12 Defer RMA out of July 25 - AP Correction Needed 06-AUG-2025 06:20:41 batch from JUL-25.</t>
  </si>
  <si>
    <t>Will be corrected August 25 - Deferring RMA out of July 25</t>
  </si>
  <si>
    <t>TJM-080525-13 Defer RMA out of July 25 - AP Correction Needed 063814 Spreadsheet A 18 441 27633462 N</t>
  </si>
  <si>
    <t>TJM-080525-13 Defer RMA out of July 25 - AP Correction Needed 063814 OPR Adj EBS AutoRev USD User 1</t>
  </si>
  <si>
    <t>Defer RMA out of July 25 - AP Correction Needed</t>
  </si>
  <si>
    <t>Reverses "TJM-080525-13 Defer RMA out of July 25 - AP Correc"06-AUG-25 17:00:19 - 4412067 27647493 N</t>
  </si>
  <si>
    <t>Reverses "TJM-080525-13 Defer RMA out of July 25 - AP Correction Needed 063814 06-AUG-2025 17:00:19</t>
  </si>
  <si>
    <t>Reverses TJM-080525-13 Defer RMA out of July 25 - AP Correction Needed 063814 O journal entry of TJM-080525-13 Defer RMA out of July 25 - AP Correction Needed 063814 Spreadsheet A 18 441243242 batch from JUL-25.</t>
  </si>
  <si>
    <t>101.13006.245011.9999.950.999.9999.9999</t>
  </si>
  <si>
    <t>Streamline PO Y25AMW0050 UNC at Chapel Hill Reverse - Releasing 2027</t>
  </si>
  <si>
    <t>TJM-110524-3 Streamline PO Y25AMW0050 UNC at Chapel Hill Reverse Year 2 2025 05-NOV-2024  22800004 N</t>
  </si>
  <si>
    <t>TJM-110524-3 Streamline PO Y25AMW0050 UNC at Chapel Hill Reverse Year 2 2025 OPR Adjustments</t>
  </si>
  <si>
    <t>Streamline PO Y25AMW0050 UNC at Chapel Hill Reverse Year 2 2025</t>
  </si>
  <si>
    <t>Reverses "TJM-110524-3 Streamline PO Y25AMW0050 UNC at Chape"03-SEP-25 10:36:37 - 4432065 28154372 N</t>
  </si>
  <si>
    <t>Reverses "TJM-110524-3 Streamline PO Y25AMW0050 UNC at Chapel Hill Reverse Year03-SEP-2025 10:36:37</t>
  </si>
  <si>
    <t>Reverses TJM-110524-3 Streamline PO Y25AMW0050 UNC at Chapel Hill Reverse Year  journal entry of TJM-110524-3 Streamline PO Y25AMW0050 UNC at Chapel Hill Reverse Year 2 2025 05-NOV-2024 14:11:48 batch from OCT-24.</t>
  </si>
  <si>
    <t>Lates email 8/14 - Defer No Credit RMAs out of May-25 - Awaiting CUBs</t>
  </si>
  <si>
    <t>TJM-060325-8 Defer No Credit RMAs out of May-25 - Awaiting CUBs 04-JUN-2025 07:20:21 EBS  26525874 N</t>
  </si>
  <si>
    <t>TJM-060325-8 Defer No Credit RMAs out of May-25 - Awaiting CUBs OPR Adjustments</t>
  </si>
  <si>
    <t>Defer No Credit RMAs out of May-25 - Awaiting CUBs</t>
  </si>
  <si>
    <t>Reverses "TJM-060325-8 Defer No Credit RMAs out of May-25 - "26-SEP-25 08:52:02 - 4448400 28590760 N</t>
  </si>
  <si>
    <t>Reverses "TJM-060325-8 Defer No Credit RMAs out of May-25 - Awaiting CUBs"26-SEP-2025 08:52:02 OPR</t>
  </si>
  <si>
    <t>Reverses TJM-060325-8 Defer No Credit RMAs out of May-25 - Awaiting CUBs journal entry of TJM-060325-8 Defer No Credit RMAs out of May-25 - Awaiting CUBs 04-JUN-2025 07:20:21 batch from MAY-25.</t>
  </si>
  <si>
    <t>Deferring RMA 2564954 On Hold out of Jul-25</t>
  </si>
  <si>
    <t>TJM-080625-11 Deferring RMA 2564954 On Hold out of Jul-25 Spreadsheet A 300000305300838 27636257 N</t>
  </si>
  <si>
    <t>TJM-080625-11 Deferring RMA 2564954 On Hold out of Jul-25 Adjustment</t>
  </si>
  <si>
    <t>101.13004.245011.9999.204.999.9999.9999</t>
  </si>
  <si>
    <t>948364</t>
  </si>
  <si>
    <t>Reverses TJM-080625-11 Deferring RMA 2564954 On Hold out of Jul-25 Adjus 02-10-25 14:39:01 28695889</t>
  </si>
  <si>
    <t>Reverses TJM-080625-11 Deferring RMA 2564954 On Hold out of Jul-25 Adjustment 02-10-25 14:39:02</t>
  </si>
  <si>
    <t>Reverses journal TJM-080625-11 Deferring RMA 2564954 On Hold out of Jul-25 Adjustment of journal batch TJM-080625-11 Deferring RMA 2564954 On Hold out of Jul-25 Spreadsheet A 300000305300838 27636257 N from period Jul-25.</t>
  </si>
  <si>
    <t>Reverses "SJD-110625-3 (Reverse in NOV-25) 133335 OPR Adjust"06-NOV-25 13:42:02 - 4478173 29373183 N</t>
  </si>
  <si>
    <t>Reverses "SJD-110625-3 (Reverse in NOV-25) 133335 OPR Adjustment USD User 1"06-NOV-2025 13:42:02 OP</t>
  </si>
  <si>
    <t>Reverses SJD-110625-3 (Reverse in NOV-25) 133335 OPR Adjustment USD User 1 journal entry of SJD-110625-3 (Reverse in NOV-25) 133335 Recvue A 187333 447816603 batch from OCT-25.</t>
  </si>
  <si>
    <t>SJD-110625-3 (Reverse in NOV-25) 133335 Recvue A 187333 447816603 EBS Recvue A 46699166 29373183 N</t>
  </si>
  <si>
    <t>SJD-110625-3 (Reverse in NOV-25) 133335 OPR Adjustment USD User 1 OPR Adjustments</t>
  </si>
  <si>
    <t>Correcting OPR Contract Cost and accruing in remaining amount, INC0642435</t>
  </si>
  <si>
    <t>Deferring RMA 2592630 On Hold out of Sep-25</t>
  </si>
  <si>
    <t>TJM-100225-6 Deferring RMA 2592630 On Hold out of Sep-25 Spreadsheet A 300000305300838 28696014 N</t>
  </si>
  <si>
    <t>TJM-100225-6 Deferring RMA 2592630 On Hold out of Sep-25 Adjustment</t>
  </si>
  <si>
    <t>24-036</t>
  </si>
  <si>
    <t>Reverses TJM-100225-6 Deferring RMA 2592630 On Hold out of Sep-25 Adjust 06-11-25 17:17:05 29369823</t>
  </si>
  <si>
    <t>Reverses TJM-100225-6 Deferring RMA 2592630 On Hold out of Sep-25 Adjustment 06-11-25 17:17:06</t>
  </si>
  <si>
    <t>Reverses journal TJM-100225-6 Deferring RMA 2592630 On Hold out of Sep-25 Adjustment of journal batch TJM-100225-6 Deferring RMA 2592630 On Hold out of Sep-25 Spreadsheet A 300000305300838 28696014 N from period Sep-25.</t>
  </si>
  <si>
    <t>Reverses "TJM-110525-4 Defer SO 12428403 out of Oct-25 - AP "06-NOV-25 13:28:09 - 4478161 29373182 N</t>
  </si>
  <si>
    <t>Reverses "TJM-110525-4 Defer SO 12428403 out of Oct-25 - AP Correction Needed 106-NOV-2025 13:28:09</t>
  </si>
  <si>
    <t>Reverses TJM-110525-4 Defer SO 12428403 out of Oct-25 - AP Correction Needed 14 journal entry of TJM-110525-4 Defer SO 12428403 out of Oct-25 - AP Correction Needed 141319 Spreadshee 447735602 batch from OCT-25.</t>
  </si>
  <si>
    <t>TJM-110525-4 Defer SO 12428403 out of Oct-25 - AP Correction Needed 141319 Spreadshee 447 29357163 N</t>
  </si>
  <si>
    <t>TJM-110525-4 Defer SO 12428403 out of Oct-25 - AP Correction Needed 141319 OPR Adj EBS AutoRev USD</t>
  </si>
  <si>
    <t>Defer SO 12428403 out of Oct-25 - AP Correction Needed</t>
  </si>
  <si>
    <t>Working with Todd - Defer ReclassINV258407733 Out of Feb-25</t>
  </si>
  <si>
    <t>TJM-030525-10 Defer AP Invoice out of Feb-25</t>
  </si>
  <si>
    <t>Defer ReclassINV258407733 Out of FEB-25</t>
  </si>
  <si>
    <t>Reverses TJM-030525-10 Defer AP Invoice out of Feb-25 06-11-25 03:55:05 29357754</t>
  </si>
  <si>
    <t>Reverses TJM-030525-10 Defer AP Invoice out of Feb-25 06-11-25 03:55:06</t>
  </si>
  <si>
    <t>Reverses journal TJM-030525-10 Defer AP Invoice out of Feb-25 of journal batch TJM-030525-10 Defer AP Invoice out of Feb-25 from period Feb-25.</t>
  </si>
  <si>
    <t>SLED TOLMA</t>
  </si>
  <si>
    <t>101.13013.245011.9999.999.999.9999.9999</t>
  </si>
  <si>
    <t>Reversing Nov-25</t>
  </si>
  <si>
    <t>SJD-110625-2 Spreadsheet A 300000031721478 29372915 N</t>
  </si>
  <si>
    <t>SJD-110625-2 Adjustment</t>
  </si>
  <si>
    <t>Accuring Recvue AP invoice 7939864, INC0642435, into GL (Reverse in NOV-25)</t>
  </si>
  <si>
    <t>SJD-110625-4 (Reverse in NOV-25) 134343 Recvue A 187334 447817466 EBS Recvue A 46699166 29373183 N</t>
  </si>
  <si>
    <t>SJD-110625-4 (Reverse in NOV-25) 134343 OPR Adjustment USD User 1 OPR Adjustments</t>
  </si>
  <si>
    <t>SJD-111825-1 Spreadsheet A 300000031721478 29591295 N</t>
  </si>
  <si>
    <t>SJD-111825-1 Adjustment</t>
  </si>
  <si>
    <t>Reversing JE SJD-110625-2 &amp; SJD-110625-4 , AP invoice 7939864, INC0642435</t>
  </si>
  <si>
    <t>Deferring RMA 2426870 - Gear shipped out of consigned, received, needing to re-invoice customer - RE: RMA 2426870 - CCC 04505171 - Meeting 11/14</t>
  </si>
  <si>
    <t>TJM-110424-13 Deferring RMA 2426870 On Hold out of OCT-24 Spreadsheet A 300000305300838 22780996 N</t>
  </si>
  <si>
    <t>TJM-110424-13 Deferring RMA 2426870 On Hold out of OCT-24 Adjustment</t>
  </si>
  <si>
    <t>Deferring RMA 2426870 On Hold out of OCT-24</t>
  </si>
  <si>
    <t>P1786200</t>
  </si>
  <si>
    <t>TJM-110424-12 Deferring RMA 2426870 On Hold out of OCT-24 Spreadsheet A 300000305300838 22780996 N</t>
  </si>
  <si>
    <t>TJM-110424-12 Deferring RMA 2426870 On Hold out of OCT-24 Adjustment</t>
  </si>
  <si>
    <t>Reverses TJM-110424-13 Deferring RMA 2426870 On Hold out of OCT-24 Adjus 20-11-25 19:25:28 29634911</t>
  </si>
  <si>
    <t>Reverses TJM-110424-13 Deferring RMA 2426870 On Hold out of OCT-24 Adjustment 20-11-25 19:25:29</t>
  </si>
  <si>
    <t>Reverses journal TJM-110424-13 Deferring RMA 2426870 On Hold out of OCT-24 Adjustment of journal batch TJM-110424-13 Deferring RMA 2426870 On Hold out of OCT-24 Spreadsheet A 300000305300838 22780996 N from period Oct-24.</t>
  </si>
  <si>
    <t>Reverses TJM-110424-12 Deferring RMA 2426870 On Hold out of OCT-24 Adjus 20-11-25 19:26:13 29634944</t>
  </si>
  <si>
    <t>Reverses TJM-110424-12 Deferring RMA 2426870 On Hold out of OCT-24 Adjustment 20-11-25 19:26:14</t>
  </si>
  <si>
    <t>Reverses journal TJM-110424-12 Deferring RMA 2426870 On Hold out of OCT-24 Adjustment of journal batch TJM-110424-12 Deferring RMA 2426870 On Hold out of OCT-24 Spreadsheet A 300000305300838 22780996 N from period Oct-24.</t>
  </si>
  <si>
    <t>Followed up 10/14 - Deferring SO 12097160 out of May-25 - RMA Needed - Meeting 11/14</t>
  </si>
  <si>
    <t>TJM-060425-1 Deferring SO 12097160 out of May-25 - RMA Needed 100630 Spreadsheet A 18 436 26525880 N</t>
  </si>
  <si>
    <t>TJM-060425-1 Deferring SO 12097160 out of May-25 - RMA Needed 100630 OPR Adjustment USD User 1 OPR</t>
  </si>
  <si>
    <t>Deferring SO 12097160 out of May-25 - RMA Needed</t>
  </si>
  <si>
    <t>Reverses "TJM-060425-1 Deferring SO 12097160 out of May-25 -"19-NOV-25 06:43:54 - 4486788 29622951 N</t>
  </si>
  <si>
    <t>Reverses "TJM-060425-1 Deferring SO 12097160 out of May-25 - RMA Needed 100630 19-NOV-2025 06:43:54</t>
  </si>
  <si>
    <t>Reverses TJM-060425-1 Deferring SO 12097160 out of May-25 - RMA Needed 100630 O journal entry of TJM-060425-1 Deferring SO 12097160 out of May-25 - RMA Needed 100630 Spreadsheet A 18 436698996 batch from MAY-25.</t>
  </si>
  <si>
    <t>Deferred SO 12170088 on hold out of Sep-25</t>
  </si>
  <si>
    <t>FAM-090525-2 Defer SO 12170088 05-SEP-2025 13:32:03 EBS OPR A 42429022 28195114 N</t>
  </si>
  <si>
    <t>FAM-090525-2 Defer SO 12170088 OPR Adjustments</t>
  </si>
  <si>
    <t>Deferring SO 12170088</t>
  </si>
  <si>
    <t>Awaiting IUB - should be reversed Oct-25</t>
  </si>
  <si>
    <t>TJM-090325-7 Defer SO 12302001 out of Aug-25 - Awaiting IUB 200014 Spreadsheet A 1854 443 28158063 N</t>
  </si>
  <si>
    <t>TJM-090325-7 Defer SO 12302001 out of Aug-25 - Awaiting IUB 200014 OPR Adjustment USD User 1 OPR Ad</t>
  </si>
  <si>
    <t>Defer SO 12302001 out of Aug-25 - Awaiting IUB</t>
  </si>
  <si>
    <t>Deferring large UCLA Deal - AR and AP corrections needed - meeting 11/18 - pushing to have corrected Nov-25</t>
  </si>
  <si>
    <t>TJM-090525-4 Deferring PO Rcpt Adjustments out of Aug-25 - AP Correction Needed Spreadshe 28187533 N</t>
  </si>
  <si>
    <t>TJM-090525-4 Deferring PO Rcpt Adjustments out of Aug-25 - AP Correction Needed Adjustment</t>
  </si>
  <si>
    <t>Deferring PO Rcpt Adjustments out of Aug-25 - AP Correction Needed</t>
  </si>
  <si>
    <t>101.13016.245011.9999.204.999.9999.9999</t>
  </si>
  <si>
    <t>80203238-0-CAP</t>
  </si>
  <si>
    <t>TJM-110625-4 Defer UCLA Inventory PO Rcpt Adjs out of Oct-25 Spreadsheet A 30000030530083 29366434 N</t>
  </si>
  <si>
    <t>TJM-110625-4 Defer UCLA Inventory PO Rcpt Adjs out of Oct-25 Adjustment</t>
  </si>
  <si>
    <t>Defer UCLA Inventory PO Rcpt Adjs out of Oct-25</t>
  </si>
  <si>
    <t>Reverses "FAM-090525-2 Defer SO 12170088"03-DEC-25 12:49:04 - 449576289 EBS OPR A 4834584 29845684 N</t>
  </si>
  <si>
    <t>Reverses "FAM-090525-2 Defer SO 12170088"03-DEC-2025 12:49:04 OPR Adjustments</t>
  </si>
  <si>
    <t>Reverses FAM-090525-2 Defer SO 12170088 journal entry of FAM-090525-2 Defer SO 12170088 05-SEP-2025 13:32:03 batch from AUG-25.</t>
  </si>
  <si>
    <t>TJM-112525-1 Tying PO Receipt Adjustments to OPR - UCLA Deal 135551 Spreadsheet A 187 449 29714287 N</t>
  </si>
  <si>
    <t>TJM-112525-1 Tying PO Receipt Adjustments to OPR - UCLA Deal 135551 OPR Adjustment USD User 1 OPR A</t>
  </si>
  <si>
    <t>Tying PO Receipt Adjustments to OPR - UCLA Deal</t>
  </si>
  <si>
    <t>Reverses "TJM-090325-7 Defer SO 12302001 out of Aug-25 - Awa"21-NOV-25 11:05:53 - 4488586 29661038 N</t>
  </si>
  <si>
    <t>Reverses "TJM-090325-7 Defer SO 12302001 out of Aug-25 - Awaiting IUB 200014 OP21-NOV-2025 11:05:53</t>
  </si>
  <si>
    <t>Reverses TJM-090325-7 Defer SO 12302001 out of Aug-25 - Awaiting IUB 200014 OPR journal entry of TJM-090325-7 Defer SO 12302001 out of Aug-25 - Awaiting IUB 200014 Spreadsheet A 1854 443247445 batch from AUG-25.</t>
  </si>
  <si>
    <t>Reversed Nov-25</t>
  </si>
  <si>
    <t>TJM-110625-13 Accrue Cost into Oct-25 GL WWTINCSAAS9625 Spreadsheet A 300000305300838 29372193 N</t>
  </si>
  <si>
    <t>TJM-110625-13 Accrue Cost into Oct-25 GL WWTINCSAAS9625 Adjustment</t>
  </si>
  <si>
    <t>Accrue Cost into Oct-25 GL WWTINCSAAS9625</t>
  </si>
  <si>
    <t>Reverses TJM-110625-13 Accrue Cost into Oct-25 GL WWTINCSAAS9625 Adjustm 21-11-25 16:13:29 29650579</t>
  </si>
  <si>
    <t>Reverses TJM-110625-13 Accrue Cost into Oct-25 GL WWTINCSAAS9625 Adjustment 21-11-25 16:13:30</t>
  </si>
  <si>
    <t>Reverses journal TJM-110625-13 Accrue Cost into Oct-25 GL WWTINCSAAS9625 Adjustment of journal batch TJM-110625-13 Accrue Cost into Oct-25 GL WWTINCSAAS9625 Spreadsheet A 300000305300838 29372193 N from period Oct-25.</t>
  </si>
  <si>
    <t>Should be reversed Nov-25</t>
  </si>
  <si>
    <t>TJM-110625-16 Defer SO 12428403 out of Oct-25 - AP Correction Needed 06-NOV-2025 13:28:42 29373184 N</t>
  </si>
  <si>
    <t>TJM-110625-16 Defer SO 12428403 out of Oct-25 - AP Correction Needed OPR Adj EBS AutoRev</t>
  </si>
  <si>
    <t>Reverses "TJM-110625-16 Defer SO 12428403 out of Oct-25 - AP"06-NOV-25 17:00:24 - 4477478 29382086 N</t>
  </si>
  <si>
    <t>Reverses "TJM-110625-16 Defer SO 12428403 out of Oct-25 - AP Correction Needed"06-NOV-2025 17:00:24</t>
  </si>
  <si>
    <t>Reverses TJM-110625-16 Defer SO 12428403 out of Oct-25 - AP Correction Needed journal entry of TJM-110625-16 Defer SO 12428403 out of Oct-25 - AP Correction Needed 06-NOV-2025 13:28:42 batch from OCT-25.</t>
  </si>
  <si>
    <t>Deferred RMA 2570826 on hold out of Aug-25 - hold released Nov-25, should be reversed</t>
  </si>
  <si>
    <t>TJM-090525-1 Deferring RMA 2570826 On Hold out of Aug-25 Spreadsheet A 300000305300838 28187533 N</t>
  </si>
  <si>
    <t>TJM-090525-1 Deferring RMA 2570826 On Hold out of Aug-25 Adjustment</t>
  </si>
  <si>
    <t>Deferring RMA 2570826 On Hold out of Aug-25</t>
  </si>
  <si>
    <t>101.13013.245011.9999.207.999.9999.9999</t>
  </si>
  <si>
    <t>AB0990978</t>
  </si>
  <si>
    <t>Reverses TJM-090525-1 Deferring RMA 2570826 On Hold out of Aug-25 Adjust 03-12-25 09:31:29 29836856</t>
  </si>
  <si>
    <t>Reverses TJM-090525-1 Deferring RMA 2570826 On Hold out of Aug-25 Adjustment 03-12-25 09:31:30</t>
  </si>
  <si>
    <t>Reverses journal TJM-090525-1 Deferring RMA 2570826 On Hold out of Aug-25 Adjustment of journal batch TJM-090525-1 Deferring RMA 2570826 On Hold out of Aug-25 Spreadsheet A 300000305300838 28187533 N from period Aug-25.</t>
  </si>
  <si>
    <t>Should be released Dec-25</t>
  </si>
  <si>
    <t>TJM-120225-6 Defer SO 12489933 out of Nov-25 - Billling Schedule Correction Dec-25 13 449 29845689 N</t>
  </si>
  <si>
    <t>TJM-120225-6 Defer SO 12489933 out of Nov-25 - Billling Schedule Correction Dec-25 135305 OPR Adj E</t>
  </si>
  <si>
    <t>Defer SO 12489933 out of Nov-25 - Billling Schedule Correction Dec-25</t>
  </si>
  <si>
    <t>Reverses "TJM-120225-6 Defer SO 12489933 out of Nov-25 - Bil"03-DEC-25 17:00:20 - 4495132 29851996 N</t>
  </si>
  <si>
    <t>Reverses "TJM-120225-6 Defer SO 12489933 out of Nov-25 - Billling Schedule Corr03-DEC-2025 17:00:20</t>
  </si>
  <si>
    <t>Dec-25</t>
  </si>
  <si>
    <t>Reverses TJM-120225-6 Defer SO 12489933 out of Nov-25 - Billling Schedule Corre journal entry of TJM-120225-6 Defer SO 12489933 out of Nov-25 - Billling Schedule Correction Dec-25 13 449501406 batch from NOV-25.</t>
  </si>
  <si>
    <t>Credit memo applied to 50210 - working with team for resolution in Dec-25</t>
  </si>
  <si>
    <t>TJM-090525-3 Deferring AP Invoice 6102629758 out of Aug-25 - AP Correction Needed Spreads 28187533 N</t>
  </si>
  <si>
    <t>TJM-090525-3 Deferring AP Invoice 6102629758 out of Aug-25 - AP Correction Needed Adjustment</t>
  </si>
  <si>
    <t>Deferring AP Invoice 6102629758 out of Aug-25 - AP Correction Needed</t>
  </si>
  <si>
    <t>PO0055496</t>
  </si>
  <si>
    <t>Deferring SO 2615239 On Hold out of Nov-25</t>
  </si>
  <si>
    <t>TJM-120325-22 Deferring SO 2615239 On Hold out of Nov-25 Spreadsheet A 300000305300838 29856455 N</t>
  </si>
  <si>
    <t>TJM-120325-22 Deferring SO 2615239 On Hold out of Nov-25 Adjustment</t>
  </si>
  <si>
    <t>PO-0007954</t>
  </si>
  <si>
    <t>Reverses TJM-120325-22 Deferring SO 2615239 On Hold out of Nov-25 Adjust 06-01-26 21:31:54 30395655</t>
  </si>
  <si>
    <t>Reverses TJM-120325-22 Deferring SO 2615239 On Hold out of Nov-25 Adjustment 06-01-26 21:31:55</t>
  </si>
  <si>
    <t>Reverses journal TJM-120325-22 Deferring SO 2615239 On Hold out of Nov-25 Adjustment of journal batch TJM-120325-22 Deferring SO 2615239 On Hold out of Nov-25 Spreadsheet A 300000305300838 29856455 N from period Nov-25.</t>
  </si>
  <si>
    <t>Reverses TJM-090525-3 Deferring AP Invoice 6102629758 out of Aug-25 - AP 18-12-25 21:25:16 30102545</t>
  </si>
  <si>
    <t>Reverses TJM-090525-3 Deferring AP Invoice 6102629758 out of Aug-25 - AP Correcti 18-12-25 21:25:17</t>
  </si>
  <si>
    <t>Reverses journal TJM-090525-3 Deferring AP Invoice 6102629758 out of Aug-25 - AP Correction Needed Adjustment of journal batch TJM-090525-3 Deferring AP Invoice 6102629758 out of Aug-25 - AP Correction Needed Spreads 28187533 N from period</t>
  </si>
  <si>
    <t>Deferring PO 2501887 SO 12231376 and RMA 2532311 On Hold out of Jun-25 - last email 12/11</t>
  </si>
  <si>
    <t>TJM-070325-9 Defer PO 2501887 SO 12231376 and RMA 2532311 On Hold out of Jun-25 14105 438 27046594 N</t>
  </si>
  <si>
    <t>TJM-070325-9 Defer PO 2501887 SO 12231376 and RMA 2532311 On Hold out of Jun-25 141052 OPR Adjustme</t>
  </si>
  <si>
    <t>Defer PO 2501887 SO 12231376 and RMA 2532311 On Hold out of Jun-25</t>
  </si>
  <si>
    <t>Reverses "TJM-070325-9 Defer PO 2501887 SO 12231376 and RMA "31-DEC-25 10:40:38 - 4513158 30300820 N</t>
  </si>
  <si>
    <t>Reverses "TJM-070325-9 Defer PO 2501887 SO 12231376 and RMA 2532311 On Hold out31-DEC-2025 10:40:38</t>
  </si>
  <si>
    <t>Reverses TJM-070325-9 Defer PO 2501887 SO 12231376 and RMA 2532311 On Hold out  journal entry of TJM-070325-9 Defer PO 2501887 SO 12231376 and RMA 2532311 On Hold out of Jun-25 14105 438868251 batch from JUN-25.</t>
  </si>
  <si>
    <t>Taking hit Dec-25 if not resolved - Working with Todd - FW: Federal SAAS Invoices Pure Storage - Working with RecVue team to tied credits to cost rec so that we can reverse - 1/3 completed</t>
  </si>
  <si>
    <t>TJM-050224-1 Spreadsheet A 300000305300838 19592979 N</t>
  </si>
  <si>
    <t>TJM-050224-1 OPR Adjustments</t>
  </si>
  <si>
    <t>Deferring AP Invoices</t>
  </si>
  <si>
    <t>TJM-010725-5 Release Pure Storage Invoice from Timing</t>
  </si>
  <si>
    <t>Reverses TJM-050224-1 OPR Adjustments 07-01-26 01:36:57 30400639</t>
  </si>
  <si>
    <t>Reverses TJM-050224-1 OPR Adjustments 07-01-26 01:36:58</t>
  </si>
  <si>
    <t>Reverses journal TJM-050224-1 OPR Adjustments of journal batch TJM-050224-1 Spreadsheet A 300000305300838 19592979 N from period Apr-24.</t>
  </si>
  <si>
    <t>Reverses TJM-010725-5 Release Pure Storage Invoice from Timing 07-01-26 01:42:42 30400679</t>
  </si>
  <si>
    <t>Reverses TJM-010725-5 Release Pure Storage Invoice from Timing 07-01-26 01:42:43</t>
  </si>
  <si>
    <t>Reverses journal TJM-010725-5 Release Pure Storage Invoice from Timing of journal batch TJM-010725-5 Release Pure Storage Invoice from Timing from period Dec-24.</t>
  </si>
  <si>
    <t>Being worked, team has a call set up week of 12/10, should be resolved Dec-25 - RE: [EXTERNAL] PO# 106491-300 | End User PO# 36C10B21F0333 | POP 9/27/2024-9/26/2025  Sub1013713</t>
  </si>
  <si>
    <t>TJM-120425-3 Defer AP Invoice 6102726443 out of Nov-25 - IUB Needed Spreadsheet A 3000003 29863598 N</t>
  </si>
  <si>
    <t>TJM-120425-3 Defer AP Invoice 6102726443 out of Nov-25 - IUB Needed Adjustment</t>
  </si>
  <si>
    <t>Defer AP Invoice 6102726443 out of Nov-25 - IUB Needed</t>
  </si>
  <si>
    <t>TJM-010826-1 Accrue ELA and COGS Hit for Invoice 6102726443 into Dec-25 08-JAN-2026 09:10 30432336 N</t>
  </si>
  <si>
    <t>TJM-010826-1 Accrue ELA and COGS Hit for Invoice 6102726443 into Dec-25 OPR Adjustments</t>
  </si>
  <si>
    <t>Accrue ELA and COGS Hit for Invoice 6102726443 into Dec-25</t>
  </si>
  <si>
    <t>Reversed Dec-25</t>
  </si>
  <si>
    <t>TJM-120325-25 Accruing AP Invoice 5366636706AIA1 into Nov-25 Spreadsheet A 30000030530083 29856773 N</t>
  </si>
  <si>
    <t>TJM-120325-25 Accruing AP Invoice 5366636706AIA1 into Nov-25 Adjustment</t>
  </si>
  <si>
    <t>Accruing AP Invoice 5366636706AIA1 into Nov-25</t>
  </si>
  <si>
    <t>Reverses TJM-120325-25 Accruing AP Invoice 5366636706AIA1 into Nov-25 Ad 16-12-25 21:54:09 30066147</t>
  </si>
  <si>
    <t>Reverses TJM-120325-25 Accruing AP Invoice 5366636706AIA1 into Nov-25 Adjustment 16-12-25 21:54:10</t>
  </si>
  <si>
    <t>Reverses journal TJM-120325-25 Accruing AP Invoice 5366636706AIA1 into Nov-25 Adjustment of journal batch TJM-120325-25 Accruing AP Invoice 5366636706AIA1 into Nov-25 Spreadsheet A 30000030530083 29856773 N from period Nov-25.</t>
  </si>
  <si>
    <t>TJM-120425-5 Accrue Cisco Invoice into Nov-25 SO WWTINCCAAS354 04-DEC-2025 10:08:12 EBS O 29864789 N</t>
  </si>
  <si>
    <t>TJM-120425-5 Accrue Cisco Invoice into Nov-25 SO WWTINCCAAS354 OPR Adj EBS AutoRev</t>
  </si>
  <si>
    <t>Accrual: Recvue Software with Billing over time</t>
  </si>
  <si>
    <t>Accrue Cisco Invoice into Nov-25 SO WWTINCCAAS354</t>
  </si>
  <si>
    <t>Reverses "TJM-120425-5 Accrue Cisco Invoice into Nov-25 SO W"04-DEC-25 17:00:44 - 4495928 29876066 N</t>
  </si>
  <si>
    <t>Reverses "TJM-120425-5 Accrue Cisco Invoice into Nov-25 SO WWTINCCAAS354"04-DEC-2025 17:00:44 OPR A</t>
  </si>
  <si>
    <t>Reverses TJM-120425-5 Accrue Cisco Invoice into Nov-25 SO WWTINCCAAS354 journal entry of TJM-120425-5 Accrue Cisco Invoice into Nov-25 SO WWTINCCAAS354 04-DEC-2025 10:08:12 batch from NOV-25.</t>
  </si>
  <si>
    <t>TJM-010726-12 Deferring Cisco Invoice out of Dec-25 07-JAN-2026 13:25:15 EBS OPR A 501686 30415327 N</t>
  </si>
  <si>
    <t>TJM-010726-12 Deferring Cisco Invoice out of Dec-25 OPR Adjustments</t>
  </si>
  <si>
    <t>Deferring Cisco Invoice out of Dec-25</t>
  </si>
  <si>
    <t>Reverses "TJM-010726-12 Deferring Cisco Invoice out of Dec-2"07-JAN-26 13:41:20 - 4517479 30415537 N</t>
  </si>
  <si>
    <t>Reverses "TJM-010726-12 Deferring Cisco Invoice out of Dec-25"07-JAN-2026 13:41:20 OPR Adjustments</t>
  </si>
  <si>
    <t>Reverses TJM-010726-12 Deferring Cisco Invoice out of Dec-25 journal entry of TJM-010726-12 Deferring Cisco Invoice out of Dec-25 07-JAN-2026 13:25:15 batch from DEC-25.</t>
  </si>
  <si>
    <t>Should be released Jan-26</t>
  </si>
  <si>
    <t>SLED Florida</t>
  </si>
  <si>
    <t>TJM-120325-17 Defer Palm Beach Bulk PO Part 2 A&amp;B Schools out of Nov-25 213343 Spread 449 29864788 N</t>
  </si>
  <si>
    <t>TJM-120325-17 Defer Palm Beach Bulk PO Part 2 A&amp;B Schools out of Nov-25 213343 OPR Adj EBS AutoRev</t>
  </si>
  <si>
    <t>Defer Palm Beach Bulk PO Part 2 A&amp;B Schools out of Nov-25</t>
  </si>
  <si>
    <t>101.13019.245011.9999.999.999.9999.9999</t>
  </si>
  <si>
    <t>TJM-120325-15 Defer Palm Beach Bulk PO (10) D Schools out of Nov-25 213325 Spreadshee 449 29864788 N</t>
  </si>
  <si>
    <t>TJM-120325-15 Defer Palm Beach Bulk PO (10) D Schools out of Nov-25 213325 OPR Adj EBS AutoRev USD</t>
  </si>
  <si>
    <t>Defer Palm Beach Bulk PO (10) D Schools out of Nov-25</t>
  </si>
  <si>
    <t>TJM-120325-16 Defer Palm Beach Bulk PO (7) C Schools Part 2 out of Nov-25 213331 Spre 449 29864788 N</t>
  </si>
  <si>
    <t>TJM-120325-16 Defer Palm Beach Bulk PO (7) C Schools Part 2 out of Nov-25 213331 OPR Adj EBS AutoRe</t>
  </si>
  <si>
    <t>Defer Palm Beach Bulk PO (7) C Schools Part 2 out of Nov-25</t>
  </si>
  <si>
    <t>Reverses "TJM-120325-15 Defer Palm Beach Bulk PO (10) D Scho"04-DEC-25 17:00:38 - 4495928 29876077 N</t>
  </si>
  <si>
    <t>Reverses "TJM-120325-15 Defer Palm Beach Bulk PO (10) D Schools out of Nov-25 204-DEC-2025 17:00:38</t>
  </si>
  <si>
    <t>Reverses TJM-120325-15 Defer Palm Beach Bulk PO (10) D Schools out of Nov-25 21 journal entry of TJM-120325-15 Defer Palm Beach Bulk PO (10) D Schools out of Nov-25 213325 Spreadshee 449607340 batch from NOV-25.</t>
  </si>
  <si>
    <t>Reverses "TJM-120325-17 Defer Palm Beach Bulk PO Part 2 A&amp;B "04-DEC-25 17:00:41 - 4495928 29876077 N</t>
  </si>
  <si>
    <t>Reverses "TJM-120325-17 Defer Palm Beach Bulk PO Part 2 A&amp;B Schools out of Nov-04-DEC-2025 17:00:41</t>
  </si>
  <si>
    <t>Reverses TJM-120325-17 Defer Palm Beach Bulk PO Part 2 A&amp;B Schools out of Nov-2 journal entry of TJM-120325-17 Defer Palm Beach Bulk PO Part 2 A&amp;B Schools out of Nov-25 213343 Spread 449607359 batch from NOV-25.</t>
  </si>
  <si>
    <t>Reverses "TJM-120325-16 Defer Palm Beach Bulk PO (7) C Schoo"04-DEC-25 17:00:39 - 4495928 29876077 N</t>
  </si>
  <si>
    <t>Reverses "TJM-120325-16 Defer Palm Beach Bulk PO (7) C Schools Part 2 out of No04-DEC-2025 17:00:39</t>
  </si>
  <si>
    <t>Reverses TJM-120325-16 Defer Palm Beach Bulk PO (7) C Schools Part 2 out of Nov journal entry of TJM-120325-16 Defer Palm Beach Bulk PO (7) C Schools Part 2 out of Nov-25 213331 Spre 449607351 batch from NOV-25.</t>
  </si>
  <si>
    <t>Deferring RMA out of Aug-25 - Invoicing correction from Arrow - hoping for resolution Dec-25</t>
  </si>
  <si>
    <t>TJM-090325-2 Defer RMA2554747 out of August 25 - AP Correction Needed 165059 Spreadsh 443 28154374 N</t>
  </si>
  <si>
    <t>TJM-090325-2 Defer RMA2554747 out of August 25 - AP Correction Needed 165059 OPR Adjustment USD Use</t>
  </si>
  <si>
    <t>Defer RMA 2554747 out of August 25 - AP Correction Needed</t>
  </si>
  <si>
    <t>Reverses "TJM-090325-2 Defer RMA2554747 out of August 25 - A"10-DEC-25 12:23:09 - 4500494 30053600 N</t>
  </si>
  <si>
    <t>Reverses "TJM-090325-2 Defer RMA2554747 out of August 25 - AP Correction Needed10-DEC-2025 12:23:09</t>
  </si>
  <si>
    <t>Reverses TJM-090325-2 Defer RMA2554747 out of August 25 - AP Correction Needed  journal entry of TJM-090325-2 Defer RMA2554747 out of August 25 - AP Correction Needed 165059 Spreadsh 443236591 batch from AUG-25.</t>
  </si>
  <si>
    <t>Reversing Jan-26 - Accrued in cost credits for POs that were pulling incorrect cost</t>
  </si>
  <si>
    <t>TJM-010626-6 Accruing Cost Credits Reclassed from 24500 PO W519TC25F0334 Spreadsheet A 30 30396309 N</t>
  </si>
  <si>
    <t>TJM-010626-6 Accruing Cost Credits Reclassed from 24500 PO W519TC25F0334 Adjustment</t>
  </si>
  <si>
    <t>Accruing Cost Credits Reclassed from 24500 PO W519TC25F0334</t>
  </si>
  <si>
    <t>W519TC25F0334</t>
  </si>
  <si>
    <t>Reverses TJM-010626-6 Accruing Cost Credits Reclassed from 24500 PO W519 15-01-26 18:15:23 30547658</t>
  </si>
  <si>
    <t>Reverses TJM-010626-6 Accruing Cost Credits Reclassed from 24500 PO W519TC25F0334 15-01-26 18:15:24</t>
  </si>
  <si>
    <t>Reverses journal TJM-010626-6 Accruing Cost Credits Reclassed from 24500 PO W519TC25F0334 Adjustment of journal batch TJM-010626-6 Accruing Cost Credits Reclassed from 24500 PO W519TC25F0334 Spreadsheet A 30 30396309 N from period Dec-25.</t>
  </si>
  <si>
    <t>Deferred billing for Flywheel - should be cleared Jan-26</t>
  </si>
  <si>
    <t>TJM-080625-9 Deferring SO 12271489 On Hold out of Jul-25 Spreadsheet A 300000305300838 27636257 N</t>
  </si>
  <si>
    <t>TJM-080625-9 Deferring SO 12271489 On Hold out of Jul-25 Adjustment</t>
  </si>
  <si>
    <t>Deferring SO 12271489 On Hold out of Jul-25</t>
  </si>
  <si>
    <t>GDIT-77428</t>
  </si>
  <si>
    <t>Deferring SO 12262790 on hold out of Oct-25</t>
  </si>
  <si>
    <t>TJM-110625-6 Deferring SO 12262790 On Hold out of Oct-25 Spreadsheet A 300000305300838 29368027 N</t>
  </si>
  <si>
    <t>TJM-110625-6 Deferring SO 12262790 On Hold out of Oct-25 Adjustment</t>
  </si>
  <si>
    <t>Deferring SO 12262790 On Hold out of Oct-25</t>
  </si>
  <si>
    <t>GDIT-75306</t>
  </si>
  <si>
    <t>Reverses TJM-080625-9 Deferring SO 12271489 On Hold out of Jul-25 Adjust 28-01-26 17:24:09 30742442</t>
  </si>
  <si>
    <t>Reverses TJM-080625-9 Deferring SO 12271489 On Hold out of Jul-25 Adjustment 28-01-26 17:24:10</t>
  </si>
  <si>
    <t>Reverses journal TJM-080625-9 Deferring SO 12271489 On Hold out of Jul-25 Adjustment of journal batch TJM-080625-9 Deferring SO 12271489 On Hold out of Jul-25 Spreadsheet A 300000305300838 27636257 N from period Jul-25.</t>
  </si>
  <si>
    <t>Reverses TJM-110625-6 Deferring SO 12262790 On Hold out of Oct-25 Adjust 04-02-26 20:48:10 30869069</t>
  </si>
  <si>
    <t>Reverses TJM-110625-6 Deferring SO 12262790 On Hold out of Oct-25 Adjustment 04-02-26 20:48:11</t>
  </si>
  <si>
    <t>Reverses journal TJM-110625-6 Deferring SO 12262790 On Hold out of Oct-25 Adjustment of journal batch TJM-110625-6 Deferring SO 12262790 On Hold out of Oct-25 Spreadsheet A 300000305300838 29368027 N from period Oct-25.</t>
  </si>
  <si>
    <t>Working with team for resolution in Jan-26 - Deferring Credit Invoices from Sep-25 - AP correction needed</t>
  </si>
  <si>
    <t>TJM-100325-8 Deferring Credit Invoices from Sep-25 Spreadsheet A 300000305300838 28725928 N</t>
  </si>
  <si>
    <t>TJM-100325-8 Deferring Credit Invoices from Sep-25 Adjustment</t>
  </si>
  <si>
    <t>Deferring Credit Invoices from Sep-25</t>
  </si>
  <si>
    <t>15M10424FA4700086</t>
  </si>
  <si>
    <t>Reverses TJM-100325-8 Deferring Credit Invoices from Sep-25 Adjustment 26-01-26 16:32:58 30708946</t>
  </si>
  <si>
    <t>Reverses TJM-100325-8 Deferring Credit Invoices from Sep-25 Adjustment 26-01-26 16:32:59</t>
  </si>
  <si>
    <t>Reverses journal TJM-100325-8 Deferring Credit Invoices from Sep-25 Adjustment of journal batch TJM-100325-8 Deferring Credit Invoices from Sep-25 Spreadsheet A 300000305300838 28725928 N from period Sep-25.</t>
  </si>
  <si>
    <t>Should be reversed Jan-26 if payment is booked - Accrued Finders Fee into Dec-26</t>
  </si>
  <si>
    <t>SLED East House</t>
  </si>
  <si>
    <t>TJM-010726-15 Accrue Finders Fee into Dec-25 07-JAN-2026 14:20:11 EBS OPR A 50181679 30417530 N</t>
  </si>
  <si>
    <t>TJM-010726-15 Accrue Finders Fee into Dec-25 OPR Adj EBS AutoRev</t>
  </si>
  <si>
    <t>Accrue Finders Fee into Dec-25</t>
  </si>
  <si>
    <t>101.13009.245011.9999.999.999.9999.9999</t>
  </si>
  <si>
    <t>Reverses "TJM-010726-15 Accrue Finders Fee into Dec-25"07-JAN-26 17:00:23 - 451681415 EBS 30425488 N</t>
  </si>
  <si>
    <t>Reverses "TJM-010726-15 Accrue Finders Fee into Dec-25"07-JAN-2026 17:00:23 OPR Adj EBS AutoRev</t>
  </si>
  <si>
    <t>Reverses TJM-010726-15 Accrue Finders Fee into Dec-25 journal entry of TJM-010726-15 Accrue Finders Fee into Dec-25 07-JAN-2026 14:20:11 batch from DEC-25.</t>
  </si>
  <si>
    <t>Deferred cost on Bulk POs - hardware not delivered as of Dec-25</t>
  </si>
  <si>
    <t>TJM-010526-7 Defer Bulk PO (7) C Part 2 Cost out of Dec-25 185751 Spreadsheet A 18863 451 30382731 N</t>
  </si>
  <si>
    <t>TJM-010526-7 Defer Bulk PO (7) C Part 2 Cost out of Dec-25 185751 OPR Adjustment USD User 1 OPR Adj</t>
  </si>
  <si>
    <t>Defer Bulk PO (7) C Part 2 Cost out of Dec-25</t>
  </si>
  <si>
    <t>TJM-010526-6 Defer Bulk PO (5) C Part 2 Cost out of Dec-25 185741 Spreadsheet A 18863 451 30382731 N</t>
  </si>
  <si>
    <t>TJM-010526-6 Defer Bulk PO (5) C Part 2 Cost out of Dec-25 185741 OPR Adjustment USD User 1 OPR Adj</t>
  </si>
  <si>
    <t>Defer Bulk PO (5) C Part 2 Cost out of Dec-25</t>
  </si>
  <si>
    <t>TJM-010626-5 Defer Cost on Undelivered Materials Bulk A&amp;B Part 2 Schools quanti 06-JAN-20 30397003 N</t>
  </si>
  <si>
    <t>TJM-010626-5 Defer Cost on Undelivered Materials Bulk A&amp;B Part 2 Schools quantity 9458 out of Dec-2</t>
  </si>
  <si>
    <t>Defer Cost on Undelivered Materials Bulk A&amp;B Part 2 Schools quantity 9458 out of Dec-25</t>
  </si>
  <si>
    <t>Reverses "TJM-010526-7 Defer Bulk PO (7) C Part 2 Cost out o"30-JAN-26 12:26:47 - 4533408 30793419 N</t>
  </si>
  <si>
    <t>Reverses "TJM-010526-7 Defer Bulk PO (7) C Part 2 Cost out of Dec-25 185751 OPR30-JAN-2026 12:26:47</t>
  </si>
  <si>
    <t>Reverses TJM-010526-7 Defer Bulk PO (7) C Part 2 Cost out of Dec-25 185751 OPR  journal entry of TJM-010526-7 Defer Bulk PO (7) C Part 2 Cost out of Dec-25 185751 Spreadsheet A 18863 451610742 batch from DEC-25.</t>
  </si>
  <si>
    <t>Reverses "TJM-010526-6 Defer Bulk PO (5) C Part 2 Cost out o"30-JAN-26 12:41:04 - 4533408 30793419 N</t>
  </si>
  <si>
    <t>Reverses "TJM-010526-6 Defer Bulk PO (5) C Part 2 Cost out of Dec-25 185741 OPR30-JAN-2026 12:41:04</t>
  </si>
  <si>
    <t>Reverses TJM-010526-6 Defer Bulk PO (5) C Part 2 Cost out of Dec-25 185741 OPR  journal entry of TJM-010526-6 Defer Bulk PO (5) C Part 2 Cost out of Dec-25 185741 Spreadsheet A 18863 451610731 batch from DEC-25.</t>
  </si>
  <si>
    <t>Reverses "TJM-010626-5 Defer Cost on Undelivered Materials B"21-JAN-26 11:49:37 - 4527021 30661917 N</t>
  </si>
  <si>
    <t>Reverses "TJM-010626-5 Defer Cost on Undelivered Materials Bulk A&amp;B Part 2 Scho21-JAN-2026 11:49:37</t>
  </si>
  <si>
    <t>Reverses TJM-010626-5 Defer Cost on Undelivered Materials Bulk A&amp;B Part 2 Schoo journal entry of TJM-010626-5 Defer Cost on Undelivered Materials Bulk A&amp;B Part 2 Schools quanti 06-JAN-2026 15:15:59 batch from DEC-25.</t>
  </si>
  <si>
    <t>Reversed Jan-26 - Accrued Credit Memos into Dec-25</t>
  </si>
  <si>
    <t>TJM-010626-14 Accrue Credit Memos into Dec-25 Spreadsheet A 300000305300838 30400878 N</t>
  </si>
  <si>
    <t>TJM-010626-14 Accrue Credit Memos into Dec-25 Adjustment</t>
  </si>
  <si>
    <t>Accrue Credit Memos into Dec-25</t>
  </si>
  <si>
    <t>P2602963</t>
  </si>
  <si>
    <t>TJM-010626-13 Accrue Credit Memos into Dec-25 Spreadsheet A 300000305300838 30400878 N</t>
  </si>
  <si>
    <t>TJM-010626-13 Accrue Credit Memos into Dec-25 Adjustment</t>
  </si>
  <si>
    <t>H000939379</t>
  </si>
  <si>
    <t>Reverses TJM-010626-13 Accrue Credit Memos into Dec-25 Adjustment 15-01-26 18:15:52 30547700</t>
  </si>
  <si>
    <t>Reverses TJM-010626-13 Accrue Credit Memos into Dec-25 Adjustment 15-01-26 18:15:53</t>
  </si>
  <si>
    <t>Reverses journal TJM-010626-13 Accrue Credit Memos into Dec-25 Adjustment of journal batch TJM-010626-13 Accrue Credit Memos into Dec-25 Spreadsheet A 300000305300838 30400878 N from period Dec-25.</t>
  </si>
  <si>
    <t>SLED House</t>
  </si>
  <si>
    <t>TJM-020426-9 Deferring SO 2636173 On Hold out of Jan-26 Spreadsheet A 300000305300838 30869922 N</t>
  </si>
  <si>
    <t>TJM-020426-9 Deferring SO 2636173 On Hold out of Jan-26 Adjustment</t>
  </si>
  <si>
    <t>Deferring SO 2636173 On Hold out of Jan-26</t>
  </si>
  <si>
    <t>101.13010.245011.9999.999.999.9999.9999</t>
  </si>
  <si>
    <t>Reverses TJM-020426-9 Deferring SO 2636173 On Hold out of Jan-26 Adjustm 05-02-26 14:57:31 30885430</t>
  </si>
  <si>
    <t>Reverses TJM-020426-9 Deferring SO 2636173 On Hold out of Jan-26 Adjustment 05-02-26 14:57:33</t>
  </si>
  <si>
    <t>Reverses journal TJM-020426-9 Deferring SO 2636173 On Hold out of Jan-26 Adjustment of journal batch TJM-020426-9 Deferring SO 2636173 On Hold out of Jan-26 Spreadsheet A 300000305300838 30869922 N from period Jan-26.</t>
  </si>
  <si>
    <t>Reverses "TJM-010726-13 Defer POs 10200-6001285503 and 10200"16-JAN-26 13:55:21 - 4524173 30573780 N</t>
  </si>
  <si>
    <t>Reverses "TJM-010726-13 Defer POs 10200-6001285503 and 10200-6001285505 out of 16-JAN-2026 13:55:21</t>
  </si>
  <si>
    <t>Reverses TJM-010726-13 Defer POs 10200-6001285503 and 10200-6001285505 out of D journal entry of TJM-010726-13 Defer POs 10200-6001285503 and 10200-6001285505 out of Dec-25 134933 Sp 451748568 batch from DEC-25.</t>
  </si>
  <si>
    <t>Reverses TJM-010626-14 Accrue Credit Memos into Dec-25 Adjustment 15-01-26 18:15:37 30547697</t>
  </si>
  <si>
    <t>Reverses TJM-010626-14 Accrue Credit Memos into Dec-25 Adjustment 15-01-26 18:15:38</t>
  </si>
  <si>
    <t>Reverses journal TJM-010626-14 Accrue Credit Memos into Dec-25 Adjustment of journal batch TJM-010626-14 Accrue Credit Memos into Dec-25 Spreadsheet A 300000305300838 30400878 N from period Dec-25.</t>
  </si>
  <si>
    <t>Team working on correction Jan-26 - should be reversed</t>
  </si>
  <si>
    <t>TJM-010726-13 Defer POs 10200-6001285503 and 10200-6001285505 out of Dec-25 134933 Sp 451 30417413 N</t>
  </si>
  <si>
    <t>TJM-010726-13 Defer POs 10200-6001285503 and 10200-6001285505 out of Dec-25 134933 OPR Adjustment U</t>
  </si>
  <si>
    <t>Defer POs 10200-6001285503 and 10200-6001285505 out of Dec-25</t>
  </si>
  <si>
    <t>Should be reversed Jan-26 if payment is booked - Look into Aged AR Balances before paying - Accrued Finders Fee direct pay into Sep-25</t>
  </si>
  <si>
    <t>TJM-100625-10 Correcting TJM-100525-3 Spreadsheet A 300000305300838 28779619 N</t>
  </si>
  <si>
    <t>TJM-100625-10 Correcting TJM-100525-3 Adjustment</t>
  </si>
  <si>
    <t>Correcting TJM-100525-3 - moving to timing</t>
  </si>
  <si>
    <t>Should be reversed Jan-26 if payment is booked - Look into Aged AR Balances before paying - Accrued Finders Fee direct pay into Oct-25</t>
  </si>
  <si>
    <t>TJM-110625-2 Accrue Direct Pay Finders Fee into Oct-25 060808 Spreadsheet A 187293 447784 29369398 N</t>
  </si>
  <si>
    <t>TJM-110625-2 Accrue Direct Pay Finders Fee into Oct-25 060808 OPR Adjustment USD User 1 OPR Adjustm</t>
  </si>
  <si>
    <t>Accrue Direct Pay Finders Fee into Oct-25</t>
  </si>
  <si>
    <t>Reverses "TJM-110625-2 Accrue Direct Pay Finders Fee into Oc"26-JAN-26 13:46:49 - 4530237 30735102 N</t>
  </si>
  <si>
    <t>Reverses "TJM-110625-2 Accrue Direct Pay Finders Fee into Oct-25 060808 OPR Adj26-JAN-2026 13:46:49</t>
  </si>
  <si>
    <t>Reverses TJM-110625-2 Accrue Direct Pay Finders Fee into Oct-25 060808 OPR Adju journal entry of TJM-110625-2 Accrue Direct Pay Finders Fee into Oct-25 060808 Spreadsheet A 187293 447784934 batch from OCT-25.</t>
  </si>
  <si>
    <t>Reverses TJM-100625-10 Correcting TJM-100525-3 Adjustment 26-01-26 18:16:31 30709649</t>
  </si>
  <si>
    <t>Reverses TJM-100625-10 Correcting TJM-100525-3 Adjustment 26-01-26 18:16:32</t>
  </si>
  <si>
    <t>Reverses journal TJM-100625-10 Correcting TJM-100525-3 Adjustment of journal batch TJM-100625-10 Correcting TJM-100525-3 Spreadsheet A 300000305300838 28779619 N from period Sep-25.</t>
  </si>
  <si>
    <t>Reversed Feb-26</t>
  </si>
  <si>
    <t>TJM-020426-5 Accrue PO W519TC25F0094-P0001 SO 12586051 into Jan-26 04-FEB-2026 13:35:17 E 30871082 N</t>
  </si>
  <si>
    <t>TJM-020426-5 Accrue PO W519TC25F0094-P0001 SO 12586051 into Jan-26 OPR Adj EBS AutoRev</t>
  </si>
  <si>
    <t>Accrue PO W519TC25F0094-P0001 SO 12586051 into Jan-26</t>
  </si>
  <si>
    <t>Deferring SO 2643819 On Hold out of Jan-26</t>
  </si>
  <si>
    <t>TJM-020426-10 Deferring SO 2643819 On Hold out of Jan-26 Spreadsheet A 300000305300838 30869922 N</t>
  </si>
  <si>
    <t>TJM-020426-10 Deferring SO 2643819 On Hold out of Jan-26 Adjustment</t>
  </si>
  <si>
    <t>W9124D23F0251</t>
  </si>
  <si>
    <t>Reverses "TJM-020426-5 Accrue PO W519TC25F0094-P0001 SO 1258"05-FEB-26 17:00:20 - 4536769 30900198 N</t>
  </si>
  <si>
    <t>Reverses "TJM-020426-5 Accrue PO W519TC25F0094-P0001 SO 12586051 into Jan-26"05-FEB-2026 17:00:21 O</t>
  </si>
  <si>
    <t>Reverses TJM-020426-5 Accrue PO W519TC25F0094-P0001 SO 12586051 into Jan-26 journal entry of TJM-020426-5 Accrue PO W519TC25F0094-P0001 SO 12586051 into Jan-26 04-FEB-2026 13:35:17 batch from JAN-26.</t>
  </si>
  <si>
    <t>Reverses TJM-020426-10 Deferring SO 2643819 On Hold out of Jan-26 Adjust 03-03-26 18:48:04 31313734</t>
  </si>
  <si>
    <t>Reverses TJM-020426-10 Deferring SO 2643819 On Hold out of Jan-26 Adjustment 03-03-26 18:48:05</t>
  </si>
  <si>
    <t>Reverses journal TJM-020426-10 Deferring SO 2643819 On Hold out of Jan-26 Adjustment of journal batch TJM-020426-10 Deferring SO 2643819 On Hold out of Jan-26 Spreadsheet A 300000305300838 30869922 N from period Jan-26.</t>
  </si>
  <si>
    <t>TJM-020326-5 Defer SO 12552070 Cost Hit out of Jan-26 131716 Spreadsheet A 189362 4535783 30849723 N</t>
  </si>
  <si>
    <t>TJM-020326-5 Defer SO 12552070 Cost Hit out of Jan-26 131716 OPR Adj EBS AutoRev USD User 1 OPR Adj</t>
  </si>
  <si>
    <t>Defer SO 12552070 Cost Hit out of Jan-26</t>
  </si>
  <si>
    <t>Reverses "TJM-020326-5 Defer SO 12552070 Cost Hit out of Jan"03-FEB-26 17:00:21 - 4535148 30856753 N</t>
  </si>
  <si>
    <t>Reverses "TJM-020326-5 Defer SO 12552070 Cost Hit out of Jan-26 131716 OPR Adj 03-FEB-2026 17:00:21</t>
  </si>
  <si>
    <t>Reverses TJM-020326-5 Defer SO 12552070 Cost Hit out of Jan-26 131716 OPR Adj E journal entry of TJM-020326-5 Defer SO 12552070 Cost Hit out of Jan-26 131716 Spreadsheet A 189362 453578364 batch from JAN-26.</t>
  </si>
  <si>
    <t>Reversed Feb-26 - Deferred cost on Bulk POs - hardware not delivered as of Dec-25</t>
  </si>
  <si>
    <t>TJM-010526-5 Defer Bulk PO (4) D Part 2 Cost out of Dec-25 185729 Spreadsheet A 18863 451 30382731 N</t>
  </si>
  <si>
    <t>TJM-010526-5 Defer Bulk PO (4) D Part 2 Cost out of Dec-25 185729 OPR Adjustment USD User 1 OPR Adj</t>
  </si>
  <si>
    <t>Defer Bulk PO (4) D Part 2 Cost out of Dec-25</t>
  </si>
  <si>
    <t>TJM-020226-5 Defer Bulk PO (4) D Part 2 Cost out of Jan-26 02-FEB-2026 10:45:51 EBS OPR A 30835632 N</t>
  </si>
  <si>
    <t>TJM-020226-5 Defer Bulk PO (4) D Part 2 Cost out of Jan-26 OPR Adjustments</t>
  </si>
  <si>
    <t>Defer Bulk PO (4) D Part 2 Cost out of Jan-26</t>
  </si>
  <si>
    <t>Reverses "TJM-020226-5 Defer Bulk PO (4) D Part 2 Cost out o"12-FEB-26 12:28:36 - 4542408 31083587 N</t>
  </si>
  <si>
    <t>Reverses "TJM-020226-5 Defer Bulk PO (4) D Part 2 Cost out of Jan-26"12-FEB-2026 12:28:36 OPR Adjus</t>
  </si>
  <si>
    <t>Reverses TJM-020226-5 Defer Bulk PO (4) D Part 2 Cost out of Jan-26 journal entry of TJM-020226-5 Defer Bulk PO (4) D Part 2 Cost out of Jan-26 02-FEB-2026 10:45:51 batch from JAN-26.</t>
  </si>
  <si>
    <t>Reverses "TJM-010526-5 Defer Bulk PO (4) D Part 2 Cost out o"12-FEB-26 12:29:26 - 4542409 31100722 N</t>
  </si>
  <si>
    <t>Reverses "TJM-010526-5 Defer Bulk PO (4) D Part 2 Cost out of Dec-25 185729 OPR12-FEB-2026 12:29:26</t>
  </si>
  <si>
    <t>Reverses TJM-010526-5 Defer Bulk PO (4) D Part 2 Cost out of Dec-25 185729 OPR  journal entry of TJM-010526-5 Defer Bulk PO (4) D Part 2 Cost out of Dec-25 185729 Spreadsheet A 18863 451610721 batch from DEC-25.</t>
  </si>
  <si>
    <t>TJM-020226-10 Defer Cost on PO 4500080636-0787 out of Jan-26 - Correction comin 02-FEB-20 30849703 N</t>
  </si>
  <si>
    <t>TJM-020226-10 Defer Cost on PO 4500080636-0787 out of Jan-26 - Correction coming Feb-26 OPR Adj EBS</t>
  </si>
  <si>
    <t>Defer Cost on PO 4500080636-0787 out of Jan-26 - Correction coming Feb-26</t>
  </si>
  <si>
    <t>Reverses "TJM-020226-10 Defer Cost on PO 4500080636-0787 out"03-FEB-26 17:00:16 - 4535148 30856754 N</t>
  </si>
  <si>
    <t>Reverses "TJM-020226-10 Defer Cost on PO 4500080636-0787 out of Jan-26 - Correc03-FEB-2026 17:00:16</t>
  </si>
  <si>
    <t>Reverses TJM-020226-10 Defer Cost on PO 4500080636-0787 out of Jan-26 - Correct journal entry of TJM-020226-10 Defer Cost on PO 4500080636-0787 out of Jan-26 - Correction comin 02-FEB-2026 14:10:51 batch from JAN-26.</t>
  </si>
  <si>
    <t>Defer RMA 2593608 on hold out of Sep-25</t>
  </si>
  <si>
    <t>TJM-100225-5 Deferring RMA 2593608 On Hold out of Sep-25 Spreadsheet A 300000305300838 28696014 N</t>
  </si>
  <si>
    <t>TJM-100225-5 Deferring RMA 2593608 On Hold out of Sep-25 Adjustment</t>
  </si>
  <si>
    <t>Deferring RMA 2593608 On Hold out of Sep-25</t>
  </si>
  <si>
    <t>BS001</t>
  </si>
  <si>
    <t>Reverses TJM-100225-5 Deferring RMA 2593608 On Hold out of Sep-25 Adjust 31-03-26 13:47:56 31755510</t>
  </si>
  <si>
    <t>Reverses TJM-100225-5 Deferring RMA 2593608 On Hold out of Sep-25 Adjustment 31-03-26 13:47:57</t>
  </si>
  <si>
    <t>Reverses journal TJM-100225-5 Deferring RMA 2593608 On Hold out of Sep-25 Adjustment of journal batch TJM-100225-5 Deferring RMA 2593608 On Hold out of Sep-25 Spreadsheet A 300000305300838 28696014 N from period Sep-25.</t>
  </si>
  <si>
    <t>TJM-020426-9 Deferring SO 2636173 On Hold out of Jan-26 Spreadsheet A 300000305300838 30885636 N</t>
  </si>
  <si>
    <t xml:space="preserve"> Reversed Mar-26 - Defer PO HC104625F0049 P00003 out of Feb-26 - AR Correction Needed</t>
  </si>
  <si>
    <t>TJM-030426-15 Defer PO HC104625F0049 P00003 out of Feb-26 - AR Correction Neede 05-MAR-20 31351988 N</t>
  </si>
  <si>
    <t>TJM-030426-15 Defer PO HC104625F0049 P00003 out of Feb-26 - AR Correction Needed OPR Adjustments</t>
  </si>
  <si>
    <t>Defer PO HC104625F0049 P00003 out of Feb-26 - AR Correction Needed</t>
  </si>
  <si>
    <t>Reverses "TJM-030426-15 Defer PO HC104625F0049 P00003 out of"10-MAR-26 08:44:51 - 4560393 31464611 N</t>
  </si>
  <si>
    <t>Reverses "TJM-030426-15 Defer PO HC104625F0049 P00003 out of Feb-26 - AR Correc10-MAR-2026 08:44:52</t>
  </si>
  <si>
    <t>Reverses TJM-030426-15 Defer PO HC104625F0049 P00003 out of Feb-26 - AR Correct journal entry of TJM-030426-15 Defer PO HC104625F0049 P00003 out of Feb-26 - AR Correction Neede 05-MAR-2026 08:31:20 batch from FEB-26.</t>
  </si>
  <si>
    <t>Reverses TJM-020426-9 Deferring SO 2636173 On Hold out of Jan-26 Adjustm 31-03-26 13:55:42 31755576</t>
  </si>
  <si>
    <t>Reverses TJM-020426-9 Deferring SO 2636173 On Hold out of Jan-26 Adjustment 31-03-26 13:55:43</t>
  </si>
  <si>
    <t>Reverses journal TJM-020426-9 Deferring SO 2636173 On Hold out of Jan-26 Adjustment of journal batch TJM-020426-9 Deferring SO 2636173 On Hold out of Jan-26 Spreadsheet A 300000305300838 30885636 N from period Jan-26.</t>
  </si>
  <si>
    <t>Hoping to reverse Mar-26 - Deferring AP invoice out of Jan-25 - researching</t>
  </si>
  <si>
    <t>TJM-020625-4 Deferring AP Invoice out of Jan-25 Spreadsheet A 300000305300838 24387210 N</t>
  </si>
  <si>
    <t>TJM-020625-4 Deferring AP Invoice out of Jan-25 Adjustment</t>
  </si>
  <si>
    <t>Deferring AP Invoice out of Jan-25 - 1611285061</t>
  </si>
  <si>
    <t>Defer Miscoded AP Invoice 93782970M out of Feb-26</t>
  </si>
  <si>
    <t>TJM-030526-2 Defer Miscoded AP Invoice 93782970M out of Feb-26 Spreadsheet A 300000305300 31352686 N</t>
  </si>
  <si>
    <t>TJM-030526-2 Defer Miscoded AP Invoice 93782970M out of Feb-26 WWT Accrual Auto Rev</t>
  </si>
  <si>
    <t>Working in Mar-26 - Defer SO WWTCLOUD299 out of Feb-26 - AR Correction Needed</t>
  </si>
  <si>
    <t>TJM-030426-14 Defer SO WWTCLOUD299 out of Feb-26 - AR Correction Needed 05-MAR-2026 08:25 31351988 N</t>
  </si>
  <si>
    <t>TJM-030426-14 Defer SO WWTCLOUD299 out of Feb-26 - AR Correction Needed OPR Adj EBS AutoRev</t>
  </si>
  <si>
    <t>Defer SO WWTCLOUD299 out of Feb-26 - AR Correction Needed</t>
  </si>
  <si>
    <t>Reverses TJM-030526-2 Defer Miscoded AP Invoice 93782970M out of Feb-26  05-03-26 23:01:29 31338775</t>
  </si>
  <si>
    <t>Reverses TJM-030526-2 Defer Miscoded AP Invoice 93782970M out of Feb-26 WWT Accru 05-03-26 23:01:30</t>
  </si>
  <si>
    <t>Reverses journal TJM-030526-2 Defer Miscoded AP Invoice 93782970M out of Feb-26 WWT Accrual Auto Rev of journal batch TJM-030526-2 Defer Miscoded AP Invoice 93782970M out of Feb-26 Spreadsheet A 300000305300 31352686 N from period Feb-26.</t>
  </si>
  <si>
    <t>Reverses "TJM-030426-14 Defer SO WWTCLOUD299 out of Feb-26 -"05-MAR-26 17:00:12 - 4556552 31360692 N</t>
  </si>
  <si>
    <t>Reverses "TJM-030426-14 Defer SO WWTCLOUD299 out of Feb-26 - AR Correction Need05-MAR-2026 17:00:12</t>
  </si>
  <si>
    <t>Reverses TJM-030426-14 Defer SO WWTCLOUD299 out of Feb-26 - AR Correction Neede journal entry of TJM-030426-14 Defer SO WWTCLOUD299 out of Feb-26 - AR Correction Needed 05-MAR-2026 08:25:18 batch from FEB-26.</t>
  </si>
  <si>
    <t>Reverses TJM-020625-4 Deferring AP Invoice out of Jan-25 Adjustment 03-04-26 21:02:52 31823387</t>
  </si>
  <si>
    <t>Reverses TJM-020625-4 Deferring AP Invoice out of Jan-25 Adjustment 03-04-26 21:02:53</t>
  </si>
  <si>
    <t>Reverses journal TJM-020625-4 Deferring AP Invoice out of Jan-25 Adjustment of journal batch TJM-020625-4 Deferring AP Invoice out of Jan-25 Spreadsheet A 300000305300838 24387210 N from period Jan-25.</t>
  </si>
  <si>
    <t>Following up Mar-26 to see if hold can be released - Deferring RMA 2500799 On Hold out of Apr-25</t>
  </si>
  <si>
    <t>TJM-050525-5 Deferring RMA 2500799 On Hold out of Apr-25 Spreadsheet A 300000305300838 25979789 N</t>
  </si>
  <si>
    <t>TJM-050525-5 Deferring RMA 2500799 On Hold out of Apr-25 Adjustment</t>
  </si>
  <si>
    <t>Deferring RMA 2500799 On Hold out of Apr-25</t>
  </si>
  <si>
    <t>031447001</t>
  </si>
  <si>
    <t>Reverses TJM-050525-5 Deferring RMA 2500799 On Hold out of Apr-25 Adjust 24-03-26 20:01:33 31647873</t>
  </si>
  <si>
    <t>Reverses TJM-050525-5 Deferring RMA 2500799 On Hold out of Apr-25 Adjustment 24-03-26 20:01:34</t>
  </si>
  <si>
    <t>Reverses journal TJM-050525-5 Deferring RMA 2500799 On Hold out of Apr-25 Adjustment of journal batch TJM-050525-5 Deferring RMA 2500799 On Hold out of Apr-25 Spreadsheet A 300000305300838 25979789 N from period Apr-25.</t>
  </si>
  <si>
    <t>Following up on status of credit Apr-26 - Deferred SO 11865172 out of Feb-25 - awaiting Cisco credit</t>
  </si>
  <si>
    <t>TJM-030525-5 Deferring SO 11865172 out of Feb-25 - credit expected 091247 Spreadsheet 430 24878737 N</t>
  </si>
  <si>
    <t>TJM-030525-5 Deferring SO 11865172 out of Feb-25 - credit expected 091247 OPR Adjustment USD User 1</t>
  </si>
  <si>
    <t>Deferring SO 11865172 out of Feb-25 - credit expected</t>
  </si>
  <si>
    <t>Reverses "TJM-030525-5 Deferring SO 11865172 out of Feb-25 -"15-APR-26 15:08:33 - 4586451 32017591 N</t>
  </si>
  <si>
    <t>Reverses "TJM-030525-5 Deferring SO 11865172 out of Feb-25 - credit expected 0915-APR-2026 15:08:33</t>
  </si>
  <si>
    <t>Reverses TJM-030525-5 Deferring SO 11865172 out of Feb-25 - credit expected 091 journal entry of TJM-030525-5 Deferring SO 11865172 out of Feb-25 - credit expected 091247 Spreadsheet 430028558 batch from FEB-25.</t>
  </si>
  <si>
    <t>Should be released and deal completed Apr-26</t>
  </si>
  <si>
    <t>Federal Intel House</t>
  </si>
  <si>
    <t>TJM-020426-6 Accrue PO 4106899804 into Jan-26 - Lockheed Martin MAELA 134311 Spreadsh 453 30892103 N</t>
  </si>
  <si>
    <t>TJM-020526-6 Accrue PO 4106899804 into Jan-26 - Lockheed Martin MAELA 134311 OPR Adjustment USD Use</t>
  </si>
  <si>
    <t>Accrue PO 4106899804 into Jan-26 - Lockheed Martin MAELA</t>
  </si>
  <si>
    <t>101.11019.245011.9999.999.999.9999.9999</t>
  </si>
  <si>
    <t>TJM-020526-7 Accrue PO 4106899804 into Jan-26 - Cisco Short Fund 142038 Spreadsheet A 453 30892484 N</t>
  </si>
  <si>
    <t>TJM-020526-7 Accrue PO 4106899804 into Jan-26 - Cisco Short Fund 142038 OPR Adjustment USD User 1 O</t>
  </si>
  <si>
    <t>Accrue PO 4106899804 into Jan-26 - Cisco Short Fund</t>
  </si>
  <si>
    <t>Reverses "TJM-020526-6 Accrue PO 4106899804 into Jan-26 - Lo"18-FEB-26 10:43:06 - 4546441 31226299 N</t>
  </si>
  <si>
    <t>Reverses "TJM-020526-6 Accrue PO 4106899804 into Jan-26 - Lockheed Martin MAELA18-FEB-2026 10:43:06</t>
  </si>
  <si>
    <t>Reverses TJM-020526-6 Accrue PO 4106899804 into Jan-26 - Lockheed Martin MAELA  journal entry of TJM-020426-6 Accrue PO 4106899804 into Jan-26 - Lockheed Martin MAELA 134311 Spreadsh 453745288 batch from JAN-26.</t>
  </si>
  <si>
    <t>Reverses "TJM-020526-7 Accrue PO 4106899804 into Jan-26 - Ci"15-APR-26 11:47:37 - 4586294 32017591 N</t>
  </si>
  <si>
    <t>Reverses "TJM-020526-7 Accrue PO 4106899804 into Jan-26 - Cisco Short Fund 142015-APR-2026 11:47:37</t>
  </si>
  <si>
    <t>Reverses TJM-020526-7 Accrue PO 4106899804 into Jan-26 - Cisco Short Fund 14203 journal entry of TJM-020526-7 Accrue PO 4106899804 into Jan-26 - Cisco Short Fund 142038 Spreadsheet A 453748093 batch from JAN-26.</t>
  </si>
  <si>
    <t>Reversed Apr-26</t>
  </si>
  <si>
    <t>TJM-040326-11 Defer RMA 2660759 out of Mar-26 - CCC 06210761 06-APR-2026 08:10:14 EBS OPR 31863996 N</t>
  </si>
  <si>
    <t>TJM-040326-11 Defer RMA 2660759 out of Mar-26 - CCC 06210761 OPR Adj EBS AutoRev</t>
  </si>
  <si>
    <t>Defer RMA 2660759 out of Mar-26 - CCC 06210761</t>
  </si>
  <si>
    <t>Deferred SO 12682651 On Hold out of Mar-26</t>
  </si>
  <si>
    <t>TJM-040326-6 Deferring SO 12682651 On Hold out of Mar-26 Spreadsheet A 300000305300838 31822776 N</t>
  </si>
  <si>
    <t>TJM-040326-6 Deferring SO 12682651 On Hold out of Mar-26 Adjustment</t>
  </si>
  <si>
    <t>Deferring SO 12682651 On Hold out of Mar-26</t>
  </si>
  <si>
    <t>3793-001A</t>
  </si>
  <si>
    <t>Reverses TJM-040326-6 Deferring SO 12682651 On Hold out of Mar-26 Adjust 06-05-26 14:01:34 32351881</t>
  </si>
  <si>
    <t>Reverses TJM-040326-6 Deferring SO 12682651 On Hold out of Mar-26 Adjustment 06-05-26 14:01:35</t>
  </si>
  <si>
    <t>Reverses journal TJM-040326-6 Deferring SO 12682651 On Hold out of Mar-26 Adjustment of journal batch TJM-040326-6 Deferring SO 12682651 On Hold out of Mar-26 Spreadsheet A 300000305300838 31822776 N from period Mar-26.</t>
  </si>
  <si>
    <t>Reverses "TJM-040326-11 Defer RMA 2660759 out of Mar-26 - CC"06-APR-26 17:00:11 - 4579165 31868817 N</t>
  </si>
  <si>
    <t>Reverses "TJM-040326-11 Defer RMA 2660759 out of Mar-26 - CCC 06210761"06-APR-2026 17:00:11 OPR Adj</t>
  </si>
  <si>
    <t>Reverses TJM-040326-11 Defer RMA 2660759 out of Mar-26 - CCC 06210761 journal entry of TJM-040326-11 Defer RMA 2660759 out of Mar-26 - CCC 06210761 06-APR-2026 08:10:14 batch from MAR-26.</t>
  </si>
  <si>
    <t>Deferring SO 12603693 On Hold out of Jan-26</t>
  </si>
  <si>
    <t>SLED SOM</t>
  </si>
  <si>
    <t>TJM-020426-11 Deferring SO 12603693 On Hold out of Jan-26 Spreadsheet A 300000305300838 30869922 N</t>
  </si>
  <si>
    <t>TJM-020426-11 Deferring SO 12603693 On Hold out of Jan-26 Adjustment</t>
  </si>
  <si>
    <t>101.13020.245011.9999.950.999.9999.9999</t>
  </si>
  <si>
    <t>PM012605613</t>
  </si>
  <si>
    <t>Reverses TJM-020426-11 Deferring SO 12603693 On Hold out of Jan-26 Adjus 06-05-26 14:04:49 32351914</t>
  </si>
  <si>
    <t>Reverses TJM-020426-11 Deferring SO 12603693 On Hold out of Jan-26 Adjustment 06-05-26 14:04:50</t>
  </si>
  <si>
    <t>Reverses journal TJM-020426-11 Deferring SO 12603693 On Hold out of Jan-26 Adjustment of journal batch TJM-020426-11 Deferring SO 12603693 On Hold out of Jan-26 Spreadsheet A 300000305300838 30869922 N from period Jan-26.</t>
  </si>
  <si>
    <t>Reversed Mar-26</t>
  </si>
  <si>
    <t>SLED TX/OK</t>
  </si>
  <si>
    <t>TJM-040326-9 Defer SO 12681518 out of Mar-26 080310 Spreadsheet A 191390 457948166 EBS OP 31864000 N</t>
  </si>
  <si>
    <t>TJM-040326-9 Defer SO 12681518 out of Mar-26 080310 OPR Adj EBS AutoRev USD User 1 OPR Adj EBS Auto</t>
  </si>
  <si>
    <t>Defer SO 12681518 out of Mar-26</t>
  </si>
  <si>
    <t>Reverses "TJM-040326-9 Defer SO 12681518 out of Mar-26 08031"06-APR-26 17:00:09 - 4579165 31868818 N</t>
  </si>
  <si>
    <t>Reverses "TJM-040326-9 Defer SO 12681518 out of Mar-26 080310 OPR Adj EBS AutoR06-APR-2026 17:00:10</t>
  </si>
  <si>
    <t>Reverses TJM-040326-9 Defer SO 12681518 out of Mar-26 080310 OPR Adj EBS AutoRe journal entry of TJM-040326-9 Defer SO 12681518 out of Mar-26 080310 Spreadsheet A 191390 457948166 batch from MAR-26.</t>
  </si>
  <si>
    <t>Deferred PO 835 out of Apr-26 - researching w/ Brandon</t>
  </si>
  <si>
    <t>TJM-050526-11 Defer PO 835 out of Apr-26 154753 Spreadsheet A 192136 460043825 EBS OPR A  32336806 N</t>
  </si>
  <si>
    <t>TJM-050526-11 Defer PO 835 out of Apr-26 154753 OPR Adj EBS AutoRev USD User 1 OPR Adj EBS AutoRev</t>
  </si>
  <si>
    <t>Defer PO 835 out of Apr-26</t>
  </si>
  <si>
    <t>Reverses "TJM-050526-11 Defer PO 835 out of Apr-26 154753 OP"06-MAY-26 17:00:34 - 4600482 32358414 N</t>
  </si>
  <si>
    <t>Reverses "TJM-050526-11 Defer PO 835 out of Apr-26 154753 OPR Adj EBS AutoRev U06-MAY-2026 17:00:34</t>
  </si>
  <si>
    <t>Reverses TJM-050526-11 Defer PO 835 out of Apr-26 154753 OPR Adj EBS AutoRev US journal entry of TJM-050526-11 Defer PO 835 out of Apr-26 154753 Spreadsheet A 192136 460043825 batch from APR-26.</t>
  </si>
  <si>
    <t>Deferred PO EUR AOR out of Apr-26 - missing cost - researching w/ Molly</t>
  </si>
  <si>
    <t>TJM-050526-26 Defer PO EUR AOR out of Apr-26 154743 Spreadsheet A 192135 460043811 EBS OP 32336806 N</t>
  </si>
  <si>
    <t>TJM-050526-26 Defer PO EUR AOR out of Apr-26 154743 OPR Adj EBS AutoRev USD User 1 OPR Adj EBS Auto</t>
  </si>
  <si>
    <t>Defer PO EUR AOR out of Apr-26</t>
  </si>
  <si>
    <t>Reverses "TJM-050526-26 Defer PO EUR AOR out of Apr-26 15474"06-MAY-26 17:00:32 - 4600482 32358414 N</t>
  </si>
  <si>
    <t>Reverses "TJM-050526-26 Defer PO EUR AOR out of Apr-26 154743 OPR Adj EBS AutoR06-MAY-2026 17:00:32</t>
  </si>
  <si>
    <t>Reverses TJM-050526-26 Defer PO EUR AOR out of Apr-26 154743 OPR Adj EBS AutoRe journal entry of TJM-050526-26 Defer PO EUR AOR out of Apr-26 154743 Spreadsheet A 192135 460043811 batch from APR-26.</t>
  </si>
  <si>
    <t>Defer PO 4500503215 out of Apr-26 - team working</t>
  </si>
  <si>
    <t>TJM-050526-25 Defer PO 4500503215 out of Apr-26 154723 Spreadsheet A 192133 460043790 EBS 32336806 N</t>
  </si>
  <si>
    <t>TJM-050526-25 Defer PO 4500503215 out of Apr-26 154723 OPR Adj EBS AutoRev USD User 1 OPR Adj EBS A</t>
  </si>
  <si>
    <t>Defer PO 4500503215 out of Apr-26</t>
  </si>
  <si>
    <t>Reverses "TJM-050526-25 Defer PO 4500503215 out of Apr-26 15"06-MAY-26 17:00:31 - 4600482 32358414 N</t>
  </si>
  <si>
    <t>Reverses "TJM-050526-25 Defer PO 4500503215 out of Apr-26 154723 OPR Adj EBS Au06-MAY-2026 17:00:31</t>
  </si>
  <si>
    <t>Reverses TJM-050526-25 Defer PO 4500503215 out of Apr-26 154723 OPR Adj EBS Aut journal entry of TJM-050526-25 Defer PO 4500503215 out of Apr-26 154723 Spreadsheet A 192133 460043790 batch from APR-26.</t>
  </si>
  <si>
    <t>Deferred non-recvue portion of PO 268576 out of Apr-26 - missing revenue - researching w/ Amanda</t>
  </si>
  <si>
    <t>TJM-050526-12 Defer PO 268576 out of Apr-26 154533 Spreadsheet A 192082 460043642 EBS OPR 32336806 N</t>
  </si>
  <si>
    <t>TJM-050526-12 Defer PO 268576 out of Apr-26 154533 OPR Adj EBS AutoRev USD User 1 OPR Adj EBS AutoR</t>
  </si>
  <si>
    <t>Defer PO 268576 out of Apr-26</t>
  </si>
  <si>
    <t>Reverses "TJM-050526-12 Defer PO 268576 out of Apr-26 154533"06-MAY-26 17:00:22 - 4600482 32358414 N</t>
  </si>
  <si>
    <t>Reverses "TJM-050526-12 Defer PO 268576 out of Apr-26 154533 OPR Adj EBS AutoRe06-MAY-2026 17:00:22</t>
  </si>
  <si>
    <t>Reverses TJM-050526-12 Defer PO 268576 out of Apr-26 154533 OPR Adj EBS AutoRev journal entry of TJM-050526-12 Defer PO 268576 out of Apr-26 154533 Spreadsheet A 192082 460043642 batch from APR-26.</t>
  </si>
  <si>
    <t>Defer PO K33081 out of Apr-26 - researching w/ Amanda</t>
  </si>
  <si>
    <t>TJM-050526-20 Defer PO K33081 out of Apr-26 154818 Spreadsheet A 192138 460043847 EBS OPR 32336806 N</t>
  </si>
  <si>
    <t>TJM-050526-20 Defer PO K33081 out of Apr-26 154818 OPR Adj EBS AutoRev USD User 1 OPR Adj EBS AutoR</t>
  </si>
  <si>
    <t>Defer PO K33081 out of Apr-26</t>
  </si>
  <si>
    <t>101.13002.245011.9999.999.999.9999.9999</t>
  </si>
  <si>
    <t>Defer PO K33080 out of Apr-26 - researching w/ Amanda</t>
  </si>
  <si>
    <t>TJM-050526-19 Defer PO K33080 out of Apr-26 154703 Spreadsheet A 192131 460043760 EBS OPR 32336806 N</t>
  </si>
  <si>
    <t>TJM-050526-19 Defer PO K33080 out of Apr-26 154703 OPR Adj EBS AutoRev USD User 1 OPR Adj EBS AutoR</t>
  </si>
  <si>
    <t>Defer PO K33080 out of Apr-26</t>
  </si>
  <si>
    <t>Reverses "TJM-050526-20 Defer PO K33081 out of Apr-26 154818"06-MAY-26 17:00:36 - 4600482 32358414 N</t>
  </si>
  <si>
    <t>Reverses "TJM-050526-20 Defer PO K33081 out of Apr-26 154818 OPR Adj EBS AutoRe06-MAY-2026 17:00:36</t>
  </si>
  <si>
    <t>Reverses TJM-050526-20 Defer PO K33081 out of Apr-26 154818 OPR Adj EBS AutoRev journal entry of TJM-050526-20 Defer PO K33081 out of Apr-26 154818 Spreadsheet A 192138 460043847 batch from APR-26.</t>
  </si>
  <si>
    <t>Reverses "TJM-050526-19 Defer PO K33080 out of Apr-26 154703"06-MAY-26 17:00:29 - 4600482 32358414 N</t>
  </si>
  <si>
    <t>Reverses "TJM-050526-19 Defer PO K33080 out of Apr-26 154703 OPR Adj EBS AutoRe06-MAY-2026 17:00:29</t>
  </si>
  <si>
    <t>Reverses TJM-050526-19 Defer PO K33080 out of Apr-26 154703 OPR Adj EBS AutoRev journal entry of TJM-050526-19 Defer PO K33080 out of Apr-26 154703 Spreadsheet A 192131 460043760 batch from APR-26.</t>
  </si>
  <si>
    <t>Reversed Jun-26 - Accrued GEMS Army Cost into May-26</t>
  </si>
  <si>
    <t>TJM-060426-5 Accruing GEMS Army Cost into May-26 124600 Recvue A 193166 462242741 EBS Rec 32827904 N</t>
  </si>
  <si>
    <t>TJM-060426-5 Accruing GEMS Army Cost into May-26 124600 OPR Adj EBS AutoRev USD User 1 OPR Adj EBS</t>
  </si>
  <si>
    <t>Accruing GEMS Army Cost into May-26</t>
  </si>
  <si>
    <t>Reverses "TJM-060426-5 Accruing GEMS Army Cost into May-26 1"04-JUN-26 17:00:39 - 4621711 32835194 N</t>
  </si>
  <si>
    <t>Reverses "TJM-060426-5 Accruing GEMS Army Cost into May-26 124600 OPR Adj EBS A04-JUN-2026 17:00:39</t>
  </si>
  <si>
    <t>Reverses TJM-060426-5 Accruing GEMS Army Cost into May-26 124600 OPR Adj EBS Au journal entry of TJM-060426-5 Accruing GEMS Army Cost into May-26 124600 Recvue A 193166 462242741 batch from MAY-26.</t>
  </si>
  <si>
    <t>Reversed Jun-26</t>
  </si>
  <si>
    <t>TJM-060326-1 Defer SO 12690692 out of May-26 135121 Spreadsheet A 193067 462157454 EBS OP 32819337 N</t>
  </si>
  <si>
    <t>TJM-060326-1 Defer SO 12690692 out of May-26 135121 OPR Adj EBS AutoRev USD User 1 OPR Adj EBS Auto</t>
  </si>
  <si>
    <t>Defer SO 12690692 out of May-26</t>
  </si>
  <si>
    <t>Reverses "TJM-060326-1 Defer SO 12690692 out of May-26 13512"04-JUN-26 17:00:20 - 4621711 32835178 N</t>
  </si>
  <si>
    <t>Reverses "TJM-060326-1 Defer SO 12690692 out of May-26 135121 OPR Adj EBS AutoR04-JUN-2026 17:00:20</t>
  </si>
  <si>
    <t>Reverses TJM-060326-1 Defer SO 12690692 out of May-26 135121 OPR Adj EBS AutoRe journal entry of TJM-060326-1 Defer SO 12690692 out of May-26 135121 Spreadsheet A 193067 462157454 batch from MAY-26.</t>
  </si>
  <si>
    <t>Reversed Jun-26 - Accrued GEMS Navy Cost into May-26</t>
  </si>
  <si>
    <t>TJM-060426-6 Accruing GEMS Navy Cost into May-26 124544 Recvue A 193165 462242715 EBS Rec 32827904 N</t>
  </si>
  <si>
    <t>TJM-060426-6 Accruing GEMS Navy Cost into May-26 124544 OPR Adj EBS AutoRev USD User 1 OPR Adj EBS</t>
  </si>
  <si>
    <t>Accruing GEMS Navy Cost into May-26</t>
  </si>
  <si>
    <t>Reverses "TJM-060426-6 Accruing GEMS Navy Cost into May-26 1"04-JUN-26 17:00:37 - 4621711 32835194 N</t>
  </si>
  <si>
    <t>Reverses "TJM-060426-6 Accruing GEMS Navy Cost into May-26 124544 OPR Adj EBS A04-JUN-2026 17:00:37</t>
  </si>
  <si>
    <t>Reverses TJM-060426-6 Accruing GEMS Navy Cost into May-26 124544 OPR Adj EBS Au journal entry of TJM-060426-6 Accruing GEMS Navy Cost into May-26 124544 Recvue A 193165 462242715 batch from MAY-26.</t>
  </si>
  <si>
    <t>TJM-060326-4 Deferring SO 12747961 out of May-26 152358 Spreadsheet A 193070 462164612 EB 32819337 N</t>
  </si>
  <si>
    <t>TJM-060326-4 Deferring SO 12747961 out of May-26 152358 OPR Adj EBS AutoRev USD User 1 OPR Adj EBS</t>
  </si>
  <si>
    <t>Deferring SO 12747961 out of May-26</t>
  </si>
  <si>
    <t>Reverses "TJM-060326-4 Deferring SO 12747961 out of May-26 1"04-JUN-26 17:00:24 - 4621711 32835178 N</t>
  </si>
  <si>
    <t>Reverses "TJM-060326-4 Deferring SO 12747961 out of May-26 152358 OPR Adj EBS A04-JUN-2026 17:00:24</t>
  </si>
  <si>
    <t>Reverses TJM-060326-4 Deferring SO 12747961 out of May-26 152358 OPR Adj EBS Au journal entry of TJM-060326-4 Deferring SO 12747961 out of May-26 152358 Spreadsheet A 193070 462164612 batch from MAY-26.</t>
  </si>
  <si>
    <t>Had meeting in June, team working to resolve in June - Deferred non-recvue portion of PO 268576 out of Apr-26 - missing revenue - researching w/ Amanda</t>
  </si>
  <si>
    <t>TJM-060226-6 Defer PO 268576 out of May-26 02-JUN-2026 14:10:14 EBS OPR A 60163955 32795521 N</t>
  </si>
  <si>
    <t>TJM-060226-6 Defer PO 268576 out of May-26 OPR Adj EBS AutoRev</t>
  </si>
  <si>
    <t>Defer PO 268576 out of May-26</t>
  </si>
  <si>
    <t>Reverses "TJM-060226-6 Defer PO 268576 out of May-26"03-JUN-26 17:00:15 - 462079712 EBS O 32815761 N</t>
  </si>
  <si>
    <t>Reverses "TJM-060226-6 Defer PO 268576 out of May-26"03-JUN-2026 17:00:15 OPR Adj EBS AutoRev</t>
  </si>
  <si>
    <t>Reverses TJM-060226-6 Defer PO 268576 out of May-26 journal entry of TJM-060226-6 Defer PO 268576 out of May-26 02-JUN-2026 14:10:14 batch from MAY-26.</t>
  </si>
  <si>
    <t>TJM-110424-10 Streamline PO GDIT-33088 General Dynamics Information Tech Reverse Year 422 22800007 N</t>
  </si>
  <si>
    <t>TJM-110424-10 Streamline PO GDIT-33088 General Dynamics Information Tech Reverse Year 4 2026 225336</t>
  </si>
  <si>
    <t>Reversed July-26</t>
  </si>
  <si>
    <t>TJM-070626-23 Defer SO 12690692 out of June-26 202733 Spreadsheet A 194102 464639878 EBS  33362279 N</t>
  </si>
  <si>
    <t>TJM-070626-23 Defer SO 12690692 out of June-26 202733 OPR Adjustment USD User 1 OPR Adjustments</t>
  </si>
  <si>
    <t>Defer SO 12690692 out of June-26</t>
  </si>
  <si>
    <t>TJM-070726-8 Accrue PO 118441-01 into June-26 121050 Spreadsheet A 194130 464706335 EBS O 33371745 N</t>
  </si>
  <si>
    <t>TJM-070726-8 Accrue PO 118441-01 into June-26 121050 OPR Adj EBS AutoRev USD User 1 OPR Adj EBS Aut</t>
  </si>
  <si>
    <t>Accrue PO 118441-01 into June-26</t>
  </si>
  <si>
    <t>TJM-070626-9 Accrue SO 12866269 into June-26 131003 Spreadsheet A 194022 464611438 EBS OP 33369845 N</t>
  </si>
  <si>
    <t>TJM-070626-9 Accrue SO 12866269 into June-26 131003 OPR Adj EBS AutoRev USD User 1 OPR Adj EBS Auto</t>
  </si>
  <si>
    <t>Accrue SO 12866269 into June-26</t>
  </si>
  <si>
    <t>Researching w/ Stephanie - couldn't find order</t>
  </si>
  <si>
    <t>TJM-070726-11 Defer 09-06-2026 Receipts out of June-26 Spreadsheet A 300000305300838 33373544 N</t>
  </si>
  <si>
    <t>TJM-070726-11 Defer 09-06-2026 Receipts out of June-26 Adjustment</t>
  </si>
  <si>
    <t>Defer 09-06-2026 Receipts out of June-26</t>
  </si>
  <si>
    <t>Reverses TJM-110424-10 Streamline PO GDIT-33088 General Dynamics Information Te journal entry of TJM-110424-10 Streamline PO GDIT-33088 General Dynamics Information Tech Reverse Year 422314254 batch from OCT-24.</t>
  </si>
  <si>
    <t>Reverses "TJM-110424-10 Streamline PO GDIT-33088 General Dyn"22-JUL-26 14:46:48 - 4659086 33619394 N</t>
  </si>
  <si>
    <t>Reverses "TJM-110424-10 Streamline PO GDIT-33088 General Dynamics Information T22-JUL-2026 14:46:48</t>
  </si>
  <si>
    <t>Reverses journal TJM-070726-11 Defer 09-06-2026 Receipts out of June-26 Adjustment of journal batch TJM-070726-11 Defer 09-06-2026 Receipts out of June-26 Spreadsheet A 300000305300838 33373544 N from period Jun-26.</t>
  </si>
  <si>
    <t>Reverses TJM-070726-11 Defer 09-06-2026 Receipts out of June-26 Adjustme 24-07-26 18:20:47 33645396</t>
  </si>
  <si>
    <t>Reverses TJM-070726-11 Defer 09-06-2026 Receipts out of June-26 Adjustment 24-07-26 18:20:48</t>
  </si>
  <si>
    <t>Reverses TJM-070626-23 Defer SO 12690692 out of June-26 202733 OPR Adjustment U journal entry of TJM-070626-23 Defer SO 12690692 out of June-26 202733 Spreadsheet A 194102 464639878 batch from JUN-26.</t>
  </si>
  <si>
    <t>Reverses "TJM-070626-23 Defer SO 12690692 out of June-26 202"09-JUL-26 14:07:13 - 4648918 33476012 N</t>
  </si>
  <si>
    <t>Reverses "TJM-070626-23 Defer SO 12690692 out of June-26 202733 OPR Adjustment 09-JUL-2026 14:07:14</t>
  </si>
  <si>
    <t>Reverses TJM-070626-9 Accrue SO 12866269 into June-26 131003 OPR Adj EBS AutoRe journal entry of TJM-070626-9 Accrue SO 12866269 into June-26 131003 Spreadsheet A 194022 464611438 batch from JUN-26.</t>
  </si>
  <si>
    <t>Reverses "TJM-070626-9 Accrue SO 12866269 into June-26 13100"07-JUL-26 17:00:14 - 4646272 33382024 N</t>
  </si>
  <si>
    <t>Reverses "TJM-070626-9 Accrue SO 12866269 into June-26 131003 OPR Adj EBS AutoR07-JUL-2026 17:00:14</t>
  </si>
  <si>
    <t>Reverses TJM-070726-8 Accrue PO 118441-01 into June-26 121050 OPR Adj EBS AutoR journal entry of TJM-070726-8 Accrue PO 118441-01 into June-26 121050 Spreadsheet A 194130 464706335 batch from JUN-26.</t>
  </si>
  <si>
    <t>Reverses "TJM-070726-8 Accrue PO 118441-01 into June-26 1210"07-JUL-26 17:00:25 - 4646272 33382024 N</t>
  </si>
  <si>
    <t>Reverses "TJM-070726-8 Accrue PO 118441-01 into June-26 121050 OPR Adj EBS Auto07-JUL-2026 17:00:25</t>
  </si>
  <si>
    <t>Followed up with Todd 6/12 - Deferred RecVue order missing cost out of Sep-25 - Todd researching</t>
  </si>
  <si>
    <t>TJM-100625-3 Defer RecVue Order WWTXaaS383_2025-2027 Missing Cost out of Sep-25 06-OCT-20 28779078 N</t>
  </si>
  <si>
    <t>TJM-100625-3 Defer RecVue Order WWTXaaS383_2025-2027 Missing Cost out of Sep-25 OPR Adjustments</t>
  </si>
  <si>
    <t>Defer RecVue Order WWTXaaS383_2025-2027 Missing Cost out of Sep-25</t>
  </si>
  <si>
    <t>Move WWTXaaS383_2025-2027 to House P&amp;L</t>
  </si>
  <si>
    <t>TJM-080326-6 Move WWTXaaS383_2025-2027 to House P&amp;L 152810 Recvue A 194740 466848452 EBS  33890326 N</t>
  </si>
  <si>
    <t>TJM-080326-6 Move WWTXaaS383_2025-2027 to House P&amp;L 152810 OPR Adjustment USD User 1 OPR Adjustment</t>
  </si>
  <si>
    <t>A/R Other - Federal</t>
  </si>
  <si>
    <t>BDM-110321-35</t>
  </si>
  <si>
    <t>Type</t>
  </si>
  <si>
    <t>Invoice #</t>
  </si>
  <si>
    <t>Invoice Date</t>
  </si>
  <si>
    <t>Period</t>
  </si>
  <si>
    <t>Financial Program</t>
  </si>
  <si>
    <t>Subprogram</t>
  </si>
  <si>
    <t>P_L Rollup</t>
  </si>
  <si>
    <t>P_L</t>
  </si>
  <si>
    <t>GL Account</t>
  </si>
  <si>
    <t>Co</t>
  </si>
  <si>
    <t>SD</t>
  </si>
  <si>
    <t>Acct</t>
  </si>
  <si>
    <t>CC</t>
  </si>
  <si>
    <t>Natural Account Description</t>
  </si>
  <si>
    <t>Accounted Amount</t>
  </si>
  <si>
    <t>Comments</t>
  </si>
  <si>
    <t>Description</t>
  </si>
  <si>
    <t>Justification</t>
  </si>
  <si>
    <t>Invoice Line #</t>
  </si>
  <si>
    <t>Batch</t>
  </si>
  <si>
    <t>Source</t>
  </si>
  <si>
    <t>PO</t>
  </si>
  <si>
    <t>PO Description</t>
  </si>
  <si>
    <t>Effective Date</t>
  </si>
  <si>
    <t>Posted Date</t>
  </si>
  <si>
    <t>offset</t>
  </si>
  <si>
    <t>Prelim 9916664 on hold</t>
  </si>
  <si>
    <t>BDM-010622-10 Spreadsheet A 300000031763616 6594278 N</t>
  </si>
  <si>
    <t>9/30/2021</t>
  </si>
  <si>
    <t>Prelim 9912076 on hold</t>
  </si>
  <si>
    <t>BDM-010622-11 Spreadsheet A 300000031763616 6594278 N</t>
  </si>
  <si>
    <t>10/11/2021</t>
  </si>
  <si>
    <t>Oct-21</t>
  </si>
  <si>
    <t>SO 9882617 lines awaiting fufillment</t>
  </si>
  <si>
    <t>BDM-110221-8 Spreadsheet A 300000031712966 5869187 N</t>
  </si>
  <si>
    <t>SO 9882587 awaiting fufillment</t>
  </si>
  <si>
    <t>BDM-010622-14 Spreadsheet A 300000031763616 6594278 N</t>
  </si>
  <si>
    <t>W52P1J21F0537</t>
  </si>
  <si>
    <t>Deferring cost that transacted on Prelim PO# R-00651516, RMA to correct in December (REVERSE IN DEC)</t>
  </si>
  <si>
    <t>BDM-120621-7 06-DEC-2021 09:42:28 EBS OPR A 14490946 6225790 N</t>
  </si>
  <si>
    <t>Reverses BDM-120621-7 journal entry of BDM-120621-7 06-DEC-2021 09:42:28 batch from NOV-21.</t>
  </si>
  <si>
    <t>Reverses "BDM-120621-7"13-DEC-21 14:36:22 - 343847307 EBS OPR A 14655364 6320865 N</t>
  </si>
  <si>
    <t>Apr-21</t>
  </si>
  <si>
    <t>Deferring SAAS credit on WWTINCSAAS341 to validate accuracy - see email from Jessica Laux, invoiced from Recvue in March, credited in full in April, will be rebilled from Oracle on SO 9630354 (still booked as of 11/16) - followed up with Jessica</t>
  </si>
  <si>
    <t>BDM-050621-4 06-MAY-2021 07:32:46 EBS OPR A 9298322 4008025 N</t>
  </si>
  <si>
    <t>Defer PPV for Moonshot Cisco AS Renewal for Yr 2, Ops Reworking in Jan</t>
  </si>
  <si>
    <t>CMG-010722-1 Defer PPV for Moonshot Cisco AS Renewal for Yr 2, Ops Reworking in 07-JAN-202 6594795 N</t>
  </si>
  <si>
    <t>Defer AP W/O RMA Approved - will reverse to 502550</t>
  </si>
  <si>
    <t>CMG-010622-17 Defer AP W/O RMA Approved Spreadsheet A 300000031763616 6589071 N</t>
  </si>
  <si>
    <t>Prelim 9920693 on hold</t>
  </si>
  <si>
    <t>BDM-010622-9 Spreadsheet A 300000031763616 6594278 N</t>
  </si>
  <si>
    <t>Prelim 9920688 on hold</t>
  </si>
  <si>
    <t>BDM-010622-8 Spreadsheet A 300000031763616 6594278 N</t>
  </si>
  <si>
    <t>Prelim 9978548 on hold</t>
  </si>
  <si>
    <t>BDM-010922-6 Spreadsheet A 300000031763616 6625251 N</t>
  </si>
  <si>
    <t>Prelim 9944652 on hold</t>
  </si>
  <si>
    <t>BDM-010922-16 Spreadsheet A 300000031763616 6625251 N</t>
  </si>
  <si>
    <t>Prelim 9944688 on hold</t>
  </si>
  <si>
    <t>BDM-010922-17 Spreadsheet A 300000031763616 6625251 N</t>
  </si>
  <si>
    <t>Prelim 9944659 on hold</t>
  </si>
  <si>
    <t>BDM-010922-15 Spreadsheet A 300000031763616 6625251 N</t>
  </si>
  <si>
    <t>Reverses journal BDM-010622-10 Adjustment of journal batch BDM-010622-10 Spreadsheet A 300000031763616 6594278 N from period Dec-21.</t>
  </si>
  <si>
    <t>Reverses BDM-010622-10 Adjustment 31-01-22 20:25:55 6865774</t>
  </si>
  <si>
    <t>Reverses journal BDM-010622-8 Adjustment of journal batch BDM-010622-8 Spreadsheet A 300000031763616 6594278 N from period Dec-21.</t>
  </si>
  <si>
    <t>Reverses BDM-010622-8 Adjustment 02-02-22 18:18:54 6893892</t>
  </si>
  <si>
    <t>Reverses journal BDM-010622-11 Adjustment of journal batch BDM-010622-11 Spreadsheet A 300000031763616 6594278 N from period Dec-21.</t>
  </si>
  <si>
    <t>Reverses BDM-010622-11 Adjustment 31-01-22 20:22:54 6865728</t>
  </si>
  <si>
    <t>Reverses journal BDM-010622-14 Adjustment of journal batch BDM-010622-14 Spreadsheet A 300000031763616 6594278 N from period Dec-21.</t>
  </si>
  <si>
    <t>Reverses BDM-010622-14 Adjustment 31-01-22 17:54:33 6864395</t>
  </si>
  <si>
    <t>Reverses journal BDM-010622-9 Adjustment of journal batch BDM-010622-9 Spreadsheet A 300000031763616 6594278 N from period Dec-21.</t>
  </si>
  <si>
    <t>Reverses BDM-010622-9 Adjustment 02-02-22 18:26:23 6893935</t>
  </si>
  <si>
    <t>Reverses journal CMG-010622-17 Defer AP W/O RMA Approved Adjustment of journal batch CMG-010622-17 Defer AP W/O RMA Approved Spreadsheet A 300000031763616 6589071 N from period Dec-21.</t>
  </si>
  <si>
    <t>Reverses CMG-010622-17 Defer AP W/O RMA Approved Adjustment 02-02-22 15:45:02 6892192</t>
  </si>
  <si>
    <t>Reverses journal BDM-110221-8 Adjustment of journal batch BDM-110221-8 Spreadsheet A 300000031712966 5869187 N from period Oct-21.</t>
  </si>
  <si>
    <t>Reverses BDM-110221-8 Adjustment 31-01-22 18:24:21 6864836</t>
  </si>
  <si>
    <t>Reverses BDM-050621-4 journal entry of BDM-050621-4 06-MAY-2021 07:32:46 batch from APR-21.</t>
  </si>
  <si>
    <t>Reverses "BDM-050621-4"20-JAN-22 13:14:37 - 346649411 EBS OPR A 15329215 6750073 N</t>
  </si>
  <si>
    <t>Reverses CMG-010722-1 Defer PPV for Moonshot Cisco AS Renewal for Yr 2, Ops Rew journal entry of CMG-010722-1 Defer PPV for Moonshot Cisco AS Renewal for Yr 2, Ops Reworking in 07-JAN-2022 09:44:44 batch from DEC-21.</t>
  </si>
  <si>
    <t>Reverses "CMG-010722-1 Defer PPV for Moonshot Cisco AS Renew"27-JAN-22 13:41:32 - 34717625 6835896 N</t>
  </si>
  <si>
    <t>Reverses journal BDM-010922-6 Adjustment of journal batch BDM-010922-6 Spreadsheet A 300000031763616 6625251 N from period Dec-21.</t>
  </si>
  <si>
    <t>Reverses BDM-010922-6 Adjustment 04-02-22 02:06:35 6914391</t>
  </si>
  <si>
    <t>Reverses journal BDM-010922-15 Adjustment of journal batch BDM-010922-15 Spreadsheet A 300000031763616 6625251 N from period Dec-21.</t>
  </si>
  <si>
    <t>Reverses BDM-010922-15 Adjustment 04-02-22 02:29:31 6914746</t>
  </si>
  <si>
    <t>Reverses journal BDM-010922-17 Adjustment of journal batch BDM-010922-17 Spreadsheet A 300000031763616 6625251 N from period Dec-21.</t>
  </si>
  <si>
    <t>Reverses BDM-010922-17 Adjustment 04-02-22 02:17:46 6914647</t>
  </si>
  <si>
    <t>Reverses journal BDM-010922-16 Adjustment of journal batch BDM-010922-16 Spreadsheet A 300000031763616 6625251 N from period Dec-21.</t>
  </si>
  <si>
    <t>Reverses BDM-010922-16 Adjustment 04-02-22 02:24:46 6914711</t>
  </si>
  <si>
    <t>Prelim 9982201 on hold</t>
  </si>
  <si>
    <t>BDM-010622-4 Spreadsheet A 300000031763616 6594278 N</t>
  </si>
  <si>
    <t>P010241744-4, Mod 02 13C</t>
  </si>
  <si>
    <t>Prelim 9982204 on hold</t>
  </si>
  <si>
    <t>BDM-010622-5 Spreadsheet A 300000031763616 6594278 N</t>
  </si>
  <si>
    <t>P010241744-4, Mod 02 13D</t>
  </si>
  <si>
    <t>Federal USMC</t>
  </si>
  <si>
    <t>Order on hold 9843090</t>
  </si>
  <si>
    <t>BDM-010622-13 Spreadsheet A 300000031763616 6594278 N</t>
  </si>
  <si>
    <t>1152490</t>
  </si>
  <si>
    <t>RMA 2081948 on hold</t>
  </si>
  <si>
    <t>BDM-010622-6 Spreadsheet A 300000031763616 6594278 N</t>
  </si>
  <si>
    <t>NGEN Correction</t>
  </si>
  <si>
    <t>Correcting BDM-110321-10 Deferring OPR cost from 57247P, IRS EA - WWT PO setup wrong, to be corrected in November - see email thread with Kim Morris and team</t>
  </si>
  <si>
    <t>BDM-110421-7 04-NOV-2021 11:59:08 EBS OPR A 13597249 5888718 N</t>
  </si>
  <si>
    <t>Releasing portion of BDM-110421-7, remainder of balance to be released when new SO transacts as GP was already recognized</t>
  </si>
  <si>
    <t>BDM-120621-2 06-DEC-2021 07:33:03 EBS OPR A 14439868 6222903 N</t>
  </si>
  <si>
    <t>SO on hold - 9998980</t>
  </si>
  <si>
    <t>BDM-010922-1 09-JAN-2022 14:34:51</t>
  </si>
  <si>
    <t>BDM-020322-36 03-FEB-2022 18:54:25</t>
  </si>
  <si>
    <t>Defer Sales Orders On Hold that Incorrectly Went to DCOGS in Dec-21 (9796205)</t>
  </si>
  <si>
    <t>CMG-010622-6 Defer Sales Orders on Hold - Rev in Jan Spreadsheet A 300000031763616 6586560 N</t>
  </si>
  <si>
    <t>Reverses journal CMG-010622-6 Defer Sales Orders on Hold Adjustment of journal batch CMG-010622-6 Defer Sales Orders on Hold - Rev in Jan Spreadsheet A 300000031763616 6586560 N from period Dec-21.</t>
  </si>
  <si>
    <t>Reverses CMG-010622-6 Defer Sales Orders on Hold Adjustment 24-01-22 20:00:28 6786136</t>
  </si>
  <si>
    <t>Feb-22</t>
  </si>
  <si>
    <t>Reverses journal BDM-020322-36 of journal batch BDM-020322-36 03-FEB-2022 18:54:25 from period Jan-22.</t>
  </si>
  <si>
    <t>Reverses BDM-020322-36 03-03-22 04:54:02 7225596</t>
  </si>
  <si>
    <t>Software accrual for 21P10391 - see template</t>
  </si>
  <si>
    <t>BDM-030422-6 04-MAR-2022 08:15:36 EBS OPR A 16138337 7246308 N</t>
  </si>
  <si>
    <t>Reverses BDM-030422-17 journal entry of BDM-030422-17 04-MAR-2022 12:57:08 batch from FEB-22.</t>
  </si>
  <si>
    <t>Reverses "BDM-030422-17"04-MAR-22 14:30:19 - 349935487 EBS OPR A 16150531 7249452 N</t>
  </si>
  <si>
    <t>Reverses journal BDM-010922-1 of journal batch BDM-010922-1 09-JAN-2022 14:34:51 from period Dec-21.</t>
  </si>
  <si>
    <t>Reverses BDM-010922-1 25-02-22 20:30:39 7159306</t>
  </si>
  <si>
    <t>Reverses journal BDM-010622-13 Adjustment of journal batch BDM-010622-13 Spreadsheet A 300000031763616 6594278 N from period Dec-21.</t>
  </si>
  <si>
    <t>Reverses BDM-010622-13 Adjustment 24-02-22 21:35:08 7148268</t>
  </si>
  <si>
    <t>Releasing portion of BDM-110421-7</t>
  </si>
  <si>
    <t>BDM-021622-1 16-FEB-2022 09:05:01 EBS OPR A 15854046 7072790 N</t>
  </si>
  <si>
    <t>Reverses journal BDM-010622-6 Adjustment of journal batch BDM-010622-6 Spreadsheet A 300000031763616 6594278 N from period Dec-21.</t>
  </si>
  <si>
    <t>Reverses BDM-010622-6 Adjustment 24-02-22 21:37:36 7148283</t>
  </si>
  <si>
    <t>Reverses journal BDM-010622-4 Adjustment of journal batch BDM-010622-4 Spreadsheet A 300000031763616 6594278 N from period Dec-21.</t>
  </si>
  <si>
    <t>Reverses BDM-010622-4 Adjustment 25-02-22 16:03:27 7156853</t>
  </si>
  <si>
    <t>Reverses journal BDM-010622-5 Adjustment of journal batch BDM-010622-5 Spreadsheet A 300000031763616 6594278 N from period Dec-21.</t>
  </si>
  <si>
    <t>Reverses BDM-010622-5 Adjustment 24-02-22 21:38:52 7148287</t>
  </si>
  <si>
    <t>Streamline for PO 154225 -  Federal Navy - Newcomb</t>
  </si>
  <si>
    <t>BDM-020422-3 04-FEB-2022 09:00:13 EBS OPR A 15629076 6921500 N</t>
  </si>
  <si>
    <t>CMG-010622-20 Defer AP W/O RMA Approved Spreadsheet A 300000031763616 6589071 N</t>
  </si>
  <si>
    <t>Streamline for PO 15JPSS21F00001003 (OPR data to justify streamline)</t>
  </si>
  <si>
    <t>BDM-120621-3 06-DEC-2021 07:55:46 EBS OPR A 14439868 6222903 N</t>
  </si>
  <si>
    <t>Reverses BDM-020422-3 journal entry of BDM-020422-3 04-FEB-2022 09:00:13 batch from JAN-22.</t>
  </si>
  <si>
    <t>Reverses "BDM-020422-3"02-MAR-22 12:59:27 - 349759187 EBS OPR A 16102801 7221409 N</t>
  </si>
  <si>
    <t>Reverses journal CMG-010622-20 Defer AP W/O RMA Approved Adjustment of journal batch CMG-010622-20 Defer AP W/O RMA Approved Spreadsheet A 300000031763616 6589071 N from period Dec-21.</t>
  </si>
  <si>
    <t>Reverses CMG-010622-20 Defer AP W/O RMA Approved Adjustment 02-03-22 20:14:06 7219582</t>
  </si>
  <si>
    <t>Reverses BDM-120621-3 journal entry of BDM-120621-3 06-DEC-2021 07:55:46 batch from NOV-21.</t>
  </si>
  <si>
    <t>Reverses "BDM-120621-3"02-MAR-22 16:52:03 - 349776872 EBS OPR A 16106362 7236517 N</t>
  </si>
  <si>
    <t>SO 9882086lines awaiting fufillment</t>
  </si>
  <si>
    <t>BDM-013122-3 31-JAN-2022 12:39:42</t>
  </si>
  <si>
    <t>SO 9882086 lines awaiting fufillment</t>
  </si>
  <si>
    <t>BDM-110221-9 Spreadsheet A 300000031712966 5869187 N</t>
  </si>
  <si>
    <t>Releasing portion of "BDM-110221-9" lines awaiting fulfillment on SO 9882086</t>
  </si>
  <si>
    <t>BDM-120221-16 02-DEC-2021 18:03:27</t>
  </si>
  <si>
    <t>Reverses journal BDM-022822-2 of journal batch BDM-022822-2 28-FEB-2022 12:04:54 from period Feb-22.</t>
  </si>
  <si>
    <t>Reverses BDM-022822-2 03-03-22 04:17:46 7225364</t>
  </si>
  <si>
    <t>BDM-030222-15 02-MAR-2022 22:22:38</t>
  </si>
  <si>
    <t>BDM-022822-2 28-FEB-2022 12:04:54</t>
  </si>
  <si>
    <t>Federal DISA ESSII</t>
  </si>
  <si>
    <t>101.11011.245011.9999.999.999.9999.9999</t>
  </si>
  <si>
    <t>Accrue Dec GS Invoice</t>
  </si>
  <si>
    <t>CMG-010922-1 Accrue Dec GS Invoice 09-JAN-2022 15:48:54 EBS OPR A 15113834 6625041 N</t>
  </si>
  <si>
    <t>Performance Technology Group, Inc.</t>
  </si>
  <si>
    <t>004209</t>
  </si>
  <si>
    <t>Payables A 7195879000001 7195904 N</t>
  </si>
  <si>
    <t>Payables</t>
  </si>
  <si>
    <t>Reverses BDM-030422-6 journal entry of BDM-030422-6 04-MAR-2022 08:15:36 batch from FEB-22.</t>
  </si>
  <si>
    <t>Reverses "BDM-030422-6"04-MAR-22 12:57:10 - 349928122 EBS OPR A 16139893 7248822 N</t>
  </si>
  <si>
    <t>BDM-030422-17 04-MAR-2022 12:57:08 EBS OPR A 16160027 7248951 N</t>
  </si>
  <si>
    <t>Accrue Moonshot AT&amp;T Invoices</t>
  </si>
  <si>
    <t>CMG-010922-2 Accrue Moonshot AT&amp;T Invoices 09-JAN-2022 15:51:18 EBS OPR A 15113834 6625041 N</t>
  </si>
  <si>
    <t>Reverses CMG-010922-2 Accrue Moonshot AT&amp;T Invoices journal entry of CMG-010922-2 Accrue Moonshot AT&amp;T Invoices 09-JAN-2022 15:51:18 batch from DEC-21.</t>
  </si>
  <si>
    <t>Reverses "CMG-010922-2 Accrue Moonshot AT&amp;T Invoices"04-MAR-22 07:31:45 - 349903624 EBS OP 7246308 N</t>
  </si>
  <si>
    <t>Prelim 10008276 on hold</t>
  </si>
  <si>
    <t>BDM-010922-5 Spreadsheet A 300000031763616 6625251 N</t>
  </si>
  <si>
    <t>Prelim 9893523 on hold</t>
  </si>
  <si>
    <t>BDM-010922-8 Spreadsheet A 300000031763616 6625251 N</t>
  </si>
  <si>
    <t>Prelim 9893522 on hold</t>
  </si>
  <si>
    <t>BDM-010922-7 Spreadsheet A 300000031763616 6625251 N</t>
  </si>
  <si>
    <t>SO 9908929 on hold Eldridge, Dawn - UNRECOVERED HIT</t>
  </si>
  <si>
    <t>BDM-110221-23 Spreadsheet A 300000031712966 5869187 N</t>
  </si>
  <si>
    <t>Accrual for PO 5500008094, Federal Intel Aerospace</t>
  </si>
  <si>
    <t>BDM-030322-16 03-MAR-2022 22:49:03 EBS OPR A 16138337 7246308 N</t>
  </si>
  <si>
    <t>Reverses journal BDM-010922-5 Adjustment of journal batch BDM-010922-5 Spreadsheet A 300000031763616 6625251 N from period Dec-21.</t>
  </si>
  <si>
    <t>Reverses BDM-010922-5 Adjustment 08-03-22 17:28:36 7296418</t>
  </si>
  <si>
    <t>Reverses journal BDM-110221-23 Adjustment of journal batch BDM-110221-23 Spreadsheet A 300000031712966 5869187 N from period Oct-21.</t>
  </si>
  <si>
    <t>Reverses BDM-110221-23 Adjustment 08-03-22 17:53:52 7296571</t>
  </si>
  <si>
    <t>Reverses journal BDM-010922-7 Adjustment of journal batch BDM-010922-7 Spreadsheet A 300000031763616 6625251 N from period Dec-21.</t>
  </si>
  <si>
    <t>Reverses BDM-010922-7 Adjustment 08-03-22 17:50:52 7296547</t>
  </si>
  <si>
    <t>Reverses BDM-030322-16 journal entry of BDM-030322-16 03-MAR-2022 22:49:03 batch from FEB-22.</t>
  </si>
  <si>
    <t>Reverses "BDM-030322-16"29-MAR-22 14:45:27 - 351845187 EBS OPR A 16647983 7523693 N</t>
  </si>
  <si>
    <t>Reverses journal BDM-010922-8 Adjustment of journal batch BDM-010922-8 Spreadsheet A 300000031763616 6625251 N from period Dec-21.</t>
  </si>
  <si>
    <t>Reverses BDM-010922-8 Adjustment 08-03-22 17:51:37 7296553</t>
  </si>
  <si>
    <t>AT&amp;T</t>
  </si>
  <si>
    <t>INV-0000566636</t>
  </si>
  <si>
    <t>Take to PL - Reverse today</t>
  </si>
  <si>
    <t>Payables A 6910809000001 6910841 N</t>
  </si>
  <si>
    <t>Streamline for Palm Beach - SO 9981826</t>
  </si>
  <si>
    <t>BDM-011022-5 10-JAN-2022 07:46:24 EBS OPR A 15135418 6631466 N</t>
  </si>
  <si>
    <t>BDM-020322-40 03-FEB-2022 19:50:14</t>
  </si>
  <si>
    <t>BDM-030422-9 04-MAR-2022 09:24:17 EBS OPR A 16139068 7247309 N</t>
  </si>
  <si>
    <t>Reclassing AP invoice INV-0000566636 to PL</t>
  </si>
  <si>
    <t>BDM-033122-1 31-MAR-2022 09:21:12 EBS OPR A 16677935 7549652 N</t>
  </si>
  <si>
    <t>BDM-032922-8 29-MAR-2022 14:25:05 EBS OPR A 16647983 7523693 N</t>
  </si>
  <si>
    <t>Streamline for PO 1CDATA-21-C-0075 (OPR transactions to justify streamline) - can we release 150K</t>
  </si>
  <si>
    <t>BDM-120621-4 06-DEC-2021 08:42:36 EBS OPR A 14478610 6223697 N</t>
  </si>
  <si>
    <t>Reclassing streamline balance to correct PL - 1CDATA-21-C-0075</t>
  </si>
  <si>
    <t>BDM-031522-1 15-MAR-2022 09:28:40</t>
  </si>
  <si>
    <t>Jun-21</t>
  </si>
  <si>
    <t>Streamline for W91RUS21F0058 - remaining negative GP is slotted for JUL-22 per BL</t>
  </si>
  <si>
    <t>BDM-070721-2 07-JUL-2021 06:30:17 EBS OPR A 10987626 4648191 N</t>
  </si>
  <si>
    <t>Aug-21</t>
  </si>
  <si>
    <t>Releasing cost for W91RUS21F0058 Streamline</t>
  </si>
  <si>
    <t>BDM-090721-6 07-SEP-2021 05:48:51 EBS OPR A 12206354 5291105 N</t>
  </si>
  <si>
    <t>BDM-110221-2 02-NOV-2021 13:53:48 EBS OPR A 13556249 5868115 N</t>
  </si>
  <si>
    <t>BDM-120621-1 06-DEC-2021 07:04:40 EBS OPR A 14439868 6222903 N</t>
  </si>
  <si>
    <t>Release Portion of Streamline</t>
  </si>
  <si>
    <t>CMG-010922-4 Release Portion of Streamline 09-JAN-2022 16:04:47 EBS OPR A 15113834 6625041 N</t>
  </si>
  <si>
    <t>BDM-020322-21 03-FEB-2022 12:25:59 EBS OPR A 15616275 6915561 N</t>
  </si>
  <si>
    <t>BDM-030222-13 02-MAR-2022 16:44:47 EBS OPR A 16106362 7236517 N</t>
  </si>
  <si>
    <t>BDM-040622-6 06-APR-2022 07:33:45 EBS OPR A 16801730 7625950 N</t>
  </si>
  <si>
    <t>101.13001.245011.9999.207.999.9999.9999</t>
  </si>
  <si>
    <t>Prelim 10075141 on hold - Amey (reversed in April)</t>
  </si>
  <si>
    <t>BDM-020322-41 03-FEB-2022 20:10:16</t>
  </si>
  <si>
    <t>Deferring CUB 2083478 - reversed in April</t>
  </si>
  <si>
    <t>BDM-030422-7 04-MAR-2022 08:29:34 EBS OPR A 16138337 7246308 N</t>
  </si>
  <si>
    <t>RMA 2102110on hold</t>
  </si>
  <si>
    <t>BDM-040422-5 04-APR-2022 12:48:41</t>
  </si>
  <si>
    <t>SO 9890565 awaiting fufillment</t>
  </si>
  <si>
    <t>BDM-110221-25 Spreadsheet A 300000031712966 5869187 N</t>
  </si>
  <si>
    <t>Deferring SO 9882212 / Cust PO 106360-3 - Order setup issue, should not be recognzied - Four points gave us PO indicating we can invoice</t>
  </si>
  <si>
    <t>BDM-040522-16 05-APR-2022 21:07:44 EBS OPR A 16801730 7625950 N</t>
  </si>
  <si>
    <t>Prelim 10118545on hold</t>
  </si>
  <si>
    <t>BDM-040522-7 05-APR-2022 08:35:18</t>
  </si>
  <si>
    <t>Reverses journal BDM-040422-5 of journal batch BDM-040422-5 04-APR-2022 12:48:41 from period Mar-22.</t>
  </si>
  <si>
    <t>Reverses BDM-040422-5 22-04-22 20:01:40 7807496</t>
  </si>
  <si>
    <t>Reverses BDM-040522-16 journal entry of BDM-040522-16 05-APR-2022 21:07:44 batch from MAR-22.</t>
  </si>
  <si>
    <t>Reverses "BDM-040522-16"03-MAY-22 14:01:33 - 354496773 EBS OPR A 17429488 7937391 N</t>
  </si>
  <si>
    <t>Reverses journal BDM-020322-41 of journal batch BDM-020322-41 03-FEB-2022 20:10:16 from period Jan-22.</t>
  </si>
  <si>
    <t>Reverses BDM-020322-41 04-05-22 22:44:30 7949300</t>
  </si>
  <si>
    <t>Reverses journal BDM-040522-7 of journal batch BDM-040522-7 05-APR-2022 08:35:18 from period Mar-22.</t>
  </si>
  <si>
    <t>Reverses BDM-040522-7 04-05-22 22:45:34 7949320</t>
  </si>
  <si>
    <t>Reverses journal BDM-110221-25 Adjustment of journal batch BDM-110221-25 Spreadsheet A 300000031712966 5869187 N from period Oct-21.</t>
  </si>
  <si>
    <t>Reverses BDM-110221-25 Adjustment 23-04-22 16:17:55 7815862</t>
  </si>
  <si>
    <t>Reverses BDM-030422-7 journal entry of BDM-030422-7 04-MAR-2022 08:29:34 batch from FEB-22.</t>
  </si>
  <si>
    <t>Reverses "BDM-030422-7"29-MAR-22 14:46:38 - 351845263 EBS OPR A 16849044 7688077 N</t>
  </si>
  <si>
    <t>Sep-21</t>
  </si>
  <si>
    <t>SO 9838991 awaiting fufillment</t>
  </si>
  <si>
    <t>BDM-100621-18 06-OCT-2021 13:09:30</t>
  </si>
  <si>
    <t>Releasing portion of BDM-100621-18 for lines "awaiting fufillment" on SO 9838991</t>
  </si>
  <si>
    <t>BDM-013122-2 31-JAN-2022 12:34:16</t>
  </si>
  <si>
    <t>1150799</t>
  </si>
  <si>
    <t>BDM-042222-2 22-APR-2022 14:56:59</t>
  </si>
  <si>
    <t>Clearing out $0.02 balance from timing to PL</t>
  </si>
  <si>
    <t>BDM-021422-1 14-FEB-2022 17:09:49 EBS OPR A 15854046 7072790 N</t>
  </si>
  <si>
    <t>101.11024.245011.9999.207.999.9999.9999</t>
  </si>
  <si>
    <t>SO 10049725 on hold</t>
  </si>
  <si>
    <t>BDM-020322-38 03-FEB-2022 19:34:09</t>
  </si>
  <si>
    <t>R-00666999</t>
  </si>
  <si>
    <t>101.11024.245011.9999.950.999.9999.9999</t>
  </si>
  <si>
    <t>SO 9982201 on hold</t>
  </si>
  <si>
    <t>BDM-020322-37 03-FEB-2022 19:02:57</t>
  </si>
  <si>
    <t>Re-deferring SO's 9893523 and 9893522 for additional 30 days</t>
  </si>
  <si>
    <t>BDM-040622-20 06-APR-2022 12:58:22</t>
  </si>
  <si>
    <t>SO 10170500 on hold - Federal Army Enterprise - Heuer</t>
  </si>
  <si>
    <t>BDM-040422-2 04-APR-2022 11:56:18</t>
  </si>
  <si>
    <t>SO 10094921 on hold - Federal VA - Dick</t>
  </si>
  <si>
    <t>BDM-040422-8 04-APR-2022 23:26:38</t>
  </si>
  <si>
    <t>Prelim 10125205 on hold - SLED East - Dunn</t>
  </si>
  <si>
    <t>BDM-040522-1 05-APR-2022 07:15:44</t>
  </si>
  <si>
    <t>Deferring cost only lines on PO C5-20-1005C - Shelly and team created an RMA to offset correct original SO, asked Shelly for update to when this will close out</t>
  </si>
  <si>
    <t>BDM-030422-5 04-MAR-2022 07:59:50 EBS OPR A 16138337 7246308 N</t>
  </si>
  <si>
    <t>Accruing in Cisco CM 6101138930 - WWTINCSAAS752, 5500007778</t>
  </si>
  <si>
    <t>BDM-050422-3 04-MAY-2022 10:09:19 EBS OPR A 17464716 7945809 N</t>
  </si>
  <si>
    <t>SO 9820141awaiting fufillment</t>
  </si>
  <si>
    <t>BDM-100621-21 06-OCT-2021 13:14:43</t>
  </si>
  <si>
    <t>SO 9820141lines awaiting fulfillment</t>
  </si>
  <si>
    <t>BDM-120221-3 02-DEC-2021 12:52:29</t>
  </si>
  <si>
    <t>Reverses journal BDM-020322-38 of journal batch BDM-020322-38 03-FEB-2022 19:34:09 from period Jan-22.</t>
  </si>
  <si>
    <t>Reverses BDM-020322-38 16-05-22 16:05:58 8084560</t>
  </si>
  <si>
    <t>Reverses journal BDM-120221-3 of journal batch BDM-120221-3 02-DEC-2021 12:52:29 from period Nov-21.</t>
  </si>
  <si>
    <t>Reverses BDM-120221-3 05-06-22 23:01:50 8320330</t>
  </si>
  <si>
    <t>Reverses journal BDM-100621-21 of journal batch BDM-100621-21 06-OCT-2021 13:14:43 from period Sep-21.</t>
  </si>
  <si>
    <t>Reverses BDM-100621-21 05-06-22 23:02:42 8320340</t>
  </si>
  <si>
    <t>Reverses BDM-050422-3 journal entry of BDM-050422-3 04-MAY-2022 10:09:19 batch from APR-22.</t>
  </si>
  <si>
    <t>Reverses "BDM-050422-3"27-MAY-22 11:57:51 - 356338195 EBS OPR A 17927410 8206555 N</t>
  </si>
  <si>
    <t>Reverses BDM-030422-5 journal entry of BDM-030422-5 04-MAR-2022 07:59:50 batch from FEB-22.</t>
  </si>
  <si>
    <t>Reverses "BDM-030422-5"25-MAY-22 07:14:25 - 356151376 EBS OPR A 17927410 8206555 N</t>
  </si>
  <si>
    <t>Reclassing $0.02 to correct account</t>
  </si>
  <si>
    <t>BDM-052722-1 27-MAY-2022 12:35:49</t>
  </si>
  <si>
    <t>Reverses journal BDM-020322-37 of journal batch BDM-020322-37 03-FEB-2022 19:02:57 from period Jan-22.</t>
  </si>
  <si>
    <t>Reverses BDM-020322-37 16-05-22 16:04:46 8084554</t>
  </si>
  <si>
    <t>Reverses journal BDM-040422-8 of journal batch BDM-040422-8 04-APR-2022 23:26:38 from period Mar-22.</t>
  </si>
  <si>
    <t>Reverses BDM-040422-8 16-05-22 16:11:17 8084596</t>
  </si>
  <si>
    <t>Reverses journal BDM-040522-1 of journal batch BDM-040522-1 05-APR-2022 07:15:44 from period Mar-22.</t>
  </si>
  <si>
    <t>Reverses BDM-040522-1 16-05-22 16:12:33 8084607</t>
  </si>
  <si>
    <t>Reverses journal BDM-040422-2 of journal batch BDM-040422-2 04-APR-2022 11:56:18 from period Mar-22.</t>
  </si>
  <si>
    <t>Reverses BDM-040422-2 16-05-22 16:09:59 8084585</t>
  </si>
  <si>
    <t>Reverses journal BDM-040622-20 of journal batch BDM-040622-20 06-APR-2022 12:58:22 from period Mar-22.</t>
  </si>
  <si>
    <t>Reverses BDM-040622-20 05-05-22 12:49:02 7957617</t>
  </si>
  <si>
    <t>Timing - issue research needed</t>
  </si>
  <si>
    <t>REVERSED 6/28/22 Deferring cost on PO 156956 - order booked incorrectly, needs correction - missing info last month to get correct margin needed to perform streamline, 600K Delta in Margin, still negotiating last piece of deal, can fill out template with all info less the 600K potential upside in GP - will need to account for reversals within template figures</t>
  </si>
  <si>
    <t>BDM-040522-10 05-APR-2022 13:39:58 EBS OPR A 16777661 7619562 N</t>
  </si>
  <si>
    <t>BDM-050322-18 03-MAY-2022 15:27:35 EBS OPR A 17429932 7938385 N</t>
  </si>
  <si>
    <t>BDM-060522-38 05-JUN-2022 21:59:26 EBS OPR A 18091846 8322753 N</t>
  </si>
  <si>
    <t>Reverses BDM-050322-18 journal entry of BDM-050322-18 03-MAY-2022 15:27:35 batch from APR-22.</t>
  </si>
  <si>
    <t>Reverses "BDM-050322-18"28-JUN-22 15:53:52 - 358834771 EBS OPR A 18851446 8580487 N</t>
  </si>
  <si>
    <t>Reverses BDM-060522-38 journal entry of BDM-060522-38 05-JUN-2022 21:59:26 batch from MAY-22.</t>
  </si>
  <si>
    <t>Reverses "BDM-060522-38"28-JUN-22 15:54:51 - 358834848 EBS OPR A 18851446 8580487 N</t>
  </si>
  <si>
    <t>Reverses BDM-040522-10 journal entry of BDM-040522-10 05-APR-2022 13:39:58 batch from MAR-22.</t>
  </si>
  <si>
    <t>Reverses "BDM-040522-10"28-JUN-22 15:52:10 - 358834626 EBS OPR A 18851446 8580487 N</t>
  </si>
  <si>
    <t>Awaiting fufillment</t>
  </si>
  <si>
    <t>SO 9832972awaiting fufillment</t>
  </si>
  <si>
    <t>BDM-100621-19 06-OCT-2021 13:11:18</t>
  </si>
  <si>
    <t>SO 9832972awaiting fufillment - releasing part of BDM-100621-19</t>
  </si>
  <si>
    <t>BDM-110221-15 Spreadsheet A 300000031712966 5869187 N</t>
  </si>
  <si>
    <t>SO 9832972 awaiting fufillment - releasing part of BDM-100621-19</t>
  </si>
  <si>
    <t>BDM-013122-4 31-JAN-2022 12:55:34</t>
  </si>
  <si>
    <t>Timing - Finder's Fee</t>
  </si>
  <si>
    <t>Reversed in July BDM-060522-36 7/19/22 Finder's Fee accrual - SO 9874442</t>
  </si>
  <si>
    <t>BDM-060522-36 05-JUN-2022 21:38:39 EBS OPR A 18091846 8322753 N</t>
  </si>
  <si>
    <t>Jul-22</t>
  </si>
  <si>
    <t>Reverses BDM-060522-36 journal entry of BDM-060522-36 05-JUN-2022 21:38:39 batch from MAY-22.</t>
  </si>
  <si>
    <t>Reverses "BDM-060522-36"19-JUL-22 16:20:13 - 360435677 EBS OPR A 19298577 8837785 N</t>
  </si>
  <si>
    <t>Timing - Streamline Denver International Airport PO-00107191</t>
  </si>
  <si>
    <t>Streamline for PO-00107191, 9986669 - SLED PSW - Kroack</t>
  </si>
  <si>
    <t>BDM-011022-6 10-JAN-2022 07:50:39 EBS OPR A 15135418 6631466 N</t>
  </si>
  <si>
    <t>Reverses BDM-011022-6 journal entry of BDM-011022-6 10-JAN-2022 07:50:39 batch from DEC-21.</t>
  </si>
  <si>
    <t>Reverses ""BDM-011022-6""03-AUG-22 20:27:26 - 361671329 EBS OPR A 19621690 9007810 N</t>
  </si>
  <si>
    <t>Reverses CDW-080322-5 Reclass to SLED - House SC SO 10325392 journal entry of CDW-080322-5 Reclass to SLED - House SC SO 10325392 03-AUG-2022 12:56:03 batch from JUL-22.</t>
  </si>
  <si>
    <t>Reverses ""CDW-080322-5 Reclass to SLED - House SC SO 1032539""04-AUG-22 09:45:22 - 36171579 9014275 N</t>
  </si>
  <si>
    <t>Reclass to SLED - House SC SO 10325392</t>
  </si>
  <si>
    <t>CDW-080322-5 Reclass to SLED - House SC SO 10325392 03-AUG-2022 12:56:03 EBS OPR A 1960491 9002583 N</t>
  </si>
  <si>
    <t>Timing - AP write off</t>
  </si>
  <si>
    <t>Defer AP W/O RMA Approved - will reverse to 502550 - may start taking some of this hit in June</t>
  </si>
  <si>
    <t>CMG-010622-18 Defer AP W/O RMA Approved Spreadsheet A 300000031763616 6589071 N</t>
  </si>
  <si>
    <t>Releasing portion of "CMG-010622-18"</t>
  </si>
  <si>
    <t>BDM-020222-1 02-FEB-2022 09:55:51</t>
  </si>
  <si>
    <t>BDM-030222-12 02-MAR-2022 14:24:21</t>
  </si>
  <si>
    <t>CMG-010622-19 Defer AP W/O RMA Approved Spreadsheet A 300000031763616 6589071 N</t>
  </si>
  <si>
    <t>Timing - AP write off for Federal Air Force</t>
  </si>
  <si>
    <t>CDW-070622-7 Timing - AP write off for Federal Air Force</t>
  </si>
  <si>
    <t>Reverses journal BDM-030222-12 of journal batch BDM-030222-12 02-MAR-2022 14:24:21 from period Feb-22.</t>
  </si>
  <si>
    <t>Reverses BDM-030222-12 26-08-22 18:46:18 9270604</t>
  </si>
  <si>
    <t>Reverses journal CMG-010622-19 Defer AP W/O RMA Approved Adjustment of journal batch CMG-010622-19 Defer AP W/O RMA Approved Spreadsheet A 300000031763616 6589071 N from period Dec-21.</t>
  </si>
  <si>
    <t>Reverses CMG-010622-19 Defer AP W/O RMA Approved Adjustment 26-08-22 18:43:41 9270586</t>
  </si>
  <si>
    <t>Reverses journal CMG-010622-18 Defer AP W/O RMA Approved Adjustment of journal batch CMG-010622-18 Defer AP W/O RMA Approved Spreadsheet A 300000031763616 6589071 N from period Dec-21.</t>
  </si>
  <si>
    <t>Reverses CMG-010622-18 Defer AP W/O RMA Approved Adjustment 26-08-22 18:42:12 9270579</t>
  </si>
  <si>
    <t>Reverses journal BDM-020222-1 of journal batch BDM-020222-1 02-FEB-2022 09:55:51 from period Jan-22.</t>
  </si>
  <si>
    <t>Reverses BDM-020222-1 26-08-22 18:45:08 9270594</t>
  </si>
  <si>
    <t>Reverses journal CDW-070622-7 Timing - AP write off for Federal Air Force of journal batch CDW-070622-7 Timing - AP write off for Federal Air Force from period Jun-22.</t>
  </si>
  <si>
    <t>Reverses CDW-070622-7 Timing - AP write off for Federal Air F 26-08-22 18:47:44 9270610</t>
  </si>
  <si>
    <t xml:space="preserve">Ops issue - follow up </t>
  </si>
  <si>
    <t>CDW-070622-2 Defer SO 10345489 needs to be reworked, Emailed team 8/18/2022</t>
  </si>
  <si>
    <t>CDW-070622-2 Defer SO 10345489 needs to be reworked 06-JUL-2022 13:33:23 EBS OPR A 1900149 8681635 N</t>
  </si>
  <si>
    <t>Reverses CDW-070622-2 Defer SO 10345489 needs to be reworked journal entry of CDW-070622-2 Defer SO 10345489 needs to be reworked 06-JUL-2022 13:33:23 batch from JUN-22.</t>
  </si>
  <si>
    <t>Reverses ""CDW-070622-2 Defer SO 10345489 needs to be reworke""22-AUG-22 15:16:19 - 36315352 9223794 N</t>
  </si>
  <si>
    <t>Reversed in Aug - Awaiting fufillment</t>
  </si>
  <si>
    <t>SO 9796205 lines 1-5 awaiting fufillment</t>
  </si>
  <si>
    <t>BDM-090621-11 06-SEP-2021 15:55:36</t>
  </si>
  <si>
    <t>Reverses journal BDM-090621-11 of journal batch BDM-090621-11 06-SEP-2021 15:55:36 from period Aug-21.</t>
  </si>
  <si>
    <t>Reverses BDM-090621-11 05-08-22 19:53:05 9032995</t>
  </si>
  <si>
    <t>Reversed in August - Timing - Streamline United States Postal Service 1CDATA-21-C-0075</t>
  </si>
  <si>
    <t>Streamline for PO 1CDATA-21-C-0075 (OPR transactions to justify streamline)</t>
  </si>
  <si>
    <t>BDM-040522-8 05-APR-2022 12:10:27 EBS OPR A 16777661 7619562 N</t>
  </si>
  <si>
    <t>Reverses BDM-040522-8 journal entry of BDM-040522-8 05-APR-2022 12:10:27 batch from MAR-22.</t>
  </si>
  <si>
    <t>Reverses ""BDM-040522-8""17-AUG-22 09:44:56 - 362747708 EBS OPR A 20101701 9223794 N</t>
  </si>
  <si>
    <t>SO 9888026 awaiting fufillment</t>
  </si>
  <si>
    <t>BDM-110221-20 Spreadsheet A 300000031712966 5869187 N</t>
  </si>
  <si>
    <t>Reverses journal BDM-110221-20 Adjustment of journal batch BDM-110221-20 Spreadsheet A 300000031712966 5869187 N from period Oct-21.</t>
  </si>
  <si>
    <t>Reverses BDM-110221-20 Adjustment 17-08-22 20:25:50 9171326</t>
  </si>
  <si>
    <t>Timing - Streamline St. Louis Community College MO P2201998</t>
  </si>
  <si>
    <t>Streamline for P2201998 (template received from Sydney)</t>
  </si>
  <si>
    <t>BDM-120621-9 06-DEC-2021 10:03:10 EBS OPR A 14490946 6225790 N</t>
  </si>
  <si>
    <t>Streamline for P2201998 (template recieved from Sydney)</t>
  </si>
  <si>
    <t>BDM-030422-10 04-MAR-2022 10:13:57 EBS OPR A 16139068 7247309 N</t>
  </si>
  <si>
    <t>BDM-040622-4 06-APR-2022 07:07:47 EBS OPR A 16801730 7625950 N</t>
  </si>
  <si>
    <t>Reclass to SLED - House SO 10325392</t>
  </si>
  <si>
    <t>CDW-080422-1 Reclass to SLED - House SO 10325392 04-AUG-2022 09:57:29 EBS OPR A 19640957 9014462 N</t>
  </si>
  <si>
    <t>CDW-080322-9 Defer RecVue Adj to release in August</t>
  </si>
  <si>
    <t>Reverses journal CDW-080322-9 Defer RecVue Adj to release in August of journal batch CDW-080322-9 Defer RecVue Adj to release in August from period Jul-22.</t>
  </si>
  <si>
    <t>Reverses CDW-080322-9 Defer RecVue Adj to release in August 05-08-22 20:28:03 9033281</t>
  </si>
  <si>
    <t>Reverses BDM-040622-4 journal entry of BDM-040622-4 06-APR-2022 07:07:47 batch from MAR-22.</t>
  </si>
  <si>
    <t>Reverses ""BDM-040622-4""06-SEP-22 10:47:41 - 364318333 EBS OPR A 20471997 9409625 N</t>
  </si>
  <si>
    <t>Reverse Reclass from SLED - Danny Wynn</t>
  </si>
  <si>
    <t>CDW-083022-3 Reverse Reclass from SLED - Danny Wynn 30-AUG-2022 23:27:15 EBS OPR A 2034200 9331691 N</t>
  </si>
  <si>
    <t>Reverses BDM-030422-10 journal entry of BDM-030422-10 04-MAR-2022 10:13:57 batch from FEB-22.</t>
  </si>
  <si>
    <t>Reverses ""BDM-030422-10""06-SEP-22 10:47:08 - 364318297 EBS OPR A 20471997 9409625 N</t>
  </si>
  <si>
    <t>Reverses BDM-120621-9 journal entry of BDM-120621-9 06-DEC-2021 10:03:10 batch from NOV-21.</t>
  </si>
  <si>
    <t>Reverses ""BDM-120621-9""06-SEP-22 10:46:23 - 364318264 EBS OPR A 20471997 9409625 N</t>
  </si>
  <si>
    <t>Emailed team 7/15 CDW Following up with Molly B of missing SAAS Rev 900k</t>
  </si>
  <si>
    <t>Reverse Portion of CMG-070622-11</t>
  </si>
  <si>
    <t>CMG-070722-10 Reverse Portion of CMG-070622-11 07-JUL-2022 10:33:38 EBS OPR A 19008128 8693258 N</t>
  </si>
  <si>
    <t>Defer RecVue Cost Pending Confirmation of Revenue - Rev in July</t>
  </si>
  <si>
    <t>CMG-070622-11 Defer RecVue Cost Pending Confirmation of Revenue - Rev in July 06-JUL-2022  8685363 N</t>
  </si>
  <si>
    <t>Reverses CMG-070622-11 Defer RecVue Cost Pending Confirmation of Revenue - Rev  journal entry of CMG-070622-11 Defer RecVue Cost Pending Confirmation of Revenue - Rev in July 06-JUL-2022 20:57:57 batch from JUN-22.</t>
  </si>
  <si>
    <t>Reverses ""CMG-070622-11 Defer RecVue Cost Pending Confirmati""06-SEP-22 22:06:09 - 36436031 9416128 N</t>
  </si>
  <si>
    <t>Reverses CMG-070722-10 Reverse Portion of CMG-070622-11 journal entry of CMG-070722-10 Reverse Portion of CMG-070622-11 07-JUL-2022 10:33:38 batch from JUN-22.</t>
  </si>
  <si>
    <t>Reverses ""CMG-070722-10 Reverse Portion of CMG-070622-11""06-SEP-22 22:06:47 - 364360347 EB 9416128 N</t>
  </si>
  <si>
    <t>Defer Palmbeach cost to timing IUB's in August</t>
  </si>
  <si>
    <t>CDW-080422-3 Defer Palmbeach cost to timing IUB's in August 04-AUG-2022 10:24:34 EBS OPR A 9015129 N</t>
  </si>
  <si>
    <t>Reverses CDW-080422-3 Defer Palmbeach cost to timing IUB's in August journal entry of CDW-080422-3 Defer Palmbeach cost to timing IUB's in August 04-AUG-2022 10:24:34 batch from JUL-22.</t>
  </si>
  <si>
    <t>Reverses ""CDW-080422-3 Defer Palmbeach cost to timing IUB's ""15-AUG-22 15:20:36 - 36259948 9159443 N</t>
  </si>
  <si>
    <t>Default</t>
  </si>
  <si>
    <t>101.99999.245011.9999.999.999.9999.9999</t>
  </si>
  <si>
    <t>Reversed in September Needs to be reversed</t>
  </si>
  <si>
    <t>Accrue Tampa Bay Arena, LLC Invoices</t>
  </si>
  <si>
    <t>SAH-090722-10 Spreadsheet A 300000031705585 9422594 N</t>
  </si>
  <si>
    <t>Reverses journal SAH-090722-10 WWT Accrual Auto Rev of journal batch SAH-090722-10 Spreadsheet A 300000031705585 9422594 N from period Aug-22.</t>
  </si>
  <si>
    <t>Accrue INV0045914 &amp; INV0045915</t>
  </si>
  <si>
    <t>Reverses SAH-090722-10 WWT Accrual Auto Rev 07-09-22 22:00:20 9412092</t>
  </si>
  <si>
    <t>101.11003.245011.9999.204.999.9999.9999</t>
  </si>
  <si>
    <t>Timing - Emailed Shelly 9/23. Release SO will reverse in September</t>
  </si>
  <si>
    <t>SO 10197703 on hold</t>
  </si>
  <si>
    <t>CDW-090622-5 SO 10197703 on hold</t>
  </si>
  <si>
    <t>Fort Dix MEPS:</t>
  </si>
  <si>
    <t>Reverses journal CDW-090622-5 SO 10197703 on hold of journal batch CDW-090622-5 SO 10197703 on hold from period Aug-22.</t>
  </si>
  <si>
    <t>Reverses CDW-090622-5 SO 10197703 on hold 29-09-22 14:18:28 9744392</t>
  </si>
  <si>
    <t>PO00203</t>
  </si>
  <si>
    <t>Reversed in September AP Write off - Credit in September ok to reverse</t>
  </si>
  <si>
    <t>AP Inv write off PO 4036815 APINVD0056031</t>
  </si>
  <si>
    <t>CDW-090522-2 AP Inv write off PO 4036815 APINVD0056031</t>
  </si>
  <si>
    <t>Reverses journal CDW-090522-2 AP Inv write off PO 4036815 APINVD0056031 of journal batch CDW-090522-2 AP Inv write off PO 4036815 APINVD0056031 from period Aug-22.</t>
  </si>
  <si>
    <t>Reverses CDW-090522-2 AP Inv write off PO 4036815 APINVD00560 04-10-22 04:21:10 9824716</t>
  </si>
  <si>
    <t>Reversed in September</t>
  </si>
  <si>
    <t>WWTINCSAAS436 INV # 6101255650</t>
  </si>
  <si>
    <t>CDW-090822-1 WWTINCSAAS436 INV # 6101255650 08-SEP-2022 10:55:18 EBS OPR A 20519387 9438062 N</t>
  </si>
  <si>
    <t>Reverses CDW-090822-1 WWTINCSAAS436 INV # 6101255650 journal entry of CDW-090822-1 WWTINCSAAS436 INV # 6101255650 08-SEP-2022 10:55:18 batch from AUG-22.</t>
  </si>
  <si>
    <t>Reverses ""CDW-090822-1 WWTINCSAAS436 INV # 6101255650""15-SEP-22 15:51:41 - 365072435 EBS O 9619499 N</t>
  </si>
  <si>
    <t>AP Write off by October</t>
  </si>
  <si>
    <t>Defer AP Write off Federal Airforce</t>
  </si>
  <si>
    <t>CDW-100322-20 Defer AP Write off Federal Airforce</t>
  </si>
  <si>
    <t>CDW-110222-7 Defer AP Write off Federal Air force</t>
  </si>
  <si>
    <t>Defer AP Write off Federal Air force</t>
  </si>
  <si>
    <t>Timing - Streamline PO746563</t>
  </si>
  <si>
    <t>Streamline accrual for PO PO746563 - justified by OPR</t>
  </si>
  <si>
    <t>BDM-030322-1 03-MAR-2022 09:03:41 EBS OPR A 16106362 7236517 N</t>
  </si>
  <si>
    <t>Streamline for PO746563 Federal Army Enterprise - Tsao</t>
  </si>
  <si>
    <t>CDW-100422-1 Streamline for PO746563 Federal Army Enterprise - Tsao 04-OCT-2022 10:53:23 E 9843798 N</t>
  </si>
  <si>
    <t>Reverses CDW-100422-1 Streamline for PO746563 Federal Army Enterprise - Tsao journal entry of CDW-100422-1 Streamline for PO746563 Federal Army Enterprise - Tsao 04-OCT-2022 10:53:23 batch from SEP-22.</t>
  </si>
  <si>
    <t>Reverses ""CDW-100422-1 Streamline for PO746563 Federal Army ""02-NOV-22 11:57:42 - 3688254 10375044 N</t>
  </si>
  <si>
    <t>Reverses BDM-030322-1 journal entry of BDM-030322-1 03-MAR-2022 09:03:41 batch from FEB-22.</t>
  </si>
  <si>
    <t>Reverses ""BDM-030322-1""02-NOV-22 11:57:00 - 368825393 EBS OPR A 22068164 10375044 N</t>
  </si>
  <si>
    <t>Timing - Streamline Red River Technology LLC PO # 21P10391</t>
  </si>
  <si>
    <t>BDM-030422-19 04-MAR-2022 14:30:38 EBS OPR A 16150531 7249452 N</t>
  </si>
  <si>
    <t>Streamline for Software accrual for 21P10391 - see template</t>
  </si>
  <si>
    <t>BDM-050522-6 05-MAY-2022 08:15:23 EBS OPR A 17448866 7957922 N</t>
  </si>
  <si>
    <t>BDM-060622-8 06-JUN-2022 07:34:34 EBS OPR A 18116159 8327777 N</t>
  </si>
  <si>
    <t>Releasing portion of PO 21P10391 Federal VA - Dick</t>
  </si>
  <si>
    <t>CDW-100522-9 Releasing portion of PO 21P10391 Federal VA - Dick 05-OCT-2022 16:29:41 EBS O 9861933 N</t>
  </si>
  <si>
    <t>Reverses CDW-100522-9 Releasing portion of PO 21P10391 Federal VA - Dick journal entry of CDW-100522-9 Releasing portion of PO 21P10391 Federal VA - Dick 05-OCT-2022 16:29:41 batch from SEP-22.</t>
  </si>
  <si>
    <t>Reverses ""CDW-100522-9 Releasing portion of PO 21P10391 Fede""01-NOV-22 14:47:57 - 3687449 10383182 N</t>
  </si>
  <si>
    <t>Reverses BDM-060622-8 journal entry of BDM-060622-8 06-JUN-2022 07:34:34 batch from MAY-22.</t>
  </si>
  <si>
    <t>Reverses ""BDM-060622-8""01-NOV-22 14:47:21 - 368744946 EBS OPR A 22054121 10383182 N</t>
  </si>
  <si>
    <t>Reverses BDM-050522-6 journal entry of BDM-050522-6 05-MAY-2022 08:15:23 batch from APR-22.</t>
  </si>
  <si>
    <t>Reverses ""BDM-050522-6""01-NOV-22 14:46:46 - 368744893 EBS OPR A 22054121 10383182 N</t>
  </si>
  <si>
    <t>Reverses BDM-030422-19 journal entry of BDM-030422-19 04-MAR-2022 14:30:38 batch from FEB-22.</t>
  </si>
  <si>
    <t>Reverses ""BDM-030422-19""01-NOV-22 14:45:56 - 368744829 EBS OPR A 22054121 10383182 N</t>
  </si>
  <si>
    <t>Ops issue</t>
  </si>
  <si>
    <t>Defer SO 10529950 timing Ops issue</t>
  </si>
  <si>
    <t>CDW-100422-6 Defer SO 10529950 timing Ops issue 04-OCT-2022 14:20:14 EBS OPR A 21338185 9844504 N</t>
  </si>
  <si>
    <t>Reverses CDW-100422-6 Defer SO 10529950 timing Ops issue journal entry of CDW-100422-6 Defer SO 10529950 timing Ops issue 04-OCT-2022 14:20:14 batch from SEP-22.</t>
  </si>
  <si>
    <t>Reverses ""CDW-100422-6 Defer SO 10529950 timing Ops issue""11-OCT-22 11:04:43 - 367114889 E 9966333 N</t>
  </si>
  <si>
    <t>Reversed in October Timing - Moonshot Reverse once processed Recvue</t>
  </si>
  <si>
    <t>Moonshot AP Invoice accrual</t>
  </si>
  <si>
    <t>CDW-090722-9 Moonshot AP Invoice accrual 07-SEP-2022 16:44:12 EBS OPR A 20499795 9426914 N</t>
  </si>
  <si>
    <t>Moonshot AP Invoice accrual RecVue</t>
  </si>
  <si>
    <t>CDW-100622-2 Moonshot AP Invoice accrual RecVue 06-OCT-2022 11:16:01 EBS OPR A 21347949 9877753 N</t>
  </si>
  <si>
    <t>100.12022.245011.9999.999.999.9999.9999</t>
  </si>
  <si>
    <t>Reverses journal CDW-110322-12 Defer AP Inv  Moonshot of journal batch CDW-110322-12 Defer AP Inv  Moonshot from period Oct-22.</t>
  </si>
  <si>
    <t>Defer AP Inv 612159119 Moonshot</t>
  </si>
  <si>
    <t>Reverses CDW-110322-12 Defer AP Inv  Moonshot 04-11-22 14:20:03 10407031</t>
  </si>
  <si>
    <t>Defer AP INV-0000569239 Moonshot</t>
  </si>
  <si>
    <t>CDW-110322-12 Defer AP Inv  Moonshot</t>
  </si>
  <si>
    <t>Reverses CDW-090722-9 Moonshot AP Invoice accrual journal entry of CDW-090722-9 Moonshot AP Invoice accrual 07-SEP-2022 16:44:12 batch from AUG-22.</t>
  </si>
  <si>
    <t>Reverses ""CDW-090722-9 Moonshot AP Invoice accrual""21-OCT-22 09:56:59 - 367910058 EBS OPR 10193200 N</t>
  </si>
  <si>
    <t>Reverses CDW-100622-2 Moonshot AP Invoice accrual RecVue journal entry of CDW-100622-2 Moonshot AP Invoice accrual RecVue 06-OCT-2022 11:16:01 batch from SEP-22.</t>
  </si>
  <si>
    <t>Reverses ""CDW-100622-2 Moonshot AP Invoice accrual RecVue""21-OCT-22 09:56:32 - 367910027  10193200 N</t>
  </si>
  <si>
    <t>AP Write Off Deferred in August</t>
  </si>
  <si>
    <t>CDW-090622-29 Defer AP Write off Federal Airforce</t>
  </si>
  <si>
    <t>CMG-120522-24 Accrue Nov-22 Portion of Yearly VA EA Invoice PO 3633043 05-DEC-2022 20:05: 10903887 N</t>
  </si>
  <si>
    <t>Reverses CMG-120522-24 Accrue Nov-22 Portion of Yearly VA EA Invoice PO 3633043 journal entry of CMG-120522-24 Accrue Nov-22 Portion of Yearly VA EA Invoice PO 3633043 05-DEC-2022 20:05:13 batch from NOV-22.</t>
  </si>
  <si>
    <t>Reverses ""CMG-120522-24 Accrue Nov-22 Portion of Yearly VA E""06-DEC-22 10:21:01 - 3714295 10913179 N</t>
  </si>
  <si>
    <t>Oct-20</t>
  </si>
  <si>
    <t>Timing - Streamline CACI Inc. - Federal P000095781</t>
  </si>
  <si>
    <t>Streamline for PO P000095781, Federal Army - Robson - Loss lines in BL (slotted for July 2021 in BL) - 15K of negative GP in BL for 2021, nothing for 2022</t>
  </si>
  <si>
    <t>BDM-110320-3 03-NOV-2020 16:45:26 EBS OPR A 5948625 2280142 N</t>
  </si>
  <si>
    <t>Streamline for PO P000095781, Federal Army - Robson - Loss lines in BL (slotted for July 2021 in BL)</t>
  </si>
  <si>
    <t>Reverses BDM-110320-3 journal entry of BDM-110320-3 03-NOV-2020 16:45:26 batch from OCT-20.</t>
  </si>
  <si>
    <t>Reverses ""BDM-110320-3""06-DEC-22 15:49:27 - 371455515 EBS OPR A 780899 10916929 N</t>
  </si>
  <si>
    <t>1CDATA-22-C-0071</t>
  </si>
  <si>
    <t>Accrue cost to Federal Civilian Team 1 - Smith Invoices process Nov</t>
  </si>
  <si>
    <t>CDW-110322-7 Accrue cost to Federal Civilian Team 1 - Smith Invoices process No 03-NOV-20 10390299 N</t>
  </si>
  <si>
    <t>JMM-120622-1 06-DEC-2022 09:24:16 EBS OPR A 774358 10912796 N</t>
  </si>
  <si>
    <t>Reverses CDW-110322-7 Accrue cost to Federal Civilian Team 1 - Smith Invoices p journal entry of CDW-110322-7 Accrue cost to Federal Civilian Team 1 - Smith Invoices process No 03-NOV-2022 11:46:22 batch from OCT-22.</t>
  </si>
  <si>
    <t>Reverses ""CDW-110322-7 Accrue cost to Federal Civilian Team ""02-DEC-22 15:41:42 - 3711572 10887959 N</t>
  </si>
  <si>
    <t>Accrue cost for USPS deal</t>
  </si>
  <si>
    <t>CDW-110322-8 Accrue cost for USPS deal 03-NOV-2022 13:32:04 EBS OPR A 22096358 10390299 N</t>
  </si>
  <si>
    <t>Reverses CDW-110322-8 Accrue cost for USPS deal journal entry of CDW-110322-8 Accrue cost for USPS deal 03-NOV-2022 13:32:04 batch from OCT-22.</t>
  </si>
  <si>
    <t>Reverses ""CDW-110322-8 Accrue cost for USPS deal""15-NOV-22 15:16:00 - 369878283 EBS OPR A 10588190 N</t>
  </si>
  <si>
    <t xml:space="preserve">AP Write off - credit should come through in October </t>
  </si>
  <si>
    <t>AP Inv write off PO 3894104 APINVD0057082</t>
  </si>
  <si>
    <t>CDW-090522-1 AP Inv write off PO 3894104 APINVD0057082</t>
  </si>
  <si>
    <t xml:space="preserve">Finder's Fee </t>
  </si>
  <si>
    <t>Finder's Fee PO GDIT-10258 Flywheel</t>
  </si>
  <si>
    <t>CDW-100422-7 Finder's Fee PO GDIT-10258 Flywheel 04-OCT-2022 14:24:18 EBS OPR A 21338185 9844504 N</t>
  </si>
  <si>
    <t>Reverses journal CDW-090522-1 AP Inv write off PO 3894104 APINVD0057082 of journal batch CDW-090522-1 AP Inv write off PO 3894104 APINVD0057082 from period Aug-22.</t>
  </si>
  <si>
    <t>Reverses CDW-090522-1 AP Inv write off PO 3894104 APINVD00570 01-12-22 14:11:49 10826454</t>
  </si>
  <si>
    <t>Reverses CDW-100422-7 Finder's Fee PO GDIT-10258 Flywheel journal entry of CDW-100422-7 Finder's Fee PO GDIT-10258 Flywheel 04-OCT-2022 14:24:18 batch from SEP-22.</t>
  </si>
  <si>
    <t>Reverses ""CDW-100422-7 Finder's Fee PO GDIT-10258 Flywheel""16-NOV-22 11:13:16 - 369947712 10615718 N</t>
  </si>
  <si>
    <t>Timing - Moonshot</t>
  </si>
  <si>
    <t>April 2022 Moonshot cost accrual (accruing cisco invoice 96949960) - invoices to be coded to material cost</t>
  </si>
  <si>
    <t>BDM-050422-2 04-MAY-2022 09:57:17 EBS OPR A 17464716 7945809 N</t>
  </si>
  <si>
    <t>Moonshot cost accrual May 2022 - cisco invoice 97082508 - invoices to be coded to material cost</t>
  </si>
  <si>
    <t>BDM-060622-2 06-JUN-2022 06:37:35 EBS OPR A 18116159 8327777 N</t>
  </si>
  <si>
    <t>Accrue Moonshot to reflect AP adj from 24500</t>
  </si>
  <si>
    <t>CDW-070122-8 Accrue Moonshot to reflect AP adj from 24500 01-JUL-2022 12:06:23 EBS OPR A 1 8616951 N</t>
  </si>
  <si>
    <t>July 2022 Moonshot accrual Inv #  97276942</t>
  </si>
  <si>
    <t>CDW-080322-10 July 2022 Moonshot accrual Inv #  97276942 03-AUG-2022 16:35:51 EBS OPR A 19 9006252 N</t>
  </si>
  <si>
    <t>Defer Moonshot Cisco AS Renewal for Yr 2 PPV</t>
  </si>
  <si>
    <t>CMG-090622-8 Defer Moonshot Cisco AS Renewal for Yr 2 PPV</t>
  </si>
  <si>
    <t>Moonshot Cisco AS Renewal for Yr 2</t>
  </si>
  <si>
    <t>Release Remaining Moonshot Cost Accrual from Timing - Cisco Inv 97776874</t>
  </si>
  <si>
    <t>CMG-120522-16 Release Remaining Moonshot Cost Accrual from Timing - Cisco Inv 97776874</t>
  </si>
  <si>
    <t>RecVue Invoices Deferred</t>
  </si>
  <si>
    <t>CDW-110422-12 Defer AP Inv Moonshot</t>
  </si>
  <si>
    <t>Reverse Portion of CDW-110422-12</t>
  </si>
  <si>
    <t>CMG-120522-20 Reverse Portion of CDW-110422-12</t>
  </si>
  <si>
    <t>Buydown Accrual - Reversed in Nov</t>
  </si>
  <si>
    <t>Accrue cost Buy down SO 10578431</t>
  </si>
  <si>
    <t>CDW-110322-5 Accrue cost Buy down SO 10578431 03-NOV-2022 10:24:01 EBS OPR A 22096358 10390299 N</t>
  </si>
  <si>
    <t>Reverses CDW-110322-5 Accrue cost Buy down SO 10578431 journal entry of CDW-110322-5 Accrue cost Buy down SO 10578431 03-NOV-2022 10:24:01 batch from OCT-22.</t>
  </si>
  <si>
    <t>Reverses ""CDW-110322-5 Accrue cost Buy down SO 10578431""07-NOV-22 10:19:40 - 369205715 EB 10477702 N</t>
  </si>
  <si>
    <t xml:space="preserve">Ops issue needs credit memo - Follow up </t>
  </si>
  <si>
    <t>Defer SO 10416740 awaiting credit memo</t>
  </si>
  <si>
    <t>CDW-090722-2 Defer SO 10416740 awaiting credit memo 07-SEP-2022 08:40:36 EBS OPR A 2048726 9422935 N</t>
  </si>
  <si>
    <t>Reverses CDW-090722-2 Defer SO 10416740 awaiting credit memo journal entry of CDW-090722-2 Defer SO 10416740 awaiting credit memo 07-SEP-2022 08:40:36 batch from AUG-22.</t>
  </si>
  <si>
    <t>Reverses ""CDW-090722-2 Defer SO 10416740 awaiting credit mem""01-DEC-22 14:40:29 - 3710655 10835284 N</t>
  </si>
  <si>
    <t>AP Write Off Deferred in October</t>
  </si>
  <si>
    <t>CDW-110322-4 Defer AP write off ops issue working on credit APINVD0058830</t>
  </si>
  <si>
    <t>Defer AP write off ops issue working on credit APINVD0058830</t>
  </si>
  <si>
    <t>Reverses journal CDW-110322-4 Defer AP write off ops issue working on credit APINVD0058830 of journal batch CDW-110322-4 Defer AP write off ops issue working on credit APINVD0058830 from period Oct-22.</t>
  </si>
  <si>
    <t>Reverses CDW-110322-4 Defer AP write off ops issue working on 03-01-23 15:24:22 11346343</t>
  </si>
  <si>
    <t>DISA Accrual</t>
  </si>
  <si>
    <t>Accrue DISA 245000 - Reverse in Dec</t>
  </si>
  <si>
    <t>CMG-120622-8 Accrue DISA 245000 - Reverse in Dec 06-DEC-2022 14:22:51 EBS OPR A 769782 10916015 N</t>
  </si>
  <si>
    <t>Reverses CMG-120622-8 Accrue DISA 245000 - Reverse in Dec journal entry of CMG-120622-8 Accrue DISA 245000 - Reverse in Dec 06-DEC-2022 14:22:51 batch from NOV-22.</t>
  </si>
  <si>
    <t>Reverses ""CMG-120622-8 Accrue DISA 245000 - Reverse in Dec""15-DEC-22 15:10:21 - 372180971 11100679 N</t>
  </si>
  <si>
    <t>Reclass VA EA AP for Oct-22</t>
  </si>
  <si>
    <t>JMM-120622-12 Reclass VA EA AP for Oct-22 06-DEC-2022 13:57:33 EBS OPR A 769782 10916015 N</t>
  </si>
  <si>
    <t>Reverse portion of JMM-120622-12 AP for Oct-22</t>
  </si>
  <si>
    <t>CMG-010523-11 Reverse portion of JMM-120622-12 AP for Oct-22 05-JAN-2023 21:10:09 EBS OPR 11396020 N</t>
  </si>
  <si>
    <t>Accruing Flywheel Finders Fee</t>
  </si>
  <si>
    <t>Finder's Fee PO GDIT-16532 Flywheel</t>
  </si>
  <si>
    <t>JDP-113022-3 Finder's Fee PO GDIT-16532 Flywheel 30-NOV-2022 13:20:34 EBS OPR A 503910 10817052 N</t>
  </si>
  <si>
    <t>Reverses JDP-113022-3 Finder's Fee PO GDIT-16532 Flywheel journal entry of JDP-113022-3 Finder's Fee PO GDIT-16532 Flywheel 30-NOV-2022 13:20:34 batch from NOV-22.</t>
  </si>
  <si>
    <t>Reverses ""JDP-113022-3 Finder's Fee PO GDIT-16532 Flywheel""15-DEC-22 13:22:34 - 372172284 11100679 N</t>
  </si>
  <si>
    <t>Accrue Moonshot GS Invoices - Reverse in Dec</t>
  </si>
  <si>
    <t>CMG-120622-Accrue Moonshot GS Invoices - Reverse in Dec 06-DEC-2022 14:14:07 EBS OPR A 76 10916015 N</t>
  </si>
  <si>
    <t>Reverses CMG-120622-Accrue Moonshot GS Invoices - Reverse in Dec journal entry of CMG-120622-Accrue Moonshot GS Invoices - Reverse in Dec 06-DEC-2022 14:14:07 batch from NOV-22.</t>
  </si>
  <si>
    <t>Reverses ""CMG-120622-Accrue Moonshot GS Invoices - Reverse i""06-JAN-23 15:18:57 - 3737554 11410648 N</t>
  </si>
  <si>
    <t>Timing - Streamline US Navy PO 267088 - CUB from Sarah, Credit from Cisco, and RTV needed.  Probably corrected in october</t>
  </si>
  <si>
    <t>Streamline for PO 267088 (OPR Data)</t>
  </si>
  <si>
    <t>BDM-040622-1 06-APR-2022 06:50:11 EBS OPR A 16801730 7625950 N</t>
  </si>
  <si>
    <t>Timing - Streamline US Navy PO 267088</t>
  </si>
  <si>
    <t>Releasing portion of timing balance for PO 267088 Streamline</t>
  </si>
  <si>
    <t>BDM-050322-2 03-MAY-2022 08:58:56 EBS OPR A 17429488 7937391 N</t>
  </si>
  <si>
    <t>Timing - Streamline US Navy PO 267088 - Ops issue - needs rework PO 267088</t>
  </si>
  <si>
    <t>Defer PO 267088 Ops Issue SO 9784965/10418052</t>
  </si>
  <si>
    <t>CDW-090622-7 Defer PO 267088 Ops Issue SO 9784965/10418052 06-SEP-2022 13:31:35 EBS OPR A  9415073 N</t>
  </si>
  <si>
    <t>Timing - Defer US Navy PO 267088, Ops issues</t>
  </si>
  <si>
    <t>Defer PO 267088 Ops issue</t>
  </si>
  <si>
    <t>CDW-100622-1 Defer PO 267088 Ops issue 06-OCT-2022 09:34:03 EBS OPR A 21347343 9874400 N</t>
  </si>
  <si>
    <t>Reverses CDW-090622-7 Defer PO 267088 Ops Issue SO 9784965/10418052 journal entry of CDW-090622-7 Defer PO 267088 Ops Issue SO 9784965/10418052 06-SEP-2022 13:31:35 batch from AUG-22.</t>
  </si>
  <si>
    <t>Reverses ""CDW-090622-7 Defer PO 267088 Ops Issue SO 9784965/""28-DEC-22 13:03:10 - 3730931 11264074 N</t>
  </si>
  <si>
    <t>Reverses CDW-100622-1 Defer PO 267088 Ops issue journal entry of CDW-100622-1 Defer PO 267088 Ops issue 06-OCT-2022 09:34:03 batch from SEP-22.</t>
  </si>
  <si>
    <t>Reverses ""CDW-100622-1 Defer PO 267088 Ops issue""28-DEC-22 13:03:39 - 373093139 EBS OPR A 11264074 N</t>
  </si>
  <si>
    <t>Reverses BDM-040622-1 journal entry of BDM-040622-1 06-APR-2022 06:50:11 batch from MAR-22.</t>
  </si>
  <si>
    <t>Reverses ""BDM-040622-1""28-DEC-22 13:01:29 - 373092967 EBS OPR A 1383738 11264074 N</t>
  </si>
  <si>
    <t>Reverses BDM-050322-2 journal entry of BDM-050322-2 03-MAY-2022 08:58:56 batch from APR-22.</t>
  </si>
  <si>
    <t>Reverses ""BDM-050322-2""28-DEC-22 13:02:20 - 373093057 EBS OPR A 1383738 11264074 N</t>
  </si>
  <si>
    <t>Timing - Navy GEMSS EA Accrual</t>
  </si>
  <si>
    <t>Navy GEMSS EA Accrual Aug SO 9811080</t>
  </si>
  <si>
    <t>CDW-090622-10 Navy GEMSS EA Accrual Aug SO 9811080 06-SEP-2022 18:03:59 EBS OPR A 20481359 9415073 N</t>
  </si>
  <si>
    <t>n2grate Government Technology Solutions, LLC</t>
  </si>
  <si>
    <t>22.1569R</t>
  </si>
  <si>
    <t>N2GRATE CONSULTING YEAR 2 N2GRATE CONSULTING AGREEMENT</t>
  </si>
  <si>
    <t>Payables A 10858293000001 10858355 N</t>
  </si>
  <si>
    <t>Ops Issue, needs re-work, AP doubled up with RecVue</t>
  </si>
  <si>
    <t>Defer City of Seattle EA</t>
  </si>
  <si>
    <t>CDW-110422-6 Defer City of Seattle EA 04-NOV-2022 11:31:52 EBS OPR A 22130344 10408274 N</t>
  </si>
  <si>
    <t>Reverses CDW-110422-6 Defer City of Seattle EA journal entry of CDW-110422-6 Defer City of Seattle EA 04-NOV-2022 11:31:52 batch from OCT-22.</t>
  </si>
  <si>
    <t>Reverses ""CDW-110422-6 Defer City of Seattle EA""04-JAN-23 13:37:56 - 373571603 EBS OPR A  11371935 N</t>
  </si>
  <si>
    <t>Accrue VA EA Dec-22 AP Invoices</t>
  </si>
  <si>
    <t>CMG-010523-13 Accrue VA EA Dec-22 AP Invoices 06-JAN-2023 12:31:22 EBS OPR A 1600261 11409092 N</t>
  </si>
  <si>
    <t>CDW-010623-1 Accrue SAAS WWTINCSAAS312</t>
  </si>
  <si>
    <t>Reverses journal CDW-010623-1 Accrue SAAS WWTINCSAAS312 of journal batch CDW-010623-1 Accrue SAAS WWTINCSAAS312 from period Dec-22.</t>
  </si>
  <si>
    <t>Reverses CDW-010623-1 Accrue SAAS WWTINCSAAS312 12-01-23 18:51:09 11500853</t>
  </si>
  <si>
    <t>RecVue Invoices Deferred - Hit wrong timing see 130509</t>
  </si>
  <si>
    <t>Reclass Timing Account Moonshot AP Invoice RecVue</t>
  </si>
  <si>
    <t>CDW-020623-2 Reclass Timing Account Moonshot AP Invoice RecVue 06-FEB-2023 08:51:44 EBS O 11897258 N</t>
  </si>
  <si>
    <t>Reverses CMG-010523-13 Accrue VA EA Dec-22 AP Invoices journal entry of CMG-010523-13 Accrue VA EA Dec-22 AP Invoices 06-JAN-2023 12:31:22 batch from DEC-22.</t>
  </si>
  <si>
    <t>Reverses ""CMG-010523-13 Accrue VA EA Dec-22 AP Invoices""03-FEB-23 15:55:30 - 376024618 EB 11896705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</si>
</sst>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dd\-mmm\-yyyy"/>
    <numFmt numFmtId="165" formatCode="dd\-mmm\-yyyy;\-dd\-mmm\-yyyy;dd\-mmm\-yyyy;@&quot;-&quot;"/>
    <numFmt numFmtId="166" formatCode="yyyy/mm/dd\ hh:mm:ss;\-yyyy/mm/dd\ hh:mm:ss;yyyy/mm/dd\ hh:mm:ss;@&quot;-&quot;"/>
    <numFmt numFmtId="167" formatCode="yyyy/mm/dd"/>
    <numFmt numFmtId="168" formatCode="##,##0.00"/>
    <numFmt numFmtId="169" formatCode="0;\-0;0;@&quot;-&quot;"/>
    <numFmt numFmtId="170" formatCode="[$-409]mmmm\ d\,\ yyyy;@"/>
  </numFmts>
  <fonts count="27" x14ac:knownFonts="1">
    <font>
      <sz val="10"/>
      <color rgb="FF000000"/>
      <name val="ARIAL"/>
    </font>
    <font>
      <sz val="11"/>
      <color theme="1"/>
      <name val="Calibri"/>
      <family val="2"/>
      <scheme val="minor"/>
    </font>
    <font>
      <sz val="8"/>
      <color rgb="FF000000"/>
      <name val="Verdana"/>
      <family val="2"/>
    </font>
    <font>
      <sz val="10"/>
      <color rgb="FF000000"/>
      <name val="Arial"/>
      <family val="2"/>
    </font>
    <font>
      <b/>
      <sz val="8"/>
      <color rgb="FFFFFFFF"/>
      <name val="Verdana"/>
      <family val="2"/>
    </font>
    <font>
      <b/>
      <sz val="10"/>
      <color rgb="FF000000"/>
      <name val="Arial"/>
      <family val="2"/>
    </font>
    <font>
      <sz val="10"/>
      <color rgb="FF000000"/>
      <name val="Arial"/>
      <family val="2"/>
    </font>
    <font>
      <b/>
      <sz val="10"/>
      <color rgb="FF003366"/>
      <name val="Times New Roman"/>
      <family val="1"/>
    </font>
    <font>
      <sz val="10"/>
      <color rgb="FF000000"/>
      <name val="Times New Roman"/>
      <family val="1"/>
    </font>
    <font>
      <sz val="10"/>
      <color rgb="FF003366"/>
      <name val="Times New Roman"/>
      <family val="1"/>
    </font>
    <font>
      <b/>
      <sz val="10"/>
      <color rgb="FFFFFFFF"/>
      <name val="Times New Roman"/>
      <family val="1"/>
    </font>
    <font>
      <sz val="10"/>
      <name val="Arial"/>
      <family val="2"/>
    </font>
    <font>
      <sz val="10"/>
      <color theme="1"/>
      <name val="Times New Roman"/>
      <family val="1"/>
    </font>
    <font>
      <u/>
      <sz val="10"/>
      <color theme="10"/>
      <name val="Arial"/>
      <family val="2"/>
    </font>
    <font>
      <sz val="10"/>
      <color rgb="FF000000"/>
      <name val="Verdana"/>
      <family val="2"/>
    </font>
    <font>
      <sz val="8"/>
      <color rgb="FF000000"/>
      <name val="Verdana"/>
      <family val="2"/>
    </font>
    <font>
      <b/>
      <sz val="10"/>
      <name val="Times New Roman"/>
      <family val="1"/>
    </font>
    <font>
      <sz val="10"/>
      <name val="Tahoma"/>
      <family val="2"/>
    </font>
    <font>
      <b/>
      <sz val="10"/>
      <color rgb="FF000000"/>
      <name val="Times New Roman"/>
      <family val="1"/>
    </font>
    <font>
      <sz val="8"/>
      <color rgb="FF000000"/>
      <name val="Times New Roman"/>
      <family val="1"/>
    </font>
    <font>
      <b/>
      <sz val="8"/>
      <color rgb="FFFFFFFF"/>
      <name val="Times New Roman"/>
      <family val="1"/>
    </font>
    <font>
      <b/>
      <sz val="8"/>
      <color rgb="FF003366"/>
      <name val="Times New Roman"/>
      <family val="1"/>
    </font>
    <font>
      <b/>
      <sz val="12"/>
      <name val="Calibri"/>
      <family val="2"/>
      <scheme val="minor"/>
    </font>
    <font>
      <b/>
      <sz val="10"/>
      <color theme="1"/>
      <name val="Arial"/>
      <family val="2"/>
    </font>
    <font>
      <sz val="8"/>
      <color rgb="FF000000"/>
      <name val="Verdana"/>
      <family val="2"/>
    </font>
    <font>
      <sz val="8"/>
      <color theme="0"/>
      <name val="Times New Roman"/>
      <family val="1"/>
    </font>
    <font>
      <b/>
      <sz val="10"/>
      <color rgb="FF000000"/>
      <name val="Arial"/>
      <family val="2"/>
    </font>
  </fonts>
  <fills count="25">
    <fill>
      <patternFill patternType="none"/>
    </fill>
    <fill>
      <patternFill patternType="gray125"/>
    </fill>
    <fill>
      <patternFill patternType="solid">
        <fgColor rgb="FF005B84"/>
      </patternFill>
    </fill>
    <fill>
      <patternFill patternType="solid">
        <fgColor rgb="FFFFFF00"/>
        <bgColor indexed="64"/>
      </patternFill>
    </fill>
    <fill>
      <patternFill patternType="solid">
        <fgColor rgb="FF00B050"/>
        <bgColor indexed="64"/>
      </patternFill>
    </fill>
    <fill>
      <patternFill patternType="solid">
        <fgColor rgb="FF66FFFF"/>
        <bgColor indexed="64"/>
      </patternFill>
    </fill>
    <fill>
      <patternFill patternType="solid">
        <fgColor rgb="FFFF66CC"/>
        <bgColor indexed="64"/>
      </patternFill>
    </fill>
    <fill>
      <patternFill patternType="solid">
        <fgColor theme="5" tint="0.59999389629810485"/>
        <bgColor indexed="64"/>
      </patternFill>
    </fill>
    <fill>
      <patternFill patternType="solid">
        <fgColor rgb="FF00B0F0"/>
        <bgColor indexed="64"/>
      </patternFill>
    </fill>
    <fill>
      <patternFill patternType="solid">
        <fgColor rgb="FF003366"/>
      </patternFill>
    </fill>
    <fill>
      <patternFill patternType="solid">
        <fgColor rgb="FF92D050"/>
        <bgColor indexed="64"/>
      </patternFill>
    </fill>
    <fill>
      <patternFill patternType="solid">
        <fgColor theme="9" tint="0.39997558519241921"/>
        <bgColor indexed="64"/>
      </patternFill>
    </fill>
    <fill>
      <patternFill patternType="solid">
        <fgColor rgb="FF00FFFF"/>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DDEBF7"/>
      </patternFill>
    </fill>
  </fills>
  <borders count="5">
    <border>
      <left/>
      <right/>
      <top/>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double">
        <color indexed="64"/>
      </bottom>
      <diagonal/>
    </border>
  </borders>
  <cellStyleXfs count="12">
    <xf numFmtId="0" fontId="0" fillId="0" borderId="0"/>
    <xf numFmtId="43" fontId="6" fillId="0" borderId="0"/>
    <xf numFmtId="0" fontId="6" fillId="0" borderId="0"/>
    <xf numFmtId="43" fontId="1" fillId="0" borderId="0"/>
    <xf numFmtId="0" fontId="11" fillId="0" borderId="0"/>
    <xf numFmtId="0" fontId="13" fillId="0" borderId="0"/>
    <xf numFmtId="43" fontId="6" fillId="0" borderId="0"/>
    <xf numFmtId="43" fontId="1" fillId="0" borderId="0"/>
    <xf numFmtId="43" fontId="17" fillId="0" borderId="0"/>
    <xf numFmtId="0" fontId="6" fillId="0" borderId="0"/>
    <xf numFmtId="0" fontId="6" fillId="0" borderId="0"/>
    <xf numFmtId="0" fontId="6" fillId="0" borderId="0"/>
  </cellStyleXfs>
  <cellXfs count="204">
    <xf numFmtId="0" fontId="0" fillId="0" borderId="0" xfId="0"/>
    <xf numFmtId="0" fontId="2" fillId="0" borderId="0" xfId="0" applyFont="1" applyAlignment="1">
      <alignment horizontal="left"/>
    </xf>
    <xf numFmtId="1" fontId="2" fillId="0" borderId="0" xfId="0" applyNumberFormat="1" applyFont="1" applyAlignment="1">
      <alignment horizontal="right"/>
    </xf>
    <xf numFmtId="164" fontId="2" fillId="0" borderId="0" xfId="0" applyNumberFormat="1" applyFont="1" applyAlignment="1">
      <alignment horizontal="left"/>
    </xf>
    <xf numFmtId="165" fontId="2" fillId="0" borderId="0" xfId="0" applyNumberFormat="1" applyFont="1" applyAlignment="1">
      <alignment horizontal="left"/>
    </xf>
    <xf numFmtId="1" fontId="0" fillId="0" borderId="0" xfId="0" applyNumberFormat="1"/>
    <xf numFmtId="0" fontId="5" fillId="0" borderId="0" xfId="0" applyFont="1"/>
    <xf numFmtId="14" fontId="5" fillId="3" borderId="0" xfId="0" applyNumberFormat="1" applyFont="1" applyFill="1"/>
    <xf numFmtId="0" fontId="5" fillId="0" borderId="0" xfId="0" applyFont="1" applyAlignment="1">
      <alignment horizontal="center"/>
    </xf>
    <xf numFmtId="0" fontId="2" fillId="5" borderId="0" xfId="0" applyFont="1" applyFill="1" applyAlignment="1">
      <alignment horizontal="left"/>
    </xf>
    <xf numFmtId="1" fontId="2" fillId="5" borderId="0" xfId="0" applyNumberFormat="1" applyFont="1" applyFill="1" applyAlignment="1">
      <alignment horizontal="right"/>
    </xf>
    <xf numFmtId="165" fontId="2" fillId="5" borderId="0" xfId="0" applyNumberFormat="1" applyFont="1" applyFill="1" applyAlignment="1">
      <alignment horizontal="left"/>
    </xf>
    <xf numFmtId="164" fontId="2" fillId="5" borderId="0" xfId="0" applyNumberFormat="1" applyFont="1" applyFill="1" applyAlignment="1">
      <alignment horizontal="left"/>
    </xf>
    <xf numFmtId="0" fontId="7" fillId="0" borderId="0" xfId="2" applyFont="1"/>
    <xf numFmtId="0" fontId="8" fillId="0" borderId="0" xfId="2" applyFont="1"/>
    <xf numFmtId="2" fontId="8" fillId="0" borderId="0" xfId="2" applyNumberFormat="1" applyFont="1"/>
    <xf numFmtId="1" fontId="8" fillId="0" borderId="0" xfId="3" applyNumberFormat="1" applyFont="1" applyAlignment="1">
      <alignment horizontal="left"/>
    </xf>
    <xf numFmtId="1" fontId="8" fillId="0" borderId="0" xfId="2" applyNumberFormat="1" applyFont="1"/>
    <xf numFmtId="43" fontId="8" fillId="0" borderId="0" xfId="3" applyFont="1"/>
    <xf numFmtId="0" fontId="9" fillId="0" borderId="0" xfId="2" applyFont="1"/>
    <xf numFmtId="43" fontId="8" fillId="0" borderId="0" xfId="3" applyFont="1" applyAlignment="1">
      <alignment horizontal="right"/>
    </xf>
    <xf numFmtId="0" fontId="10" fillId="8" borderId="0" xfId="2" applyFont="1" applyFill="1" applyAlignment="1">
      <alignment horizontal="left" wrapText="1"/>
    </xf>
    <xf numFmtId="0" fontId="10" fillId="9" borderId="0" xfId="2" applyFont="1" applyFill="1" applyAlignment="1">
      <alignment horizontal="left" wrapText="1"/>
    </xf>
    <xf numFmtId="2" fontId="10" fillId="9" borderId="0" xfId="2" applyNumberFormat="1" applyFont="1" applyFill="1" applyAlignment="1">
      <alignment horizontal="left" wrapText="1"/>
    </xf>
    <xf numFmtId="1" fontId="10" fillId="9" borderId="0" xfId="3" applyNumberFormat="1" applyFont="1" applyFill="1" applyAlignment="1">
      <alignment horizontal="left" wrapText="1"/>
    </xf>
    <xf numFmtId="1" fontId="10" fillId="9" borderId="0" xfId="2" applyNumberFormat="1" applyFont="1" applyFill="1" applyAlignment="1">
      <alignment horizontal="left" wrapText="1"/>
    </xf>
    <xf numFmtId="43" fontId="10" fillId="9" borderId="0" xfId="3" applyFont="1" applyFill="1" applyAlignment="1">
      <alignment horizontal="right" wrapText="1"/>
    </xf>
    <xf numFmtId="0" fontId="8" fillId="0" borderId="0" xfId="2" applyFont="1" applyAlignment="1">
      <alignment wrapText="1"/>
    </xf>
    <xf numFmtId="14" fontId="8" fillId="0" borderId="0" xfId="2" applyNumberFormat="1" applyFont="1"/>
    <xf numFmtId="0" fontId="8" fillId="0" borderId="0" xfId="4" applyFont="1"/>
    <xf numFmtId="16" fontId="8" fillId="0" borderId="0" xfId="2" applyNumberFormat="1" applyFont="1"/>
    <xf numFmtId="0" fontId="12" fillId="0" borderId="0" xfId="2" applyFont="1"/>
    <xf numFmtId="43" fontId="12" fillId="0" borderId="0" xfId="3" applyFont="1"/>
    <xf numFmtId="0" fontId="8" fillId="0" borderId="0" xfId="2" applyFont="1" applyAlignment="1">
      <alignment horizontal="left"/>
    </xf>
    <xf numFmtId="166" fontId="8" fillId="0" borderId="0" xfId="2" applyNumberFormat="1" applyFont="1" applyAlignment="1">
      <alignment horizontal="left"/>
    </xf>
    <xf numFmtId="0" fontId="8" fillId="0" borderId="0" xfId="4" applyFont="1" applyAlignment="1">
      <alignment horizontal="left"/>
    </xf>
    <xf numFmtId="167" fontId="8" fillId="0" borderId="0" xfId="2" applyNumberFormat="1" applyFont="1" applyAlignment="1">
      <alignment horizontal="left"/>
    </xf>
    <xf numFmtId="166" fontId="8" fillId="0" borderId="0" xfId="4" applyNumberFormat="1" applyFont="1" applyAlignment="1">
      <alignment horizontal="left"/>
    </xf>
    <xf numFmtId="167" fontId="8" fillId="0" borderId="0" xfId="4" applyNumberFormat="1" applyFont="1" applyAlignment="1">
      <alignment horizontal="left"/>
    </xf>
    <xf numFmtId="0" fontId="13" fillId="0" borderId="0" xfId="5"/>
    <xf numFmtId="0" fontId="8" fillId="10" borderId="0" xfId="2" applyFont="1" applyFill="1"/>
    <xf numFmtId="43" fontId="8" fillId="10" borderId="0" xfId="3" applyFont="1" applyFill="1"/>
    <xf numFmtId="14" fontId="8" fillId="10" borderId="0" xfId="2" applyNumberFormat="1" applyFont="1" applyFill="1"/>
    <xf numFmtId="0" fontId="8" fillId="11" borderId="0" xfId="2" applyFont="1" applyFill="1"/>
    <xf numFmtId="0" fontId="8" fillId="6" borderId="0" xfId="2" applyFont="1" applyFill="1"/>
    <xf numFmtId="43" fontId="8" fillId="6" borderId="0" xfId="3" applyFont="1" applyFill="1"/>
    <xf numFmtId="14" fontId="8" fillId="6" borderId="0" xfId="2" applyNumberFormat="1" applyFont="1" applyFill="1"/>
    <xf numFmtId="0" fontId="14" fillId="0" borderId="0" xfId="2" applyFont="1" applyAlignment="1">
      <alignment horizontal="left"/>
    </xf>
    <xf numFmtId="165" fontId="14" fillId="0" borderId="0" xfId="2" applyNumberFormat="1" applyFont="1" applyAlignment="1">
      <alignment horizontal="left"/>
    </xf>
    <xf numFmtId="1" fontId="14" fillId="0" borderId="0" xfId="2" applyNumberFormat="1" applyFont="1" applyAlignment="1">
      <alignment horizontal="right"/>
    </xf>
    <xf numFmtId="168" fontId="14" fillId="0" borderId="0" xfId="2" applyNumberFormat="1" applyFont="1" applyAlignment="1">
      <alignment horizontal="right"/>
    </xf>
    <xf numFmtId="169" fontId="14" fillId="0" borderId="0" xfId="2" applyNumberFormat="1" applyFont="1" applyAlignment="1">
      <alignment horizontal="right"/>
    </xf>
    <xf numFmtId="164" fontId="14" fillId="0" borderId="0" xfId="2" applyNumberFormat="1" applyFont="1" applyAlignment="1">
      <alignment horizontal="left"/>
    </xf>
    <xf numFmtId="0" fontId="6" fillId="0" borderId="0" xfId="2"/>
    <xf numFmtId="0" fontId="8" fillId="12" borderId="0" xfId="2" applyFont="1" applyFill="1"/>
    <xf numFmtId="43" fontId="8" fillId="12" borderId="0" xfId="3" applyFont="1" applyFill="1"/>
    <xf numFmtId="14" fontId="8" fillId="12" borderId="0" xfId="2" applyNumberFormat="1" applyFont="1" applyFill="1"/>
    <xf numFmtId="0" fontId="8" fillId="3" borderId="0" xfId="2" applyFont="1" applyFill="1"/>
    <xf numFmtId="43" fontId="8" fillId="3" borderId="0" xfId="3" applyFont="1" applyFill="1"/>
    <xf numFmtId="14" fontId="8" fillId="3" borderId="0" xfId="2" applyNumberFormat="1" applyFont="1" applyFill="1"/>
    <xf numFmtId="0" fontId="8" fillId="13" borderId="0" xfId="2" applyFont="1" applyFill="1"/>
    <xf numFmtId="43" fontId="8" fillId="13" borderId="0" xfId="3" applyFont="1" applyFill="1"/>
    <xf numFmtId="14" fontId="8" fillId="13" borderId="0" xfId="2" applyNumberFormat="1" applyFont="1" applyFill="1"/>
    <xf numFmtId="0" fontId="0" fillId="0" borderId="0" xfId="0" pivotButton="1"/>
    <xf numFmtId="0" fontId="0" fillId="0" borderId="0" xfId="0" applyAlignment="1">
      <alignment horizontal="left"/>
    </xf>
    <xf numFmtId="1" fontId="0" fillId="0" borderId="0" xfId="0" applyNumberFormat="1" applyAlignment="1">
      <alignment horizontal="left" indent="1"/>
    </xf>
    <xf numFmtId="0" fontId="0" fillId="0" borderId="0" xfId="0" applyAlignment="1">
      <alignment horizontal="left" indent="2"/>
    </xf>
    <xf numFmtId="43" fontId="0" fillId="0" borderId="0" xfId="0" applyNumberFormat="1"/>
    <xf numFmtId="0" fontId="4" fillId="2" borderId="0" xfId="0" applyFont="1" applyFill="1" applyAlignment="1">
      <alignment horizontal="left"/>
    </xf>
    <xf numFmtId="0" fontId="4" fillId="2" borderId="0" xfId="0" applyFont="1" applyFill="1" applyAlignment="1">
      <alignment horizontal="right"/>
    </xf>
    <xf numFmtId="0" fontId="15" fillId="10" borderId="0" xfId="0" applyFont="1" applyFill="1" applyAlignment="1">
      <alignment horizontal="left"/>
    </xf>
    <xf numFmtId="1" fontId="15" fillId="10" borderId="0" xfId="0" applyNumberFormat="1" applyFont="1" applyFill="1" applyAlignment="1">
      <alignment horizontal="right"/>
    </xf>
    <xf numFmtId="165" fontId="15" fillId="10" borderId="0" xfId="0" applyNumberFormat="1" applyFont="1" applyFill="1" applyAlignment="1">
      <alignment horizontal="left"/>
    </xf>
    <xf numFmtId="164" fontId="15" fillId="10" borderId="0" xfId="0" applyNumberFormat="1" applyFont="1" applyFill="1" applyAlignment="1">
      <alignment horizontal="left"/>
    </xf>
    <xf numFmtId="0" fontId="0" fillId="10" borderId="0" xfId="0" applyFill="1"/>
    <xf numFmtId="0" fontId="6" fillId="14" borderId="0" xfId="2" applyFill="1"/>
    <xf numFmtId="0" fontId="18" fillId="14" borderId="0" xfId="2" applyFont="1" applyFill="1" applyAlignment="1">
      <alignment horizontal="right"/>
    </xf>
    <xf numFmtId="43" fontId="16" fillId="14" borderId="1" xfId="7" applyFont="1" applyFill="1" applyBorder="1"/>
    <xf numFmtId="0" fontId="8" fillId="14" borderId="0" xfId="2" applyFont="1" applyFill="1" applyAlignment="1">
      <alignment horizontal="right"/>
    </xf>
    <xf numFmtId="0" fontId="8" fillId="14" borderId="0" xfId="2" applyFont="1" applyFill="1"/>
    <xf numFmtId="0" fontId="16" fillId="14" borderId="0" xfId="2" applyFont="1" applyFill="1" applyAlignment="1">
      <alignment horizontal="right"/>
    </xf>
    <xf numFmtId="0" fontId="2" fillId="10" borderId="0" xfId="0" applyFont="1" applyFill="1" applyAlignment="1">
      <alignment horizontal="left"/>
    </xf>
    <xf numFmtId="1" fontId="2" fillId="10" borderId="0" xfId="0" applyNumberFormat="1" applyFont="1" applyFill="1" applyAlignment="1">
      <alignment horizontal="right"/>
    </xf>
    <xf numFmtId="165" fontId="2" fillId="10" borderId="0" xfId="0" applyNumberFormat="1" applyFont="1" applyFill="1" applyAlignment="1">
      <alignment horizontal="left"/>
    </xf>
    <xf numFmtId="164" fontId="2" fillId="10" borderId="0" xfId="0" applyNumberFormat="1" applyFont="1" applyFill="1" applyAlignment="1">
      <alignment horizontal="left"/>
    </xf>
    <xf numFmtId="0" fontId="3" fillId="0" borderId="0" xfId="0" applyFont="1"/>
    <xf numFmtId="0" fontId="2" fillId="15" borderId="0" xfId="0" applyFont="1" applyFill="1" applyAlignment="1">
      <alignment horizontal="left"/>
    </xf>
    <xf numFmtId="1" fontId="2" fillId="15" borderId="0" xfId="0" applyNumberFormat="1" applyFont="1" applyFill="1" applyAlignment="1">
      <alignment horizontal="right"/>
    </xf>
    <xf numFmtId="165" fontId="2" fillId="15" borderId="0" xfId="0" applyNumberFormat="1" applyFont="1" applyFill="1" applyAlignment="1">
      <alignment horizontal="left"/>
    </xf>
    <xf numFmtId="164" fontId="2" fillId="15" borderId="0" xfId="0" applyNumberFormat="1" applyFont="1" applyFill="1" applyAlignment="1">
      <alignment horizontal="left"/>
    </xf>
    <xf numFmtId="0" fontId="2" fillId="0" borderId="0" xfId="0" quotePrefix="1" applyFont="1" applyAlignment="1">
      <alignment horizontal="left"/>
    </xf>
    <xf numFmtId="43" fontId="0" fillId="0" borderId="0" xfId="1" applyFont="1"/>
    <xf numFmtId="0" fontId="20" fillId="4" borderId="0" xfId="0" applyFont="1" applyFill="1" applyAlignment="1">
      <alignment horizontal="left" vertical="top"/>
    </xf>
    <xf numFmtId="0" fontId="20" fillId="2" borderId="0" xfId="0" applyFont="1" applyFill="1" applyAlignment="1">
      <alignment horizontal="left"/>
    </xf>
    <xf numFmtId="0" fontId="20" fillId="2" borderId="0" xfId="0" applyFont="1" applyFill="1" applyAlignment="1">
      <alignment horizontal="right"/>
    </xf>
    <xf numFmtId="0" fontId="19" fillId="5" borderId="0" xfId="0" applyFont="1" applyFill="1" applyAlignment="1">
      <alignment horizontal="left"/>
    </xf>
    <xf numFmtId="1" fontId="19" fillId="5" borderId="0" xfId="0" applyNumberFormat="1" applyFont="1" applyFill="1" applyAlignment="1">
      <alignment horizontal="right"/>
    </xf>
    <xf numFmtId="165" fontId="19" fillId="5" borderId="0" xfId="0" applyNumberFormat="1" applyFont="1" applyFill="1" applyAlignment="1">
      <alignment horizontal="left"/>
    </xf>
    <xf numFmtId="164" fontId="19" fillId="5" borderId="0" xfId="0" applyNumberFormat="1" applyFont="1" applyFill="1" applyAlignment="1">
      <alignment horizontal="left"/>
    </xf>
    <xf numFmtId="0" fontId="19" fillId="0" borderId="0" xfId="0" applyFont="1" applyAlignment="1">
      <alignment horizontal="left"/>
    </xf>
    <xf numFmtId="1" fontId="19" fillId="0" borderId="0" xfId="0" applyNumberFormat="1" applyFont="1" applyAlignment="1">
      <alignment horizontal="right"/>
    </xf>
    <xf numFmtId="165" fontId="19" fillId="0" borderId="0" xfId="0" applyNumberFormat="1" applyFont="1" applyAlignment="1">
      <alignment horizontal="left"/>
    </xf>
    <xf numFmtId="164" fontId="19" fillId="0" borderId="0" xfId="0" applyNumberFormat="1" applyFont="1" applyAlignment="1">
      <alignment horizontal="left"/>
    </xf>
    <xf numFmtId="0" fontId="19" fillId="15" borderId="0" xfId="0" applyFont="1" applyFill="1" applyAlignment="1">
      <alignment horizontal="left"/>
    </xf>
    <xf numFmtId="1" fontId="19" fillId="15" borderId="0" xfId="0" applyNumberFormat="1" applyFont="1" applyFill="1" applyAlignment="1">
      <alignment horizontal="right"/>
    </xf>
    <xf numFmtId="165" fontId="19" fillId="15" borderId="0" xfId="0" applyNumberFormat="1" applyFont="1" applyFill="1" applyAlignment="1">
      <alignment horizontal="left"/>
    </xf>
    <xf numFmtId="164" fontId="19" fillId="15" borderId="0" xfId="0" applyNumberFormat="1" applyFont="1" applyFill="1" applyAlignment="1">
      <alignment horizontal="left"/>
    </xf>
    <xf numFmtId="0" fontId="19" fillId="17" borderId="0" xfId="0" applyFont="1" applyFill="1" applyAlignment="1">
      <alignment horizontal="left"/>
    </xf>
    <xf numFmtId="1" fontId="19" fillId="17" borderId="0" xfId="0" applyNumberFormat="1" applyFont="1" applyFill="1" applyAlignment="1">
      <alignment horizontal="right"/>
    </xf>
    <xf numFmtId="165" fontId="19" fillId="17" borderId="0" xfId="0" applyNumberFormat="1" applyFont="1" applyFill="1" applyAlignment="1">
      <alignment horizontal="left"/>
    </xf>
    <xf numFmtId="164" fontId="19" fillId="17" borderId="0" xfId="0" applyNumberFormat="1" applyFont="1" applyFill="1" applyAlignment="1">
      <alignment horizontal="left"/>
    </xf>
    <xf numFmtId="0" fontId="19" fillId="0" borderId="0" xfId="0" quotePrefix="1" applyFont="1" applyAlignment="1">
      <alignment horizontal="left"/>
    </xf>
    <xf numFmtId="0" fontId="19" fillId="0" borderId="0" xfId="0" applyFont="1"/>
    <xf numFmtId="0" fontId="21" fillId="0" borderId="0" xfId="0" applyFont="1"/>
    <xf numFmtId="43" fontId="19" fillId="0" borderId="0" xfId="1" applyFont="1"/>
    <xf numFmtId="0" fontId="19" fillId="3" borderId="0" xfId="0" applyFont="1" applyFill="1"/>
    <xf numFmtId="1" fontId="19" fillId="0" borderId="0" xfId="0" applyNumberFormat="1" applyFont="1"/>
    <xf numFmtId="0" fontId="19" fillId="16" borderId="0" xfId="0" applyFont="1" applyFill="1"/>
    <xf numFmtId="43" fontId="20" fillId="2" borderId="0" xfId="1" applyFont="1" applyFill="1" applyAlignment="1">
      <alignment horizontal="right"/>
    </xf>
    <xf numFmtId="43" fontId="19" fillId="5" borderId="0" xfId="1" applyFont="1" applyFill="1" applyAlignment="1">
      <alignment horizontal="right"/>
    </xf>
    <xf numFmtId="43" fontId="19" fillId="0" borderId="0" xfId="1" applyFont="1" applyAlignment="1">
      <alignment horizontal="right"/>
    </xf>
    <xf numFmtId="43" fontId="19" fillId="15" borderId="0" xfId="1" applyFont="1" applyFill="1" applyAlignment="1">
      <alignment horizontal="right"/>
    </xf>
    <xf numFmtId="43" fontId="19" fillId="17" borderId="0" xfId="1" applyFont="1" applyFill="1" applyAlignment="1">
      <alignment horizontal="right"/>
    </xf>
    <xf numFmtId="0" fontId="19" fillId="15" borderId="0" xfId="0" quotePrefix="1" applyFont="1" applyFill="1" applyAlignment="1">
      <alignment horizontal="left"/>
    </xf>
    <xf numFmtId="0" fontId="19" fillId="10" borderId="0" xfId="0" applyFont="1" applyFill="1" applyAlignment="1">
      <alignment horizontal="left"/>
    </xf>
    <xf numFmtId="0" fontId="19" fillId="10" borderId="0" xfId="0" quotePrefix="1" applyFont="1" applyFill="1" applyAlignment="1">
      <alignment horizontal="left"/>
    </xf>
    <xf numFmtId="43" fontId="19" fillId="10" borderId="0" xfId="1" applyFont="1" applyFill="1" applyAlignment="1">
      <alignment horizontal="right"/>
    </xf>
    <xf numFmtId="1" fontId="19" fillId="10" borderId="0" xfId="0" applyNumberFormat="1" applyFont="1" applyFill="1" applyAlignment="1">
      <alignment horizontal="right"/>
    </xf>
    <xf numFmtId="165" fontId="19" fillId="10" borderId="0" xfId="0" applyNumberFormat="1" applyFont="1" applyFill="1" applyAlignment="1">
      <alignment horizontal="left"/>
    </xf>
    <xf numFmtId="164" fontId="19" fillId="10" borderId="0" xfId="0" applyNumberFormat="1" applyFont="1" applyFill="1" applyAlignment="1">
      <alignment horizontal="left"/>
    </xf>
    <xf numFmtId="1" fontId="19" fillId="10" borderId="0" xfId="0" applyNumberFormat="1" applyFont="1" applyFill="1"/>
    <xf numFmtId="0" fontId="19" fillId="10" borderId="0" xfId="0" applyFont="1" applyFill="1"/>
    <xf numFmtId="16" fontId="19" fillId="0" borderId="0" xfId="0" applyNumberFormat="1" applyFont="1"/>
    <xf numFmtId="15" fontId="19" fillId="0" borderId="0" xfId="0" applyNumberFormat="1" applyFont="1"/>
    <xf numFmtId="0" fontId="19" fillId="15" borderId="0" xfId="0" applyFont="1" applyFill="1"/>
    <xf numFmtId="43" fontId="19" fillId="15" borderId="0" xfId="1" applyFont="1" applyFill="1"/>
    <xf numFmtId="15" fontId="19" fillId="15" borderId="0" xfId="0" applyNumberFormat="1" applyFont="1" applyFill="1"/>
    <xf numFmtId="0" fontId="0" fillId="0" borderId="0" xfId="0" applyAlignment="1">
      <alignment horizontal="left" indent="1"/>
    </xf>
    <xf numFmtId="0" fontId="0" fillId="3" borderId="0" xfId="0" applyFill="1" applyAlignment="1">
      <alignment horizontal="left" indent="1"/>
    </xf>
    <xf numFmtId="43" fontId="0" fillId="3" borderId="0" xfId="0" applyNumberFormat="1" applyFill="1"/>
    <xf numFmtId="0" fontId="0" fillId="15" borderId="0" xfId="0" applyFill="1" applyAlignment="1">
      <alignment horizontal="left" indent="1"/>
    </xf>
    <xf numFmtId="43" fontId="0" fillId="15" borderId="0" xfId="0" applyNumberFormat="1" applyFill="1"/>
    <xf numFmtId="0" fontId="19" fillId="11" borderId="0" xfId="0" applyFont="1" applyFill="1"/>
    <xf numFmtId="0" fontId="0" fillId="10" borderId="0" xfId="0" applyFill="1" applyAlignment="1">
      <alignment horizontal="left" indent="1"/>
    </xf>
    <xf numFmtId="43" fontId="0" fillId="10" borderId="0" xfId="0" applyNumberFormat="1" applyFill="1"/>
    <xf numFmtId="0" fontId="0" fillId="5" borderId="0" xfId="0" applyFill="1" applyAlignment="1">
      <alignment horizontal="left" indent="1"/>
    </xf>
    <xf numFmtId="43" fontId="0" fillId="5" borderId="0" xfId="0" applyNumberFormat="1" applyFill="1"/>
    <xf numFmtId="16" fontId="19" fillId="0" borderId="0" xfId="0" applyNumberFormat="1" applyFont="1" applyAlignment="1">
      <alignment horizontal="left"/>
    </xf>
    <xf numFmtId="16" fontId="19" fillId="15" borderId="0" xfId="0" applyNumberFormat="1" applyFont="1" applyFill="1" applyAlignment="1">
      <alignment horizontal="left"/>
    </xf>
    <xf numFmtId="16" fontId="19" fillId="10" borderId="0" xfId="0" applyNumberFormat="1" applyFont="1" applyFill="1" applyAlignment="1">
      <alignment horizontal="left"/>
    </xf>
    <xf numFmtId="43" fontId="19" fillId="10" borderId="0" xfId="1" applyFont="1" applyFill="1"/>
    <xf numFmtId="15" fontId="19" fillId="10" borderId="0" xfId="0" applyNumberFormat="1" applyFont="1" applyFill="1"/>
    <xf numFmtId="0" fontId="0" fillId="7" borderId="0" xfId="0" applyFill="1" applyAlignment="1">
      <alignment horizontal="left" indent="1"/>
    </xf>
    <xf numFmtId="43" fontId="0" fillId="7" borderId="0" xfId="0" applyNumberFormat="1" applyFill="1"/>
    <xf numFmtId="0" fontId="0" fillId="18" borderId="0" xfId="0" applyFill="1" applyAlignment="1">
      <alignment horizontal="left" indent="1"/>
    </xf>
    <xf numFmtId="43" fontId="0" fillId="18" borderId="0" xfId="0" applyNumberFormat="1" applyFill="1"/>
    <xf numFmtId="0" fontId="0" fillId="20" borderId="0" xfId="0" applyFill="1" applyAlignment="1">
      <alignment horizontal="left" indent="1"/>
    </xf>
    <xf numFmtId="43" fontId="0" fillId="20" borderId="0" xfId="0" applyNumberFormat="1" applyFill="1"/>
    <xf numFmtId="0" fontId="0" fillId="21" borderId="0" xfId="0" applyFill="1" applyAlignment="1">
      <alignment horizontal="left" indent="1"/>
    </xf>
    <xf numFmtId="43" fontId="0" fillId="21" borderId="0" xfId="0" applyNumberFormat="1" applyFill="1"/>
    <xf numFmtId="43" fontId="0" fillId="10" borderId="0" xfId="1" applyFont="1" applyFill="1"/>
    <xf numFmtId="43" fontId="0" fillId="3" borderId="0" xfId="1" applyFont="1" applyFill="1"/>
    <xf numFmtId="0" fontId="0" fillId="19" borderId="0" xfId="0" applyFill="1" applyAlignment="1">
      <alignment horizontal="left" indent="1"/>
    </xf>
    <xf numFmtId="43" fontId="0" fillId="19" borderId="0" xfId="1" applyFont="1" applyFill="1"/>
    <xf numFmtId="0" fontId="0" fillId="22" borderId="0" xfId="0" applyFill="1" applyAlignment="1">
      <alignment horizontal="left" indent="1"/>
    </xf>
    <xf numFmtId="43" fontId="0" fillId="22" borderId="0" xfId="0" applyNumberFormat="1" applyFill="1"/>
    <xf numFmtId="1" fontId="19" fillId="4" borderId="0" xfId="0" applyNumberFormat="1" applyFont="1" applyFill="1"/>
    <xf numFmtId="0" fontId="19" fillId="4" borderId="0" xfId="0" applyFont="1" applyFill="1"/>
    <xf numFmtId="43" fontId="19" fillId="4" borderId="0" xfId="1" applyFont="1" applyFill="1"/>
    <xf numFmtId="168" fontId="2" fillId="0" borderId="0" xfId="0" applyNumberFormat="1" applyFont="1" applyAlignment="1">
      <alignment horizontal="right"/>
    </xf>
    <xf numFmtId="0" fontId="19" fillId="22" borderId="0" xfId="0" applyFont="1" applyFill="1"/>
    <xf numFmtId="43" fontId="4" fillId="2" borderId="0" xfId="1" applyFont="1" applyFill="1" applyAlignment="1">
      <alignment horizontal="right"/>
    </xf>
    <xf numFmtId="43" fontId="15" fillId="10" borderId="0" xfId="1" applyFont="1" applyFill="1" applyAlignment="1">
      <alignment horizontal="right"/>
    </xf>
    <xf numFmtId="43" fontId="2" fillId="10" borderId="0" xfId="1" applyFont="1" applyFill="1" applyAlignment="1">
      <alignment horizontal="right"/>
    </xf>
    <xf numFmtId="43" fontId="2" fillId="0" borderId="0" xfId="1" applyFont="1" applyAlignment="1">
      <alignment horizontal="right"/>
    </xf>
    <xf numFmtId="43" fontId="2" fillId="15" borderId="0" xfId="1" applyFont="1" applyFill="1" applyAlignment="1">
      <alignment horizontal="right"/>
    </xf>
    <xf numFmtId="43" fontId="2" fillId="5" borderId="0" xfId="1" applyFont="1" applyFill="1" applyAlignment="1">
      <alignment horizontal="right"/>
    </xf>
    <xf numFmtId="0" fontId="19" fillId="0" borderId="0" xfId="0" quotePrefix="1" applyFont="1"/>
    <xf numFmtId="43" fontId="5" fillId="0" borderId="0" xfId="1" applyFont="1"/>
    <xf numFmtId="14" fontId="5" fillId="0" borderId="0" xfId="0" applyNumberFormat="1" applyFont="1"/>
    <xf numFmtId="0" fontId="23" fillId="23" borderId="2" xfId="0" applyFont="1" applyFill="1" applyBorder="1"/>
    <xf numFmtId="0" fontId="23" fillId="0" borderId="2" xfId="0" applyFont="1" applyBorder="1" applyAlignment="1">
      <alignment horizontal="left"/>
    </xf>
    <xf numFmtId="43" fontId="23" fillId="0" borderId="2" xfId="0" applyNumberFormat="1" applyFont="1" applyBorder="1"/>
    <xf numFmtId="0" fontId="23" fillId="23" borderId="3" xfId="0" applyFont="1" applyFill="1" applyBorder="1" applyAlignment="1">
      <alignment horizontal="left"/>
    </xf>
    <xf numFmtId="43" fontId="23" fillId="23" borderId="3" xfId="0" applyNumberFormat="1" applyFont="1" applyFill="1" applyBorder="1"/>
    <xf numFmtId="168" fontId="24" fillId="0" borderId="0" xfId="0" applyNumberFormat="1" applyFont="1" applyAlignment="1">
      <alignment horizontal="right"/>
    </xf>
    <xf numFmtId="1" fontId="24" fillId="0" borderId="0" xfId="0" applyNumberFormat="1" applyFont="1" applyAlignment="1">
      <alignment horizontal="right"/>
    </xf>
    <xf numFmtId="165" fontId="24" fillId="0" borderId="0" xfId="0" applyNumberFormat="1" applyFont="1" applyAlignment="1">
      <alignment horizontal="left"/>
    </xf>
    <xf numFmtId="164" fontId="24" fillId="0" borderId="0" xfId="0" applyNumberFormat="1" applyFont="1" applyAlignment="1">
      <alignment horizontal="left"/>
    </xf>
    <xf numFmtId="0" fontId="24" fillId="0" borderId="0" xfId="0" applyFont="1" applyAlignment="1">
      <alignment horizontal="left"/>
    </xf>
    <xf numFmtId="43" fontId="5" fillId="3" borderId="4" xfId="1" applyFont="1" applyFill="1" applyBorder="1"/>
    <xf numFmtId="1" fontId="25" fillId="4" borderId="0" xfId="0" applyNumberFormat="1" applyFont="1" applyFill="1"/>
    <xf numFmtId="0" fontId="25" fillId="4" borderId="0" xfId="0" applyFont="1" applyFill="1"/>
    <xf numFmtId="0" fontId="19" fillId="19" borderId="0" xfId="0" applyFont="1" applyFill="1"/>
    <xf numFmtId="0" fontId="26" fillId="0" borderId="0" xfId="0" applyFont="1" applyAlignment="1">
      <alignment horizontal="left"/>
    </xf>
    <xf numFmtId="43" fontId="26" fillId="0" borderId="0" xfId="0" applyNumberFormat="1" applyFont="1"/>
    <xf numFmtId="0" fontId="26" fillId="0" borderId="0" xfId="0" applyFont="1" applyAlignment="1">
      <alignment horizontal="left" indent="1"/>
    </xf>
    <xf numFmtId="0" fontId="26" fillId="24" borderId="0" xfId="0" applyFont="1" applyFill="1" applyAlignment="1">
      <alignment horizontal="left" indent="1"/>
    </xf>
    <xf numFmtId="43" fontId="26" fillId="24" borderId="0" xfId="0" applyNumberFormat="1" applyFont="1" applyFill="1"/>
    <xf numFmtId="39" fontId="22" fillId="0" borderId="0" xfId="0" applyNumberFormat="1" applyFont="1" applyAlignment="1">
      <alignment horizontal="center" vertical="top"/>
    </xf>
    <xf numFmtId="0" fontId="0" fillId="0" borderId="0" xfId="0"/>
    <xf numFmtId="170" fontId="22" fillId="0" borderId="0" xfId="0" applyNumberFormat="1" applyFont="1" applyAlignment="1">
      <alignment horizontal="center" vertical="top"/>
    </xf>
    <xf numFmtId="0" fontId="5" fillId="0" borderId="0" xfId="0" applyFont="1" applyAlignment="1">
      <alignment horizontal="center"/>
    </xf>
    <xf numFmtId="0" fontId="0" fillId="3" borderId="0" xfId="0" applyFill="1"/>
  </cellXfs>
  <cellStyles count="12">
    <cellStyle name="Comma" xfId="1" builtinId="3"/>
    <cellStyle name="Comma 2" xfId="3" xr:uid="{00000000-0005-0000-0000-000003000000}"/>
    <cellStyle name="Comma 2 2" xfId="8" xr:uid="{00000000-0005-0000-0000-000008000000}"/>
    <cellStyle name="Comma 3" xfId="6" xr:uid="{00000000-0005-0000-0000-000006000000}"/>
    <cellStyle name="Comma 4" xfId="7" xr:uid="{00000000-0005-0000-0000-000007000000}"/>
    <cellStyle name="Hyperlink" xfId="5" builtinId="8"/>
    <cellStyle name="Normal" xfId="0" builtinId="0"/>
    <cellStyle name="Normal 2" xfId="2" xr:uid="{00000000-0005-0000-0000-000002000000}"/>
    <cellStyle name="Normal 2 2" xfId="4" xr:uid="{00000000-0005-0000-0000-000004000000}"/>
    <cellStyle name="Normal 3" xfId="9" xr:uid="{00000000-0005-0000-0000-000009000000}"/>
    <cellStyle name="Normal 4" xfId="10" xr:uid="{00000000-0005-0000-0000-00000A000000}"/>
    <cellStyle name="Normal 5" xfId="11" xr:uid="{00000000-0005-0000-0000-00000B000000}"/>
  </cellStyles>
  <dxfs count="156">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bgColor auto="1"/>
        </patternFill>
      </fill>
    </dxf>
    <dxf>
      <numFmt numFmtId="35" formatCode="_(* #,##0.00_);_(* \(#,##0.0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5" formatCode="_(* #,##0.00_);_(* \(#,##0.0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5" formatCode="_(* #,##0.00_);_(* \(#,##0.0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92D050"/>
        </patternFill>
      </fill>
    </dxf>
    <dxf>
      <fill>
        <patternFill patternType="solid">
          <bgColor theme="0" tint="-0.34998626667073579"/>
        </patternFill>
      </fill>
    </dxf>
    <dxf>
      <fill>
        <patternFill patternType="solid">
          <bgColor rgb="FFFFFF00"/>
        </patternFill>
      </fill>
    </dxf>
    <dxf>
      <numFmt numFmtId="35" formatCode="_(* #,##0.00_);_(* \(#,##0.00\);_(* &quot;-&quot;??_);_(@_)"/>
    </dxf>
    <dxf>
      <fill>
        <patternFill patternType="solid">
          <bgColor rgb="FFFF0000"/>
        </patternFill>
      </fill>
    </dxf>
    <dxf>
      <fill>
        <patternFill>
          <bgColor rgb="FFFFFF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92D050"/>
        </patternFill>
      </fill>
    </dxf>
    <dxf>
      <fill>
        <patternFill patternType="solid">
          <bgColor theme="8" tint="0.59999389629810485"/>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0" tint="-0.34998626667073579"/>
        </patternFill>
      </fill>
    </dxf>
    <dxf>
      <fill>
        <patternFill patternType="solid">
          <bgColor theme="0" tint="-0.34998626667073579"/>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C000"/>
        </patternFill>
      </fill>
    </dxf>
    <dxf>
      <fill>
        <patternFill patternType="solid">
          <bgColor rgb="FFFFC000"/>
        </patternFill>
      </fill>
    </dxf>
    <dxf>
      <fill>
        <patternFill>
          <bgColor rgb="FF92D050"/>
        </patternFill>
      </fill>
    </dxf>
    <dxf>
      <fill>
        <patternFill>
          <bgColor rgb="FF92D050"/>
        </patternFill>
      </fill>
    </dxf>
    <dxf>
      <fill>
        <patternFill patternType="solid">
          <bgColor theme="6" tint="0.39997558519241921"/>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FFFF00"/>
        </patternFill>
      </fill>
    </dxf>
    <dxf>
      <fill>
        <patternFill patternType="solid">
          <bgColor rgb="FFFFFF00"/>
        </patternFill>
      </fill>
    </dxf>
    <dxf>
      <fill>
        <patternFill>
          <bgColor rgb="FFFFFF00"/>
        </patternFill>
      </fill>
    </dxf>
    <dxf>
      <fill>
        <patternFill patternType="solid">
          <bgColor rgb="FF66FFFF"/>
        </patternFill>
      </fill>
    </dxf>
    <dxf>
      <fill>
        <patternFill patternType="solid">
          <bgColor rgb="FFFFFF00"/>
        </patternFill>
      </fill>
    </dxf>
    <dxf>
      <fill>
        <patternFill patternType="solid">
          <bgColor rgb="FFFFFF00"/>
        </patternFill>
      </fill>
    </dxf>
    <dxf>
      <numFmt numFmtId="35" formatCode="_(* #,##0.00_);_(* \(#,##0.00\);_(* &quot;-&quot;??_);_(@_)"/>
    </dxf>
    <dxf>
      <fill>
        <patternFill patternType="solid">
          <bgColor theme="6" tint="0.39997558519241921"/>
        </patternFill>
      </fill>
    </dxf>
    <dxf>
      <fill>
        <patternFill patternType="solid">
          <bgColor theme="6" tint="0.39997558519241921"/>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92D050"/>
        </patternFill>
      </fill>
    </dxf>
    <dxf>
      <fill>
        <patternFill patternType="solid">
          <bgColor rgb="FF92D050"/>
        </patternFill>
      </fill>
    </dxf>
    <dxf>
      <fill>
        <patternFill patternType="solid">
          <bgColor rgb="FF66FFFF"/>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rgb="FFFFFF00"/>
        </patternFill>
      </fill>
    </dxf>
    <dxf>
      <fill>
        <patternFill patternType="solid">
          <bgColor rgb="FF66FFFF"/>
        </patternFill>
      </fill>
    </dxf>
    <dxf>
      <fill>
        <patternFill patternType="solid">
          <bgColor rgb="FF66FFFF"/>
        </patternFill>
      </fill>
    </dxf>
    <dxf>
      <fill>
        <patternFill patternType="solid">
          <bgColor rgb="FF66FFFF"/>
        </patternFill>
      </fill>
    </dxf>
    <dxf>
      <fill>
        <patternFill patternType="solid">
          <bgColor rgb="FFFFFF00"/>
        </patternFill>
      </fill>
    </dxf>
    <dxf>
      <fill>
        <patternFill patternType="solid">
          <bgColor rgb="FFFFFF00"/>
        </patternFill>
      </fill>
    </dxf>
    <dxf>
      <numFmt numFmtId="35" formatCode="_(* #,##0.00_);_(* \(#,##0.00\);_(* &quot;-&quot;??_);_(@_)"/>
    </dxf>
    <dxf>
      <fill>
        <patternFill patternType="solid">
          <bgColor rgb="FFFFFF00"/>
        </patternFill>
      </fill>
    </dxf>
    <dxf>
      <fill>
        <patternFill patternType="solid">
          <bgColor rgb="FFFFFF00"/>
        </patternFill>
      </fill>
    </dxf>
    <dxf>
      <fill>
        <patternFill>
          <bgColor rgb="FFFFFF00"/>
        </patternFill>
      </fill>
    </dxf>
    <dxf>
      <fill>
        <patternFill patternType="solid">
          <bgColor rgb="FF66FFFF"/>
        </patternFill>
      </fill>
    </dxf>
    <dxf>
      <fill>
        <patternFill patternType="solid">
          <bgColor rgb="FF66FFFF"/>
        </patternFill>
      </fill>
    </dxf>
    <dxf>
      <fill>
        <patternFill patternType="solid">
          <bgColor rgb="FF66FFFF"/>
        </patternFill>
      </fill>
    </dxf>
    <dxf>
      <fill>
        <patternFill patternType="solid">
          <bgColor rgb="FFFFFF00"/>
        </patternFill>
      </fill>
    </dxf>
    <dxf>
      <fill>
        <patternFill patternType="solid">
          <bgColor rgb="FFFFFF00"/>
        </patternFill>
      </fill>
    </dxf>
    <dxf>
      <numFmt numFmtId="35" formatCode="_(* #,##0.00_);_(* \(#,##0.00\);_(* &quot;-&quot;??_);_(@_)"/>
    </dxf>
    <dxf>
      <fill>
        <patternFill patternType="solid">
          <bgColor rgb="FFFFFF00"/>
        </patternFill>
      </fill>
    </dxf>
    <dxf>
      <fill>
        <patternFill patternType="solid">
          <bgColor rgb="FFFFFF00"/>
        </patternFill>
      </fill>
    </dxf>
    <dxf>
      <fill>
        <patternFill>
          <bgColor rgb="FFFFFF00"/>
        </patternFill>
      </fill>
    </dxf>
    <dxf>
      <fill>
        <patternFill patternType="solid">
          <bgColor rgb="FF66FFFF"/>
        </patternFill>
      </fill>
    </dxf>
    <dxf>
      <fill>
        <patternFill patternType="solid">
          <bgColor rgb="FF66FFFF"/>
        </patternFill>
      </fill>
    </dxf>
    <dxf>
      <fill>
        <patternFill patternType="solid">
          <bgColor rgb="FF66FFFF"/>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5" formatCode="_(* #,##0.00_);_(* \(#,##0.00\);_(* &quot;-&quot;??_);_(@_)"/>
    </dxf>
    <dxf>
      <fill>
        <patternFill patternType="solid">
          <bgColor rgb="FF92D050"/>
        </patternFill>
      </fill>
    </dxf>
    <dxf>
      <fill>
        <patternFill patternType="solid">
          <bgColor rgb="FFFFFF00"/>
        </patternFill>
      </fill>
    </dxf>
    <dxf>
      <fill>
        <patternFill patternType="solid">
          <bgColor rgb="FFFFFF00"/>
        </patternFill>
      </fill>
    </dxf>
    <dxf>
      <fill>
        <patternFill>
          <bgColor rgb="FFFFFF00"/>
        </patternFill>
      </fill>
    </dxf>
    <dxf>
      <fill>
        <patternFill patternType="solid">
          <bgColor rgb="FF66FFFF"/>
        </patternFill>
      </fill>
    </dxf>
    <dxf>
      <fill>
        <patternFill patternType="solid">
          <bgColor rgb="FF66FFFF"/>
        </patternFill>
      </fill>
    </dxf>
    <dxf>
      <fill>
        <patternFill patternType="solid">
          <bgColor rgb="FF66FFFF"/>
        </patternFill>
      </fill>
    </dxf>
    <dxf>
      <fill>
        <patternFill patternType="solid">
          <bgColor rgb="FF92D050"/>
        </patternFill>
      </fill>
    </dxf>
    <dxf>
      <fill>
        <patternFill patternType="solid">
          <bgColor rgb="FF92D050"/>
        </patternFill>
      </fill>
    </dxf>
    <dxf>
      <fill>
        <patternFill patternType="solid">
          <bgColor rgb="FF66FFFF"/>
        </patternFill>
      </fill>
    </dxf>
    <dxf>
      <fill>
        <patternFill patternType="solid">
          <bgColor rgb="FF66FFFF"/>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FF00"/>
        </patternFill>
      </fill>
    </dxf>
    <dxf>
      <fill>
        <patternFill patternType="solid">
          <bgColor rgb="FF00FF00"/>
        </patternFill>
      </fill>
    </dxf>
    <dxf>
      <fill>
        <patternFill patternType="solid">
          <bgColor rgb="FFFFFF00"/>
        </patternFill>
      </fill>
    </dxf>
    <dxf>
      <fill>
        <patternFill patternType="solid">
          <bgColor rgb="FFFFFF00"/>
        </patternFill>
      </fill>
    </dxf>
    <dxf>
      <numFmt numFmtId="35" formatCode="_(* #,##0.00_);_(* \(#,##0.00\);_(* &quot;-&quot;??_);_(@_)"/>
    </dxf>
    <dxf>
      <numFmt numFmtId="35" formatCode="_(* #,##0.00_);_(* \(#,##0.00\);_(* &quot;-&quot;??_);_(@_)"/>
    </dxf>
    <dxf>
      <numFmt numFmtId="35" formatCode="_(* #,##0.00_);_(* \(#,##0.00\);_(* &quot;-&quot;??_);_(@_)"/>
    </dxf>
    <dxf>
      <numFmt numFmtId="35" formatCode="_(* #,##0.00_);_(* \(#,##0.00\);_(* &quot;-&quot;??_);_(@_)"/>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3.xml"/><Relationship Id="rId47" Type="http://schemas.openxmlformats.org/officeDocument/2006/relationships/pivotCacheDefinition" Target="pivotCache/pivotCacheDefinition8.xml"/><Relationship Id="rId63" Type="http://schemas.openxmlformats.org/officeDocument/2006/relationships/pivotCacheDefinition" Target="pivotCache/pivotCacheDefinition24.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pivotCacheDefinition" Target="pivotCache/pivotCacheDefinition1.xml"/><Relationship Id="rId45" Type="http://schemas.openxmlformats.org/officeDocument/2006/relationships/pivotCacheDefinition" Target="pivotCache/pivotCacheDefinition6.xml"/><Relationship Id="rId53" Type="http://schemas.openxmlformats.org/officeDocument/2006/relationships/pivotCacheDefinition" Target="pivotCache/pivotCacheDefinition14.xml"/><Relationship Id="rId58" Type="http://schemas.openxmlformats.org/officeDocument/2006/relationships/pivotCacheDefinition" Target="pivotCache/pivotCacheDefinition19.xml"/><Relationship Id="rId66" Type="http://schemas.openxmlformats.org/officeDocument/2006/relationships/pivotCacheDefinition" Target="pivotCache/pivotCacheDefinition27.xml"/><Relationship Id="rId5" Type="http://schemas.openxmlformats.org/officeDocument/2006/relationships/worksheet" Target="worksheets/sheet5.xml"/><Relationship Id="rId61" Type="http://schemas.openxmlformats.org/officeDocument/2006/relationships/pivotCacheDefinition" Target="pivotCache/pivotCacheDefinition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4.xml"/><Relationship Id="rId48" Type="http://schemas.openxmlformats.org/officeDocument/2006/relationships/pivotCacheDefinition" Target="pivotCache/pivotCacheDefinition9.xml"/><Relationship Id="rId56" Type="http://schemas.openxmlformats.org/officeDocument/2006/relationships/pivotCacheDefinition" Target="pivotCache/pivotCacheDefinition17.xml"/><Relationship Id="rId64" Type="http://schemas.openxmlformats.org/officeDocument/2006/relationships/pivotCacheDefinition" Target="pivotCache/pivotCacheDefinition25.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pivotCacheDefinition" Target="pivotCache/pivotCacheDefinition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pivotCacheDefinition" Target="pivotCache/pivotCacheDefinition7.xml"/><Relationship Id="rId59" Type="http://schemas.openxmlformats.org/officeDocument/2006/relationships/pivotCacheDefinition" Target="pivotCache/pivotCacheDefinition20.xml"/><Relationship Id="rId67" Type="http://schemas.openxmlformats.org/officeDocument/2006/relationships/pivotCacheDefinition" Target="pivotCache/pivotCacheDefinition28.xml"/><Relationship Id="rId20" Type="http://schemas.openxmlformats.org/officeDocument/2006/relationships/worksheet" Target="worksheets/sheet20.xml"/><Relationship Id="rId41" Type="http://schemas.openxmlformats.org/officeDocument/2006/relationships/pivotCacheDefinition" Target="pivotCache/pivotCacheDefinition2.xml"/><Relationship Id="rId54" Type="http://schemas.openxmlformats.org/officeDocument/2006/relationships/pivotCacheDefinition" Target="pivotCache/pivotCacheDefinition15.xml"/><Relationship Id="rId62" Type="http://schemas.openxmlformats.org/officeDocument/2006/relationships/pivotCacheDefinition" Target="pivotCache/pivotCacheDefinition23.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10.xml"/><Relationship Id="rId57" Type="http://schemas.openxmlformats.org/officeDocument/2006/relationships/pivotCacheDefinition" Target="pivotCache/pivotCacheDefinition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5.xml"/><Relationship Id="rId52" Type="http://schemas.openxmlformats.org/officeDocument/2006/relationships/pivotCacheDefinition" Target="pivotCache/pivotCacheDefinition13.xml"/><Relationship Id="rId60" Type="http://schemas.openxmlformats.org/officeDocument/2006/relationships/pivotCacheDefinition" Target="pivotCache/pivotCacheDefinition21.xml"/><Relationship Id="rId65" Type="http://schemas.openxmlformats.org/officeDocument/2006/relationships/pivotCacheDefinition" Target="pivotCache/pivotCacheDefinition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pivotCacheDefinition" Target="pivotCache/pivotCacheDefinition11.xml"/><Relationship Id="rId55" Type="http://schemas.openxmlformats.org/officeDocument/2006/relationships/pivotCacheDefinition" Target="pivotCache/pivotCacheDefinition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orksm\Desktop\MN_01-24603%20AL-%20Contract%20Fees%202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Corporate\Cost%20Accounting\Accountant%20Files\Public%20Sector\2023\2-February\1%20-%20FEB-23%20GP%20Tie%20Out%20OPR%20and%20Fus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Corporate\Cost%20Accounting\Accountant%20Files\Public%20Sector\2023\FEB%20101-245011%20Accrued%20Liabilities%20-%20Public%20Secto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DEC-16"/>
      <sheetName val="JAN-17"/>
      <sheetName val="FEB-17"/>
      <sheetName val="MAR-17"/>
      <sheetName val="APR-17"/>
      <sheetName val="MAY-17"/>
      <sheetName val="JUN-17"/>
      <sheetName val="JUL-17"/>
      <sheetName val="AUG-17"/>
      <sheetName val="SEP-17"/>
      <sheetName val="OCT-17"/>
      <sheetName val="NOV-17"/>
      <sheetName val="DEC-17"/>
      <sheetName val="DEC-17 (2)"/>
      <sheetName val="Audit"/>
      <sheetName val="GL Details"/>
      <sheetName val="OFFSETS"/>
    </sheetNames>
    <sheetDataSet>
      <sheetData sheetId="0">
        <row r="45">
          <cell r="A45" t="str">
            <v>Recover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Fusion Revenue"/>
      <sheetName val="Fusion Revenue SAAS"/>
      <sheetName val="Fusion Revenue Svs Sku"/>
      <sheetName val="Fusion Cost"/>
      <sheetName val="Fusion Cost SAAS"/>
      <sheetName val="Fusion Cost Svs Sku"/>
      <sheetName val="Fusion FX Loss-AP Match"/>
      <sheetName val="Global Tie Out"/>
      <sheetName val="Interco OPR"/>
      <sheetName val="REV"/>
      <sheetName val="COST"/>
      <sheetName val="GL Only Rev"/>
      <sheetName val="GL Only Cost"/>
      <sheetName val="Interco Freight"/>
      <sheetName val="Drop Ship AvCost Entries"/>
      <sheetName val="Mat GP v FF"/>
      <sheetName val="Sheet1"/>
      <sheetName val="Drop Ship AvCost Variance"/>
      <sheetName val="Interco"/>
      <sheetName val="Timing Vari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62">
          <cell r="B62">
            <v>8417294.6399999857</v>
          </cell>
          <cell r="C62">
            <v>-1988220.9599999972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ing Formulas"/>
      <sheetName val="245011"/>
      <sheetName val="Offsets 2023"/>
      <sheetName val="Offsets Old Template"/>
    </sheetNames>
    <sheetDataSet>
      <sheetData sheetId="0">
        <row r="2">
          <cell r="A2" t="str">
            <v>Closing Month End Date</v>
          </cell>
          <cell r="B2">
            <v>44957</v>
          </cell>
        </row>
        <row r="4">
          <cell r="A4" t="str">
            <v>Aging Buckets</v>
          </cell>
          <cell r="B4"/>
        </row>
        <row r="5">
          <cell r="A5" t="str">
            <v>Age</v>
          </cell>
          <cell r="B5" t="str">
            <v>Bucket</v>
          </cell>
        </row>
        <row r="6">
          <cell r="A6">
            <v>0</v>
          </cell>
          <cell r="B6" t="str">
            <v>0-30</v>
          </cell>
        </row>
        <row r="7">
          <cell r="A7">
            <v>1</v>
          </cell>
          <cell r="B7" t="str">
            <v>0-30</v>
          </cell>
        </row>
        <row r="8">
          <cell r="A8">
            <v>2</v>
          </cell>
          <cell r="B8" t="str">
            <v>0-30</v>
          </cell>
        </row>
        <row r="9">
          <cell r="A9">
            <v>3</v>
          </cell>
          <cell r="B9" t="str">
            <v>0-30</v>
          </cell>
        </row>
        <row r="10">
          <cell r="A10">
            <v>4</v>
          </cell>
          <cell r="B10" t="str">
            <v>0-30</v>
          </cell>
        </row>
        <row r="11">
          <cell r="A11">
            <v>5</v>
          </cell>
          <cell r="B11" t="str">
            <v>0-30</v>
          </cell>
        </row>
        <row r="12">
          <cell r="A12">
            <v>6</v>
          </cell>
          <cell r="B12" t="str">
            <v>0-30</v>
          </cell>
        </row>
        <row r="13">
          <cell r="A13">
            <v>7</v>
          </cell>
          <cell r="B13" t="str">
            <v>0-30</v>
          </cell>
        </row>
        <row r="14">
          <cell r="A14">
            <v>8</v>
          </cell>
          <cell r="B14" t="str">
            <v>0-30</v>
          </cell>
        </row>
        <row r="15">
          <cell r="A15">
            <v>9</v>
          </cell>
          <cell r="B15" t="str">
            <v>0-30</v>
          </cell>
        </row>
        <row r="16">
          <cell r="A16">
            <v>10</v>
          </cell>
          <cell r="B16" t="str">
            <v>0-30</v>
          </cell>
        </row>
        <row r="17">
          <cell r="A17">
            <v>11</v>
          </cell>
          <cell r="B17" t="str">
            <v>0-30</v>
          </cell>
        </row>
        <row r="18">
          <cell r="A18">
            <v>12</v>
          </cell>
          <cell r="B18" t="str">
            <v>0-30</v>
          </cell>
        </row>
        <row r="19">
          <cell r="A19">
            <v>13</v>
          </cell>
          <cell r="B19" t="str">
            <v>0-30</v>
          </cell>
        </row>
        <row r="20">
          <cell r="A20">
            <v>14</v>
          </cell>
          <cell r="B20" t="str">
            <v>0-30</v>
          </cell>
        </row>
        <row r="21">
          <cell r="A21">
            <v>15</v>
          </cell>
          <cell r="B21" t="str">
            <v>0-30</v>
          </cell>
        </row>
        <row r="22">
          <cell r="A22">
            <v>16</v>
          </cell>
          <cell r="B22" t="str">
            <v>0-30</v>
          </cell>
        </row>
        <row r="23">
          <cell r="A23">
            <v>17</v>
          </cell>
          <cell r="B23" t="str">
            <v>0-30</v>
          </cell>
        </row>
        <row r="24">
          <cell r="A24">
            <v>18</v>
          </cell>
          <cell r="B24" t="str">
            <v>0-30</v>
          </cell>
        </row>
        <row r="25">
          <cell r="A25">
            <v>19</v>
          </cell>
          <cell r="B25" t="str">
            <v>0-30</v>
          </cell>
        </row>
        <row r="26">
          <cell r="A26">
            <v>20</v>
          </cell>
          <cell r="B26" t="str">
            <v>0-30</v>
          </cell>
        </row>
        <row r="27">
          <cell r="A27">
            <v>21</v>
          </cell>
          <cell r="B27" t="str">
            <v>0-30</v>
          </cell>
        </row>
        <row r="28">
          <cell r="A28">
            <v>22</v>
          </cell>
          <cell r="B28" t="str">
            <v>0-30</v>
          </cell>
        </row>
        <row r="29">
          <cell r="A29">
            <v>23</v>
          </cell>
          <cell r="B29" t="str">
            <v>0-30</v>
          </cell>
        </row>
        <row r="30">
          <cell r="A30">
            <v>24</v>
          </cell>
          <cell r="B30" t="str">
            <v>0-30</v>
          </cell>
        </row>
        <row r="31">
          <cell r="A31">
            <v>25</v>
          </cell>
          <cell r="B31" t="str">
            <v>0-30</v>
          </cell>
        </row>
        <row r="32">
          <cell r="A32">
            <v>26</v>
          </cell>
          <cell r="B32" t="str">
            <v>0-30</v>
          </cell>
        </row>
        <row r="33">
          <cell r="A33">
            <v>27</v>
          </cell>
          <cell r="B33" t="str">
            <v>0-30</v>
          </cell>
        </row>
        <row r="34">
          <cell r="A34">
            <v>28</v>
          </cell>
          <cell r="B34" t="str">
            <v>0-30</v>
          </cell>
        </row>
        <row r="35">
          <cell r="A35">
            <v>29</v>
          </cell>
          <cell r="B35" t="str">
            <v>0-30</v>
          </cell>
        </row>
        <row r="36">
          <cell r="A36">
            <v>30</v>
          </cell>
          <cell r="B36" t="str">
            <v>0-30</v>
          </cell>
        </row>
        <row r="37">
          <cell r="A37">
            <v>31</v>
          </cell>
          <cell r="B37" t="str">
            <v>31-60</v>
          </cell>
        </row>
        <row r="38">
          <cell r="A38">
            <v>32</v>
          </cell>
          <cell r="B38" t="str">
            <v>31-60</v>
          </cell>
        </row>
        <row r="39">
          <cell r="A39">
            <v>33</v>
          </cell>
          <cell r="B39" t="str">
            <v>31-60</v>
          </cell>
        </row>
        <row r="40">
          <cell r="A40">
            <v>34</v>
          </cell>
          <cell r="B40" t="str">
            <v>31-60</v>
          </cell>
        </row>
        <row r="41">
          <cell r="A41">
            <v>35</v>
          </cell>
          <cell r="B41" t="str">
            <v>31-60</v>
          </cell>
        </row>
        <row r="42">
          <cell r="A42">
            <v>36</v>
          </cell>
          <cell r="B42" t="str">
            <v>31-60</v>
          </cell>
        </row>
        <row r="43">
          <cell r="A43">
            <v>37</v>
          </cell>
          <cell r="B43" t="str">
            <v>31-60</v>
          </cell>
        </row>
        <row r="44">
          <cell r="A44">
            <v>38</v>
          </cell>
          <cell r="B44" t="str">
            <v>31-60</v>
          </cell>
        </row>
        <row r="45">
          <cell r="A45">
            <v>39</v>
          </cell>
          <cell r="B45" t="str">
            <v>31-60</v>
          </cell>
        </row>
        <row r="46">
          <cell r="A46">
            <v>40</v>
          </cell>
          <cell r="B46" t="str">
            <v>31-60</v>
          </cell>
        </row>
        <row r="47">
          <cell r="A47">
            <v>41</v>
          </cell>
          <cell r="B47" t="str">
            <v>31-60</v>
          </cell>
        </row>
        <row r="48">
          <cell r="A48">
            <v>42</v>
          </cell>
          <cell r="B48" t="str">
            <v>31-60</v>
          </cell>
        </row>
        <row r="49">
          <cell r="A49">
            <v>43</v>
          </cell>
          <cell r="B49" t="str">
            <v>31-60</v>
          </cell>
        </row>
        <row r="50">
          <cell r="A50">
            <v>44</v>
          </cell>
          <cell r="B50" t="str">
            <v>31-60</v>
          </cell>
        </row>
        <row r="51">
          <cell r="A51">
            <v>45</v>
          </cell>
          <cell r="B51" t="str">
            <v>31-60</v>
          </cell>
        </row>
        <row r="52">
          <cell r="A52">
            <v>46</v>
          </cell>
          <cell r="B52" t="str">
            <v>31-60</v>
          </cell>
        </row>
        <row r="53">
          <cell r="A53">
            <v>47</v>
          </cell>
          <cell r="B53" t="str">
            <v>31-60</v>
          </cell>
        </row>
        <row r="54">
          <cell r="A54">
            <v>48</v>
          </cell>
          <cell r="B54" t="str">
            <v>31-60</v>
          </cell>
        </row>
        <row r="55">
          <cell r="A55">
            <v>49</v>
          </cell>
          <cell r="B55" t="str">
            <v>31-60</v>
          </cell>
        </row>
        <row r="56">
          <cell r="A56">
            <v>50</v>
          </cell>
          <cell r="B56" t="str">
            <v>31-60</v>
          </cell>
        </row>
        <row r="57">
          <cell r="A57">
            <v>51</v>
          </cell>
          <cell r="B57" t="str">
            <v>31-60</v>
          </cell>
        </row>
        <row r="58">
          <cell r="A58">
            <v>52</v>
          </cell>
          <cell r="B58" t="str">
            <v>31-60</v>
          </cell>
        </row>
        <row r="59">
          <cell r="A59">
            <v>53</v>
          </cell>
          <cell r="B59" t="str">
            <v>31-60</v>
          </cell>
        </row>
        <row r="60">
          <cell r="A60">
            <v>54</v>
          </cell>
          <cell r="B60" t="str">
            <v>31-60</v>
          </cell>
        </row>
        <row r="61">
          <cell r="A61">
            <v>55</v>
          </cell>
          <cell r="B61" t="str">
            <v>31-60</v>
          </cell>
        </row>
        <row r="62">
          <cell r="A62">
            <v>56</v>
          </cell>
          <cell r="B62" t="str">
            <v>31-60</v>
          </cell>
        </row>
        <row r="63">
          <cell r="A63">
            <v>57</v>
          </cell>
          <cell r="B63" t="str">
            <v>31-60</v>
          </cell>
        </row>
        <row r="64">
          <cell r="A64">
            <v>58</v>
          </cell>
          <cell r="B64" t="str">
            <v>31-60</v>
          </cell>
        </row>
        <row r="65">
          <cell r="A65">
            <v>59</v>
          </cell>
          <cell r="B65" t="str">
            <v>31-60</v>
          </cell>
        </row>
        <row r="66">
          <cell r="A66">
            <v>60</v>
          </cell>
          <cell r="B66" t="str">
            <v>31-60</v>
          </cell>
        </row>
        <row r="67">
          <cell r="A67">
            <v>61</v>
          </cell>
          <cell r="B67" t="str">
            <v>61-90</v>
          </cell>
        </row>
        <row r="68">
          <cell r="A68">
            <v>62</v>
          </cell>
          <cell r="B68" t="str">
            <v>61-90</v>
          </cell>
        </row>
        <row r="69">
          <cell r="A69">
            <v>63</v>
          </cell>
          <cell r="B69" t="str">
            <v>61-90</v>
          </cell>
        </row>
        <row r="70">
          <cell r="A70">
            <v>64</v>
          </cell>
          <cell r="B70" t="str">
            <v>61-90</v>
          </cell>
        </row>
        <row r="71">
          <cell r="A71">
            <v>65</v>
          </cell>
          <cell r="B71" t="str">
            <v>61-90</v>
          </cell>
        </row>
        <row r="72">
          <cell r="A72">
            <v>66</v>
          </cell>
          <cell r="B72" t="str">
            <v>61-90</v>
          </cell>
        </row>
        <row r="73">
          <cell r="A73">
            <v>67</v>
          </cell>
          <cell r="B73" t="str">
            <v>61-90</v>
          </cell>
        </row>
        <row r="74">
          <cell r="A74">
            <v>68</v>
          </cell>
          <cell r="B74" t="str">
            <v>61-90</v>
          </cell>
        </row>
        <row r="75">
          <cell r="A75">
            <v>69</v>
          </cell>
          <cell r="B75" t="str">
            <v>61-90</v>
          </cell>
        </row>
        <row r="76">
          <cell r="A76">
            <v>70</v>
          </cell>
          <cell r="B76" t="str">
            <v>61-90</v>
          </cell>
        </row>
        <row r="77">
          <cell r="A77">
            <v>71</v>
          </cell>
          <cell r="B77" t="str">
            <v>61-90</v>
          </cell>
        </row>
        <row r="78">
          <cell r="A78">
            <v>72</v>
          </cell>
          <cell r="B78" t="str">
            <v>61-90</v>
          </cell>
        </row>
        <row r="79">
          <cell r="A79">
            <v>73</v>
          </cell>
          <cell r="B79" t="str">
            <v>61-90</v>
          </cell>
        </row>
        <row r="80">
          <cell r="A80">
            <v>74</v>
          </cell>
          <cell r="B80" t="str">
            <v>61-90</v>
          </cell>
        </row>
        <row r="81">
          <cell r="A81">
            <v>75</v>
          </cell>
          <cell r="B81" t="str">
            <v>61-90</v>
          </cell>
        </row>
        <row r="82">
          <cell r="A82">
            <v>76</v>
          </cell>
          <cell r="B82" t="str">
            <v>61-90</v>
          </cell>
        </row>
        <row r="83">
          <cell r="A83">
            <v>77</v>
          </cell>
          <cell r="B83" t="str">
            <v>61-90</v>
          </cell>
        </row>
        <row r="84">
          <cell r="A84">
            <v>78</v>
          </cell>
          <cell r="B84" t="str">
            <v>61-90</v>
          </cell>
        </row>
        <row r="85">
          <cell r="A85">
            <v>79</v>
          </cell>
          <cell r="B85" t="str">
            <v>61-90</v>
          </cell>
        </row>
        <row r="86">
          <cell r="A86">
            <v>80</v>
          </cell>
          <cell r="B86" t="str">
            <v>61-90</v>
          </cell>
        </row>
        <row r="87">
          <cell r="A87">
            <v>81</v>
          </cell>
          <cell r="B87" t="str">
            <v>61-90</v>
          </cell>
        </row>
        <row r="88">
          <cell r="A88">
            <v>82</v>
          </cell>
          <cell r="B88" t="str">
            <v>61-90</v>
          </cell>
        </row>
        <row r="89">
          <cell r="A89">
            <v>83</v>
          </cell>
          <cell r="B89" t="str">
            <v>61-90</v>
          </cell>
        </row>
        <row r="90">
          <cell r="A90">
            <v>84</v>
          </cell>
          <cell r="B90" t="str">
            <v>61-90</v>
          </cell>
        </row>
        <row r="91">
          <cell r="A91">
            <v>85</v>
          </cell>
          <cell r="B91" t="str">
            <v>61-90</v>
          </cell>
        </row>
        <row r="92">
          <cell r="A92">
            <v>86</v>
          </cell>
          <cell r="B92" t="str">
            <v>61-90</v>
          </cell>
        </row>
        <row r="93">
          <cell r="A93">
            <v>87</v>
          </cell>
          <cell r="B93" t="str">
            <v>61-90</v>
          </cell>
        </row>
        <row r="94">
          <cell r="A94">
            <v>88</v>
          </cell>
          <cell r="B94" t="str">
            <v>61-90</v>
          </cell>
        </row>
        <row r="95">
          <cell r="A95">
            <v>89</v>
          </cell>
          <cell r="B95" t="str">
            <v>61-90</v>
          </cell>
        </row>
        <row r="96">
          <cell r="A96">
            <v>90</v>
          </cell>
          <cell r="B96" t="str">
            <v>61-90</v>
          </cell>
        </row>
        <row r="97">
          <cell r="A97">
            <v>91</v>
          </cell>
          <cell r="B97" t="str">
            <v>91-120</v>
          </cell>
        </row>
        <row r="98">
          <cell r="A98">
            <v>92</v>
          </cell>
          <cell r="B98" t="str">
            <v>91-120</v>
          </cell>
        </row>
        <row r="99">
          <cell r="A99">
            <v>93</v>
          </cell>
          <cell r="B99" t="str">
            <v>91-120</v>
          </cell>
        </row>
        <row r="100">
          <cell r="A100">
            <v>94</v>
          </cell>
          <cell r="B100" t="str">
            <v>91-120</v>
          </cell>
        </row>
        <row r="101">
          <cell r="A101">
            <v>95</v>
          </cell>
          <cell r="B101" t="str">
            <v>91-120</v>
          </cell>
        </row>
        <row r="102">
          <cell r="A102">
            <v>96</v>
          </cell>
          <cell r="B102" t="str">
            <v>91-120</v>
          </cell>
        </row>
        <row r="103">
          <cell r="A103">
            <v>97</v>
          </cell>
          <cell r="B103" t="str">
            <v>91-120</v>
          </cell>
        </row>
        <row r="104">
          <cell r="A104">
            <v>98</v>
          </cell>
          <cell r="B104" t="str">
            <v>91-120</v>
          </cell>
        </row>
        <row r="105">
          <cell r="A105">
            <v>99</v>
          </cell>
          <cell r="B105" t="str">
            <v>91-120</v>
          </cell>
        </row>
        <row r="106">
          <cell r="A106">
            <v>100</v>
          </cell>
          <cell r="B106" t="str">
            <v>91-120</v>
          </cell>
        </row>
        <row r="107">
          <cell r="A107">
            <v>101</v>
          </cell>
          <cell r="B107" t="str">
            <v>91-120</v>
          </cell>
        </row>
        <row r="108">
          <cell r="A108">
            <v>102</v>
          </cell>
          <cell r="B108" t="str">
            <v>91-120</v>
          </cell>
        </row>
        <row r="109">
          <cell r="A109">
            <v>103</v>
          </cell>
          <cell r="B109" t="str">
            <v>91-120</v>
          </cell>
        </row>
        <row r="110">
          <cell r="A110">
            <v>104</v>
          </cell>
          <cell r="B110" t="str">
            <v>91-120</v>
          </cell>
        </row>
        <row r="111">
          <cell r="A111">
            <v>105</v>
          </cell>
          <cell r="B111" t="str">
            <v>91-120</v>
          </cell>
        </row>
        <row r="112">
          <cell r="A112">
            <v>106</v>
          </cell>
          <cell r="B112" t="str">
            <v>91-120</v>
          </cell>
        </row>
        <row r="113">
          <cell r="A113">
            <v>107</v>
          </cell>
          <cell r="B113" t="str">
            <v>91-120</v>
          </cell>
        </row>
        <row r="114">
          <cell r="A114">
            <v>108</v>
          </cell>
          <cell r="B114" t="str">
            <v>91-120</v>
          </cell>
        </row>
        <row r="115">
          <cell r="A115">
            <v>109</v>
          </cell>
          <cell r="B115" t="str">
            <v>91-120</v>
          </cell>
        </row>
        <row r="116">
          <cell r="A116">
            <v>110</v>
          </cell>
          <cell r="B116" t="str">
            <v>91-120</v>
          </cell>
        </row>
        <row r="117">
          <cell r="A117">
            <v>111</v>
          </cell>
          <cell r="B117" t="str">
            <v>91-120</v>
          </cell>
        </row>
        <row r="118">
          <cell r="A118">
            <v>112</v>
          </cell>
          <cell r="B118" t="str">
            <v>91-120</v>
          </cell>
        </row>
        <row r="119">
          <cell r="A119">
            <v>113</v>
          </cell>
          <cell r="B119" t="str">
            <v>91-120</v>
          </cell>
        </row>
        <row r="120">
          <cell r="A120">
            <v>114</v>
          </cell>
          <cell r="B120" t="str">
            <v>91-120</v>
          </cell>
        </row>
        <row r="121">
          <cell r="A121">
            <v>115</v>
          </cell>
          <cell r="B121" t="str">
            <v>91-120</v>
          </cell>
        </row>
        <row r="122">
          <cell r="A122">
            <v>116</v>
          </cell>
          <cell r="B122" t="str">
            <v>91-120</v>
          </cell>
        </row>
        <row r="123">
          <cell r="A123">
            <v>117</v>
          </cell>
          <cell r="B123" t="str">
            <v>91-120</v>
          </cell>
        </row>
        <row r="124">
          <cell r="A124">
            <v>118</v>
          </cell>
          <cell r="B124" t="str">
            <v>91-120</v>
          </cell>
        </row>
        <row r="125">
          <cell r="A125">
            <v>119</v>
          </cell>
          <cell r="B125" t="str">
            <v>91-120</v>
          </cell>
        </row>
        <row r="126">
          <cell r="A126">
            <v>120</v>
          </cell>
          <cell r="B126" t="str">
            <v>91-120</v>
          </cell>
        </row>
        <row r="127">
          <cell r="A127">
            <v>121</v>
          </cell>
          <cell r="B127" t="str">
            <v>121-150</v>
          </cell>
        </row>
        <row r="128">
          <cell r="A128">
            <v>122</v>
          </cell>
          <cell r="B128" t="str">
            <v>121-150</v>
          </cell>
        </row>
        <row r="129">
          <cell r="A129">
            <v>123</v>
          </cell>
          <cell r="B129" t="str">
            <v>121-150</v>
          </cell>
        </row>
        <row r="130">
          <cell r="A130">
            <v>124</v>
          </cell>
          <cell r="B130" t="str">
            <v>121-150</v>
          </cell>
        </row>
        <row r="131">
          <cell r="A131">
            <v>125</v>
          </cell>
          <cell r="B131" t="str">
            <v>121-150</v>
          </cell>
        </row>
        <row r="132">
          <cell r="A132">
            <v>126</v>
          </cell>
          <cell r="B132" t="str">
            <v>121-150</v>
          </cell>
        </row>
        <row r="133">
          <cell r="A133">
            <v>127</v>
          </cell>
          <cell r="B133" t="str">
            <v>121-150</v>
          </cell>
        </row>
        <row r="134">
          <cell r="A134">
            <v>128</v>
          </cell>
          <cell r="B134" t="str">
            <v>121-150</v>
          </cell>
        </row>
        <row r="135">
          <cell r="A135">
            <v>129</v>
          </cell>
          <cell r="B135" t="str">
            <v>121-150</v>
          </cell>
        </row>
        <row r="136">
          <cell r="A136">
            <v>130</v>
          </cell>
          <cell r="B136" t="str">
            <v>121-150</v>
          </cell>
        </row>
        <row r="137">
          <cell r="A137">
            <v>131</v>
          </cell>
          <cell r="B137" t="str">
            <v>121-150</v>
          </cell>
        </row>
        <row r="138">
          <cell r="A138">
            <v>132</v>
          </cell>
          <cell r="B138" t="str">
            <v>121-150</v>
          </cell>
        </row>
        <row r="139">
          <cell r="A139">
            <v>133</v>
          </cell>
          <cell r="B139" t="str">
            <v>121-150</v>
          </cell>
        </row>
        <row r="140">
          <cell r="A140">
            <v>134</v>
          </cell>
          <cell r="B140" t="str">
            <v>121-150</v>
          </cell>
        </row>
        <row r="141">
          <cell r="A141">
            <v>135</v>
          </cell>
          <cell r="B141" t="str">
            <v>121-150</v>
          </cell>
        </row>
        <row r="142">
          <cell r="A142">
            <v>136</v>
          </cell>
          <cell r="B142" t="str">
            <v>121-150</v>
          </cell>
        </row>
        <row r="143">
          <cell r="A143">
            <v>137</v>
          </cell>
          <cell r="B143" t="str">
            <v>121-150</v>
          </cell>
        </row>
        <row r="144">
          <cell r="A144">
            <v>138</v>
          </cell>
          <cell r="B144" t="str">
            <v>121-150</v>
          </cell>
        </row>
        <row r="145">
          <cell r="A145">
            <v>139</v>
          </cell>
          <cell r="B145" t="str">
            <v>121-150</v>
          </cell>
        </row>
        <row r="146">
          <cell r="A146">
            <v>140</v>
          </cell>
          <cell r="B146" t="str">
            <v>121-150</v>
          </cell>
        </row>
        <row r="147">
          <cell r="A147">
            <v>141</v>
          </cell>
          <cell r="B147" t="str">
            <v>121-150</v>
          </cell>
        </row>
        <row r="148">
          <cell r="A148">
            <v>142</v>
          </cell>
          <cell r="B148" t="str">
            <v>121-150</v>
          </cell>
        </row>
        <row r="149">
          <cell r="A149">
            <v>143</v>
          </cell>
          <cell r="B149" t="str">
            <v>121-150</v>
          </cell>
        </row>
        <row r="150">
          <cell r="A150">
            <v>144</v>
          </cell>
          <cell r="B150" t="str">
            <v>121-150</v>
          </cell>
        </row>
        <row r="151">
          <cell r="A151">
            <v>145</v>
          </cell>
          <cell r="B151" t="str">
            <v>121-150</v>
          </cell>
        </row>
        <row r="152">
          <cell r="A152">
            <v>146</v>
          </cell>
          <cell r="B152" t="str">
            <v>121-150</v>
          </cell>
        </row>
        <row r="153">
          <cell r="A153">
            <v>147</v>
          </cell>
          <cell r="B153" t="str">
            <v>121-150</v>
          </cell>
        </row>
        <row r="154">
          <cell r="A154">
            <v>148</v>
          </cell>
          <cell r="B154" t="str">
            <v>121-150</v>
          </cell>
        </row>
        <row r="155">
          <cell r="A155">
            <v>149</v>
          </cell>
          <cell r="B155" t="str">
            <v>121-150</v>
          </cell>
        </row>
        <row r="156">
          <cell r="A156">
            <v>150</v>
          </cell>
          <cell r="B156" t="str">
            <v>121-150</v>
          </cell>
        </row>
        <row r="157">
          <cell r="A157">
            <v>151</v>
          </cell>
          <cell r="B157" t="str">
            <v>151-180</v>
          </cell>
        </row>
        <row r="158">
          <cell r="A158">
            <v>152</v>
          </cell>
          <cell r="B158" t="str">
            <v>151-180</v>
          </cell>
        </row>
        <row r="159">
          <cell r="A159">
            <v>153</v>
          </cell>
          <cell r="B159" t="str">
            <v>151-180</v>
          </cell>
        </row>
        <row r="160">
          <cell r="A160">
            <v>154</v>
          </cell>
          <cell r="B160" t="str">
            <v>151-180</v>
          </cell>
        </row>
        <row r="161">
          <cell r="A161">
            <v>155</v>
          </cell>
          <cell r="B161" t="str">
            <v>151-180</v>
          </cell>
        </row>
        <row r="162">
          <cell r="A162">
            <v>156</v>
          </cell>
          <cell r="B162" t="str">
            <v>151-180</v>
          </cell>
        </row>
        <row r="163">
          <cell r="A163">
            <v>157</v>
          </cell>
          <cell r="B163" t="str">
            <v>151-180</v>
          </cell>
        </row>
        <row r="164">
          <cell r="A164">
            <v>158</v>
          </cell>
          <cell r="B164" t="str">
            <v>151-180</v>
          </cell>
        </row>
        <row r="165">
          <cell r="A165">
            <v>159</v>
          </cell>
          <cell r="B165" t="str">
            <v>151-180</v>
          </cell>
        </row>
        <row r="166">
          <cell r="A166">
            <v>160</v>
          </cell>
          <cell r="B166" t="str">
            <v>151-180</v>
          </cell>
        </row>
        <row r="167">
          <cell r="A167">
            <v>161</v>
          </cell>
          <cell r="B167" t="str">
            <v>151-180</v>
          </cell>
        </row>
        <row r="168">
          <cell r="A168">
            <v>162</v>
          </cell>
          <cell r="B168" t="str">
            <v>151-180</v>
          </cell>
        </row>
        <row r="169">
          <cell r="A169">
            <v>163</v>
          </cell>
          <cell r="B169" t="str">
            <v>151-180</v>
          </cell>
        </row>
        <row r="170">
          <cell r="A170">
            <v>164</v>
          </cell>
          <cell r="B170" t="str">
            <v>151-180</v>
          </cell>
        </row>
        <row r="171">
          <cell r="A171">
            <v>165</v>
          </cell>
          <cell r="B171" t="str">
            <v>151-180</v>
          </cell>
        </row>
        <row r="172">
          <cell r="A172">
            <v>166</v>
          </cell>
          <cell r="B172" t="str">
            <v>151-180</v>
          </cell>
        </row>
        <row r="173">
          <cell r="A173">
            <v>167</v>
          </cell>
          <cell r="B173" t="str">
            <v>151-180</v>
          </cell>
        </row>
        <row r="174">
          <cell r="A174">
            <v>168</v>
          </cell>
          <cell r="B174" t="str">
            <v>151-180</v>
          </cell>
        </row>
        <row r="175">
          <cell r="A175">
            <v>169</v>
          </cell>
          <cell r="B175" t="str">
            <v>151-180</v>
          </cell>
        </row>
        <row r="176">
          <cell r="A176">
            <v>170</v>
          </cell>
          <cell r="B176" t="str">
            <v>151-180</v>
          </cell>
        </row>
        <row r="177">
          <cell r="A177">
            <v>171</v>
          </cell>
          <cell r="B177" t="str">
            <v>151-180</v>
          </cell>
        </row>
        <row r="178">
          <cell r="A178">
            <v>172</v>
          </cell>
          <cell r="B178" t="str">
            <v>151-180</v>
          </cell>
        </row>
        <row r="179">
          <cell r="A179">
            <v>173</v>
          </cell>
          <cell r="B179" t="str">
            <v>151-180</v>
          </cell>
        </row>
        <row r="180">
          <cell r="A180">
            <v>174</v>
          </cell>
          <cell r="B180" t="str">
            <v>151-180</v>
          </cell>
        </row>
        <row r="181">
          <cell r="A181">
            <v>175</v>
          </cell>
          <cell r="B181" t="str">
            <v>151-180</v>
          </cell>
        </row>
        <row r="182">
          <cell r="A182">
            <v>176</v>
          </cell>
          <cell r="B182" t="str">
            <v>151-180</v>
          </cell>
        </row>
        <row r="183">
          <cell r="A183">
            <v>177</v>
          </cell>
          <cell r="B183" t="str">
            <v>151-180</v>
          </cell>
        </row>
        <row r="184">
          <cell r="A184">
            <v>178</v>
          </cell>
          <cell r="B184" t="str">
            <v>151-180</v>
          </cell>
        </row>
        <row r="185">
          <cell r="A185">
            <v>179</v>
          </cell>
          <cell r="B185" t="str">
            <v>151-180</v>
          </cell>
        </row>
        <row r="186">
          <cell r="A186">
            <v>180</v>
          </cell>
          <cell r="B186" t="str">
            <v>151-180</v>
          </cell>
        </row>
        <row r="187">
          <cell r="A187">
            <v>181</v>
          </cell>
          <cell r="B187" t="str">
            <v>181-210</v>
          </cell>
        </row>
        <row r="188">
          <cell r="A188">
            <v>182</v>
          </cell>
          <cell r="B188" t="str">
            <v>181-210</v>
          </cell>
        </row>
        <row r="189">
          <cell r="A189">
            <v>183</v>
          </cell>
          <cell r="B189" t="str">
            <v>181-210</v>
          </cell>
        </row>
        <row r="190">
          <cell r="A190">
            <v>184</v>
          </cell>
          <cell r="B190" t="str">
            <v>181-210</v>
          </cell>
        </row>
        <row r="191">
          <cell r="A191">
            <v>185</v>
          </cell>
          <cell r="B191" t="str">
            <v>181-210</v>
          </cell>
        </row>
        <row r="192">
          <cell r="A192">
            <v>186</v>
          </cell>
          <cell r="B192" t="str">
            <v>181-210</v>
          </cell>
        </row>
        <row r="193">
          <cell r="A193">
            <v>187</v>
          </cell>
          <cell r="B193" t="str">
            <v>181-210</v>
          </cell>
        </row>
        <row r="194">
          <cell r="A194">
            <v>188</v>
          </cell>
          <cell r="B194" t="str">
            <v>181-210</v>
          </cell>
        </row>
        <row r="195">
          <cell r="A195">
            <v>189</v>
          </cell>
          <cell r="B195" t="str">
            <v>181-210</v>
          </cell>
        </row>
        <row r="196">
          <cell r="A196">
            <v>190</v>
          </cell>
          <cell r="B196" t="str">
            <v>181-210</v>
          </cell>
        </row>
        <row r="197">
          <cell r="A197">
            <v>191</v>
          </cell>
          <cell r="B197" t="str">
            <v>181-210</v>
          </cell>
        </row>
        <row r="198">
          <cell r="A198">
            <v>192</v>
          </cell>
          <cell r="B198" t="str">
            <v>181-210</v>
          </cell>
        </row>
        <row r="199">
          <cell r="A199">
            <v>193</v>
          </cell>
          <cell r="B199" t="str">
            <v>181-210</v>
          </cell>
        </row>
        <row r="200">
          <cell r="A200">
            <v>194</v>
          </cell>
          <cell r="B200" t="str">
            <v>181-210</v>
          </cell>
        </row>
        <row r="201">
          <cell r="A201">
            <v>195</v>
          </cell>
          <cell r="B201" t="str">
            <v>181-210</v>
          </cell>
        </row>
        <row r="202">
          <cell r="A202">
            <v>196</v>
          </cell>
          <cell r="B202" t="str">
            <v>181-210</v>
          </cell>
        </row>
        <row r="203">
          <cell r="A203">
            <v>197</v>
          </cell>
          <cell r="B203" t="str">
            <v>181-210</v>
          </cell>
        </row>
        <row r="204">
          <cell r="A204">
            <v>198</v>
          </cell>
          <cell r="B204" t="str">
            <v>181-210</v>
          </cell>
        </row>
        <row r="205">
          <cell r="A205">
            <v>199</v>
          </cell>
          <cell r="B205" t="str">
            <v>181-210</v>
          </cell>
        </row>
        <row r="206">
          <cell r="A206">
            <v>200</v>
          </cell>
          <cell r="B206" t="str">
            <v>181-210</v>
          </cell>
        </row>
        <row r="207">
          <cell r="A207">
            <v>201</v>
          </cell>
          <cell r="B207" t="str">
            <v>181-210</v>
          </cell>
        </row>
        <row r="208">
          <cell r="A208">
            <v>202</v>
          </cell>
          <cell r="B208" t="str">
            <v>181-210</v>
          </cell>
        </row>
        <row r="209">
          <cell r="A209">
            <v>203</v>
          </cell>
          <cell r="B209" t="str">
            <v>181-210</v>
          </cell>
        </row>
        <row r="210">
          <cell r="A210">
            <v>204</v>
          </cell>
          <cell r="B210" t="str">
            <v>181-210</v>
          </cell>
        </row>
        <row r="211">
          <cell r="A211">
            <v>205</v>
          </cell>
          <cell r="B211" t="str">
            <v>181-210</v>
          </cell>
        </row>
        <row r="212">
          <cell r="A212">
            <v>206</v>
          </cell>
          <cell r="B212" t="str">
            <v>181-210</v>
          </cell>
        </row>
        <row r="213">
          <cell r="A213">
            <v>207</v>
          </cell>
          <cell r="B213" t="str">
            <v>181-210</v>
          </cell>
        </row>
        <row r="214">
          <cell r="A214">
            <v>208</v>
          </cell>
          <cell r="B214" t="str">
            <v>181-210</v>
          </cell>
        </row>
        <row r="215">
          <cell r="A215">
            <v>209</v>
          </cell>
          <cell r="B215" t="str">
            <v>181-210</v>
          </cell>
        </row>
        <row r="216">
          <cell r="A216">
            <v>210</v>
          </cell>
          <cell r="B216" t="str">
            <v>181-210</v>
          </cell>
        </row>
        <row r="217">
          <cell r="A217">
            <v>211</v>
          </cell>
          <cell r="B217" t="str">
            <v>211-240</v>
          </cell>
        </row>
        <row r="218">
          <cell r="A218">
            <v>212</v>
          </cell>
          <cell r="B218" t="str">
            <v>211-240</v>
          </cell>
        </row>
        <row r="219">
          <cell r="A219">
            <v>213</v>
          </cell>
          <cell r="B219" t="str">
            <v>211-240</v>
          </cell>
        </row>
        <row r="220">
          <cell r="A220">
            <v>214</v>
          </cell>
          <cell r="B220" t="str">
            <v>211-240</v>
          </cell>
        </row>
        <row r="221">
          <cell r="A221">
            <v>215</v>
          </cell>
          <cell r="B221" t="str">
            <v>211-240</v>
          </cell>
        </row>
        <row r="222">
          <cell r="A222">
            <v>216</v>
          </cell>
          <cell r="B222" t="str">
            <v>211-240</v>
          </cell>
        </row>
        <row r="223">
          <cell r="A223">
            <v>217</v>
          </cell>
          <cell r="B223" t="str">
            <v>211-240</v>
          </cell>
        </row>
        <row r="224">
          <cell r="A224">
            <v>218</v>
          </cell>
          <cell r="B224" t="str">
            <v>211-240</v>
          </cell>
        </row>
        <row r="225">
          <cell r="A225">
            <v>219</v>
          </cell>
          <cell r="B225" t="str">
            <v>211-240</v>
          </cell>
        </row>
        <row r="226">
          <cell r="A226">
            <v>220</v>
          </cell>
          <cell r="B226" t="str">
            <v>211-240</v>
          </cell>
        </row>
        <row r="227">
          <cell r="A227">
            <v>221</v>
          </cell>
          <cell r="B227" t="str">
            <v>211-240</v>
          </cell>
        </row>
        <row r="228">
          <cell r="A228">
            <v>222</v>
          </cell>
          <cell r="B228" t="str">
            <v>211-240</v>
          </cell>
        </row>
        <row r="229">
          <cell r="A229">
            <v>223</v>
          </cell>
          <cell r="B229" t="str">
            <v>211-240</v>
          </cell>
        </row>
        <row r="230">
          <cell r="A230">
            <v>224</v>
          </cell>
          <cell r="B230" t="str">
            <v>211-240</v>
          </cell>
        </row>
        <row r="231">
          <cell r="A231">
            <v>225</v>
          </cell>
          <cell r="B231" t="str">
            <v>211-240</v>
          </cell>
        </row>
        <row r="232">
          <cell r="A232">
            <v>226</v>
          </cell>
          <cell r="B232" t="str">
            <v>211-240</v>
          </cell>
        </row>
        <row r="233">
          <cell r="A233">
            <v>227</v>
          </cell>
          <cell r="B233" t="str">
            <v>211-240</v>
          </cell>
        </row>
        <row r="234">
          <cell r="A234">
            <v>228</v>
          </cell>
          <cell r="B234" t="str">
            <v>211-240</v>
          </cell>
        </row>
        <row r="235">
          <cell r="A235">
            <v>229</v>
          </cell>
          <cell r="B235" t="str">
            <v>211-240</v>
          </cell>
        </row>
        <row r="236">
          <cell r="A236">
            <v>230</v>
          </cell>
          <cell r="B236" t="str">
            <v>211-240</v>
          </cell>
        </row>
        <row r="237">
          <cell r="A237">
            <v>231</v>
          </cell>
          <cell r="B237" t="str">
            <v>211-240</v>
          </cell>
        </row>
        <row r="238">
          <cell r="A238">
            <v>232</v>
          </cell>
          <cell r="B238" t="str">
            <v>211-240</v>
          </cell>
        </row>
        <row r="239">
          <cell r="A239">
            <v>233</v>
          </cell>
          <cell r="B239" t="str">
            <v>211-240</v>
          </cell>
        </row>
        <row r="240">
          <cell r="A240">
            <v>234</v>
          </cell>
          <cell r="B240" t="str">
            <v>211-240</v>
          </cell>
        </row>
        <row r="241">
          <cell r="A241">
            <v>235</v>
          </cell>
          <cell r="B241" t="str">
            <v>211-240</v>
          </cell>
        </row>
        <row r="242">
          <cell r="A242">
            <v>236</v>
          </cell>
          <cell r="B242" t="str">
            <v>211-240</v>
          </cell>
        </row>
        <row r="243">
          <cell r="A243">
            <v>237</v>
          </cell>
          <cell r="B243" t="str">
            <v>211-240</v>
          </cell>
        </row>
        <row r="244">
          <cell r="A244">
            <v>238</v>
          </cell>
          <cell r="B244" t="str">
            <v>211-240</v>
          </cell>
        </row>
        <row r="245">
          <cell r="A245">
            <v>239</v>
          </cell>
          <cell r="B245" t="str">
            <v>211-240</v>
          </cell>
        </row>
        <row r="246">
          <cell r="A246">
            <v>240</v>
          </cell>
          <cell r="B246" t="str">
            <v>211-240</v>
          </cell>
        </row>
        <row r="247">
          <cell r="A247">
            <v>241</v>
          </cell>
          <cell r="B247" t="str">
            <v>241-270</v>
          </cell>
        </row>
        <row r="248">
          <cell r="A248">
            <v>242</v>
          </cell>
          <cell r="B248" t="str">
            <v>241-270</v>
          </cell>
        </row>
        <row r="249">
          <cell r="A249">
            <v>243</v>
          </cell>
          <cell r="B249" t="str">
            <v>241-270</v>
          </cell>
        </row>
        <row r="250">
          <cell r="A250">
            <v>244</v>
          </cell>
          <cell r="B250" t="str">
            <v>241-270</v>
          </cell>
        </row>
        <row r="251">
          <cell r="A251">
            <v>245</v>
          </cell>
          <cell r="B251" t="str">
            <v>241-270</v>
          </cell>
        </row>
        <row r="252">
          <cell r="A252">
            <v>246</v>
          </cell>
          <cell r="B252" t="str">
            <v>241-270</v>
          </cell>
        </row>
        <row r="253">
          <cell r="A253">
            <v>247</v>
          </cell>
          <cell r="B253" t="str">
            <v>241-270</v>
          </cell>
        </row>
        <row r="254">
          <cell r="A254">
            <v>248</v>
          </cell>
          <cell r="B254" t="str">
            <v>241-270</v>
          </cell>
        </row>
        <row r="255">
          <cell r="A255">
            <v>249</v>
          </cell>
          <cell r="B255" t="str">
            <v>241-270</v>
          </cell>
        </row>
        <row r="256">
          <cell r="A256">
            <v>250</v>
          </cell>
          <cell r="B256" t="str">
            <v>241-270</v>
          </cell>
        </row>
        <row r="257">
          <cell r="A257">
            <v>251</v>
          </cell>
          <cell r="B257" t="str">
            <v>241-270</v>
          </cell>
        </row>
        <row r="258">
          <cell r="A258">
            <v>252</v>
          </cell>
          <cell r="B258" t="str">
            <v>241-270</v>
          </cell>
        </row>
        <row r="259">
          <cell r="A259">
            <v>253</v>
          </cell>
          <cell r="B259" t="str">
            <v>241-270</v>
          </cell>
        </row>
        <row r="260">
          <cell r="A260">
            <v>254</v>
          </cell>
          <cell r="B260" t="str">
            <v>241-270</v>
          </cell>
        </row>
        <row r="261">
          <cell r="A261">
            <v>255</v>
          </cell>
          <cell r="B261" t="str">
            <v>241-270</v>
          </cell>
        </row>
        <row r="262">
          <cell r="A262">
            <v>256</v>
          </cell>
          <cell r="B262" t="str">
            <v>241-270</v>
          </cell>
        </row>
        <row r="263">
          <cell r="A263">
            <v>257</v>
          </cell>
          <cell r="B263" t="str">
            <v>241-270</v>
          </cell>
        </row>
        <row r="264">
          <cell r="A264">
            <v>258</v>
          </cell>
          <cell r="B264" t="str">
            <v>241-270</v>
          </cell>
        </row>
        <row r="265">
          <cell r="A265">
            <v>259</v>
          </cell>
          <cell r="B265" t="str">
            <v>241-270</v>
          </cell>
        </row>
        <row r="266">
          <cell r="A266">
            <v>260</v>
          </cell>
          <cell r="B266" t="str">
            <v>241-270</v>
          </cell>
        </row>
        <row r="267">
          <cell r="A267">
            <v>261</v>
          </cell>
          <cell r="B267" t="str">
            <v>241-270</v>
          </cell>
        </row>
        <row r="268">
          <cell r="A268">
            <v>262</v>
          </cell>
          <cell r="B268" t="str">
            <v>241-270</v>
          </cell>
        </row>
        <row r="269">
          <cell r="A269">
            <v>263</v>
          </cell>
          <cell r="B269" t="str">
            <v>241-270</v>
          </cell>
        </row>
        <row r="270">
          <cell r="A270">
            <v>264</v>
          </cell>
          <cell r="B270" t="str">
            <v>241-270</v>
          </cell>
        </row>
        <row r="271">
          <cell r="A271">
            <v>265</v>
          </cell>
          <cell r="B271" t="str">
            <v>241-270</v>
          </cell>
        </row>
        <row r="272">
          <cell r="A272">
            <v>266</v>
          </cell>
          <cell r="B272" t="str">
            <v>241-270</v>
          </cell>
        </row>
        <row r="273">
          <cell r="A273">
            <v>267</v>
          </cell>
          <cell r="B273" t="str">
            <v>241-270</v>
          </cell>
        </row>
        <row r="274">
          <cell r="A274">
            <v>268</v>
          </cell>
          <cell r="B274" t="str">
            <v>241-270</v>
          </cell>
        </row>
        <row r="275">
          <cell r="A275">
            <v>269</v>
          </cell>
          <cell r="B275" t="str">
            <v>241-270</v>
          </cell>
        </row>
        <row r="276">
          <cell r="A276">
            <v>270</v>
          </cell>
          <cell r="B276" t="str">
            <v>241-270</v>
          </cell>
        </row>
        <row r="277">
          <cell r="A277">
            <v>271</v>
          </cell>
          <cell r="B277" t="str">
            <v>271-300</v>
          </cell>
        </row>
        <row r="278">
          <cell r="A278">
            <v>272</v>
          </cell>
          <cell r="B278" t="str">
            <v>271-300</v>
          </cell>
        </row>
        <row r="279">
          <cell r="A279">
            <v>273</v>
          </cell>
          <cell r="B279" t="str">
            <v>271-300</v>
          </cell>
        </row>
        <row r="280">
          <cell r="A280">
            <v>274</v>
          </cell>
          <cell r="B280" t="str">
            <v>271-300</v>
          </cell>
        </row>
        <row r="281">
          <cell r="A281">
            <v>275</v>
          </cell>
          <cell r="B281" t="str">
            <v>271-300</v>
          </cell>
        </row>
        <row r="282">
          <cell r="A282">
            <v>276</v>
          </cell>
          <cell r="B282" t="str">
            <v>271-300</v>
          </cell>
        </row>
        <row r="283">
          <cell r="A283">
            <v>277</v>
          </cell>
          <cell r="B283" t="str">
            <v>271-300</v>
          </cell>
        </row>
        <row r="284">
          <cell r="A284">
            <v>278</v>
          </cell>
          <cell r="B284" t="str">
            <v>271-300</v>
          </cell>
        </row>
        <row r="285">
          <cell r="A285">
            <v>279</v>
          </cell>
          <cell r="B285" t="str">
            <v>271-300</v>
          </cell>
        </row>
        <row r="286">
          <cell r="A286">
            <v>280</v>
          </cell>
          <cell r="B286" t="str">
            <v>271-300</v>
          </cell>
        </row>
        <row r="287">
          <cell r="A287">
            <v>281</v>
          </cell>
          <cell r="B287" t="str">
            <v>271-300</v>
          </cell>
        </row>
        <row r="288">
          <cell r="A288">
            <v>282</v>
          </cell>
          <cell r="B288" t="str">
            <v>271-300</v>
          </cell>
        </row>
        <row r="289">
          <cell r="A289">
            <v>283</v>
          </cell>
          <cell r="B289" t="str">
            <v>271-300</v>
          </cell>
        </row>
        <row r="290">
          <cell r="A290">
            <v>284</v>
          </cell>
          <cell r="B290" t="str">
            <v>271-300</v>
          </cell>
        </row>
        <row r="291">
          <cell r="A291">
            <v>285</v>
          </cell>
          <cell r="B291" t="str">
            <v>271-300</v>
          </cell>
        </row>
        <row r="292">
          <cell r="A292">
            <v>286</v>
          </cell>
          <cell r="B292" t="str">
            <v>271-300</v>
          </cell>
        </row>
        <row r="293">
          <cell r="A293">
            <v>287</v>
          </cell>
          <cell r="B293" t="str">
            <v>271-300</v>
          </cell>
        </row>
        <row r="294">
          <cell r="A294">
            <v>288</v>
          </cell>
          <cell r="B294" t="str">
            <v>271-300</v>
          </cell>
        </row>
        <row r="295">
          <cell r="A295">
            <v>289</v>
          </cell>
          <cell r="B295" t="str">
            <v>271-300</v>
          </cell>
        </row>
        <row r="296">
          <cell r="A296">
            <v>290</v>
          </cell>
          <cell r="B296" t="str">
            <v>271-300</v>
          </cell>
        </row>
        <row r="297">
          <cell r="A297">
            <v>291</v>
          </cell>
          <cell r="B297" t="str">
            <v>271-300</v>
          </cell>
        </row>
        <row r="298">
          <cell r="A298">
            <v>292</v>
          </cell>
          <cell r="B298" t="str">
            <v>271-300</v>
          </cell>
        </row>
        <row r="299">
          <cell r="A299">
            <v>293</v>
          </cell>
          <cell r="B299" t="str">
            <v>271-300</v>
          </cell>
        </row>
        <row r="300">
          <cell r="A300">
            <v>294</v>
          </cell>
          <cell r="B300" t="str">
            <v>271-300</v>
          </cell>
        </row>
        <row r="301">
          <cell r="A301">
            <v>295</v>
          </cell>
          <cell r="B301" t="str">
            <v>271-300</v>
          </cell>
        </row>
        <row r="302">
          <cell r="A302">
            <v>296</v>
          </cell>
          <cell r="B302" t="str">
            <v>271-300</v>
          </cell>
        </row>
        <row r="303">
          <cell r="A303">
            <v>297</v>
          </cell>
          <cell r="B303" t="str">
            <v>271-300</v>
          </cell>
        </row>
        <row r="304">
          <cell r="A304">
            <v>298</v>
          </cell>
          <cell r="B304" t="str">
            <v>271-300</v>
          </cell>
        </row>
        <row r="305">
          <cell r="A305">
            <v>299</v>
          </cell>
          <cell r="B305" t="str">
            <v>271-300</v>
          </cell>
        </row>
        <row r="306">
          <cell r="A306">
            <v>300</v>
          </cell>
          <cell r="B306" t="str">
            <v>271-300</v>
          </cell>
        </row>
        <row r="307">
          <cell r="A307">
            <v>301</v>
          </cell>
          <cell r="B307" t="str">
            <v>301-330</v>
          </cell>
        </row>
        <row r="308">
          <cell r="A308">
            <v>302</v>
          </cell>
          <cell r="B308" t="str">
            <v>301-330</v>
          </cell>
        </row>
        <row r="309">
          <cell r="A309">
            <v>303</v>
          </cell>
          <cell r="B309" t="str">
            <v>301-330</v>
          </cell>
        </row>
        <row r="310">
          <cell r="A310">
            <v>304</v>
          </cell>
          <cell r="B310" t="str">
            <v>301-330</v>
          </cell>
        </row>
        <row r="311">
          <cell r="A311">
            <v>305</v>
          </cell>
          <cell r="B311" t="str">
            <v>301-330</v>
          </cell>
        </row>
        <row r="312">
          <cell r="A312">
            <v>306</v>
          </cell>
          <cell r="B312" t="str">
            <v>301-330</v>
          </cell>
        </row>
        <row r="313">
          <cell r="A313">
            <v>307</v>
          </cell>
          <cell r="B313" t="str">
            <v>301-330</v>
          </cell>
        </row>
        <row r="314">
          <cell r="A314">
            <v>308</v>
          </cell>
          <cell r="B314" t="str">
            <v>301-330</v>
          </cell>
        </row>
        <row r="315">
          <cell r="A315">
            <v>309</v>
          </cell>
          <cell r="B315" t="str">
            <v>301-330</v>
          </cell>
        </row>
        <row r="316">
          <cell r="A316">
            <v>310</v>
          </cell>
          <cell r="B316" t="str">
            <v>301-330</v>
          </cell>
        </row>
        <row r="317">
          <cell r="A317">
            <v>311</v>
          </cell>
          <cell r="B317" t="str">
            <v>301-330</v>
          </cell>
        </row>
        <row r="318">
          <cell r="A318">
            <v>312</v>
          </cell>
          <cell r="B318" t="str">
            <v>301-330</v>
          </cell>
        </row>
        <row r="319">
          <cell r="A319">
            <v>313</v>
          </cell>
          <cell r="B319" t="str">
            <v>301-330</v>
          </cell>
        </row>
        <row r="320">
          <cell r="A320">
            <v>314</v>
          </cell>
          <cell r="B320" t="str">
            <v>301-330</v>
          </cell>
        </row>
        <row r="321">
          <cell r="A321">
            <v>315</v>
          </cell>
          <cell r="B321" t="str">
            <v>301-330</v>
          </cell>
        </row>
        <row r="322">
          <cell r="A322">
            <v>316</v>
          </cell>
          <cell r="B322" t="str">
            <v>301-330</v>
          </cell>
        </row>
        <row r="323">
          <cell r="A323">
            <v>317</v>
          </cell>
          <cell r="B323" t="str">
            <v>301-330</v>
          </cell>
        </row>
        <row r="324">
          <cell r="A324">
            <v>318</v>
          </cell>
          <cell r="B324" t="str">
            <v>301-330</v>
          </cell>
        </row>
        <row r="325">
          <cell r="A325">
            <v>319</v>
          </cell>
          <cell r="B325" t="str">
            <v>301-330</v>
          </cell>
        </row>
        <row r="326">
          <cell r="A326">
            <v>320</v>
          </cell>
          <cell r="B326" t="str">
            <v>301-330</v>
          </cell>
        </row>
        <row r="327">
          <cell r="A327">
            <v>321</v>
          </cell>
          <cell r="B327" t="str">
            <v>301-330</v>
          </cell>
        </row>
        <row r="328">
          <cell r="A328">
            <v>322</v>
          </cell>
          <cell r="B328" t="str">
            <v>301-330</v>
          </cell>
        </row>
        <row r="329">
          <cell r="A329">
            <v>323</v>
          </cell>
          <cell r="B329" t="str">
            <v>301-330</v>
          </cell>
        </row>
        <row r="330">
          <cell r="A330">
            <v>324</v>
          </cell>
          <cell r="B330" t="str">
            <v>301-330</v>
          </cell>
        </row>
        <row r="331">
          <cell r="A331">
            <v>325</v>
          </cell>
          <cell r="B331" t="str">
            <v>301-330</v>
          </cell>
        </row>
        <row r="332">
          <cell r="A332">
            <v>326</v>
          </cell>
          <cell r="B332" t="str">
            <v>301-330</v>
          </cell>
        </row>
        <row r="333">
          <cell r="A333">
            <v>327</v>
          </cell>
          <cell r="B333" t="str">
            <v>301-330</v>
          </cell>
        </row>
        <row r="334">
          <cell r="A334">
            <v>328</v>
          </cell>
          <cell r="B334" t="str">
            <v>301-330</v>
          </cell>
        </row>
        <row r="335">
          <cell r="A335">
            <v>329</v>
          </cell>
          <cell r="B335" t="str">
            <v>301-330</v>
          </cell>
        </row>
        <row r="336">
          <cell r="A336">
            <v>330</v>
          </cell>
          <cell r="B336" t="str">
            <v>301-330</v>
          </cell>
        </row>
        <row r="337">
          <cell r="A337">
            <v>331</v>
          </cell>
          <cell r="B337" t="str">
            <v>331-365</v>
          </cell>
        </row>
        <row r="338">
          <cell r="A338">
            <v>332</v>
          </cell>
          <cell r="B338" t="str">
            <v>331-365</v>
          </cell>
        </row>
        <row r="339">
          <cell r="A339">
            <v>333</v>
          </cell>
          <cell r="B339" t="str">
            <v>331-365</v>
          </cell>
        </row>
        <row r="340">
          <cell r="A340">
            <v>334</v>
          </cell>
          <cell r="B340" t="str">
            <v>331-365</v>
          </cell>
        </row>
        <row r="341">
          <cell r="A341">
            <v>335</v>
          </cell>
          <cell r="B341" t="str">
            <v>331-365</v>
          </cell>
        </row>
        <row r="342">
          <cell r="A342">
            <v>336</v>
          </cell>
          <cell r="B342" t="str">
            <v>331-365</v>
          </cell>
        </row>
        <row r="343">
          <cell r="A343">
            <v>337</v>
          </cell>
          <cell r="B343" t="str">
            <v>331-365</v>
          </cell>
        </row>
        <row r="344">
          <cell r="A344">
            <v>338</v>
          </cell>
          <cell r="B344" t="str">
            <v>331-365</v>
          </cell>
        </row>
        <row r="345">
          <cell r="A345">
            <v>339</v>
          </cell>
          <cell r="B345" t="str">
            <v>331-365</v>
          </cell>
        </row>
        <row r="346">
          <cell r="A346">
            <v>340</v>
          </cell>
          <cell r="B346" t="str">
            <v>331-365</v>
          </cell>
        </row>
        <row r="347">
          <cell r="A347">
            <v>341</v>
          </cell>
          <cell r="B347" t="str">
            <v>331-365</v>
          </cell>
        </row>
        <row r="348">
          <cell r="A348">
            <v>342</v>
          </cell>
          <cell r="B348" t="str">
            <v>331-365</v>
          </cell>
        </row>
        <row r="349">
          <cell r="A349">
            <v>343</v>
          </cell>
          <cell r="B349" t="str">
            <v>331-365</v>
          </cell>
        </row>
        <row r="350">
          <cell r="A350">
            <v>344</v>
          </cell>
          <cell r="B350" t="str">
            <v>331-365</v>
          </cell>
        </row>
        <row r="351">
          <cell r="A351">
            <v>345</v>
          </cell>
          <cell r="B351" t="str">
            <v>331-365</v>
          </cell>
        </row>
        <row r="352">
          <cell r="A352">
            <v>346</v>
          </cell>
          <cell r="B352" t="str">
            <v>331-365</v>
          </cell>
        </row>
        <row r="353">
          <cell r="A353">
            <v>347</v>
          </cell>
          <cell r="B353" t="str">
            <v>331-365</v>
          </cell>
        </row>
        <row r="354">
          <cell r="A354">
            <v>348</v>
          </cell>
          <cell r="B354" t="str">
            <v>331-365</v>
          </cell>
        </row>
        <row r="355">
          <cell r="A355">
            <v>349</v>
          </cell>
          <cell r="B355" t="str">
            <v>331-365</v>
          </cell>
        </row>
        <row r="356">
          <cell r="A356">
            <v>350</v>
          </cell>
          <cell r="B356" t="str">
            <v>331-365</v>
          </cell>
        </row>
        <row r="357">
          <cell r="A357">
            <v>351</v>
          </cell>
          <cell r="B357" t="str">
            <v>331-365</v>
          </cell>
        </row>
        <row r="358">
          <cell r="A358">
            <v>352</v>
          </cell>
          <cell r="B358" t="str">
            <v>331-365</v>
          </cell>
        </row>
        <row r="359">
          <cell r="A359">
            <v>353</v>
          </cell>
          <cell r="B359" t="str">
            <v>331-365</v>
          </cell>
        </row>
        <row r="360">
          <cell r="A360">
            <v>354</v>
          </cell>
          <cell r="B360" t="str">
            <v>331-365</v>
          </cell>
        </row>
        <row r="361">
          <cell r="A361">
            <v>355</v>
          </cell>
          <cell r="B361" t="str">
            <v>331-365</v>
          </cell>
        </row>
        <row r="362">
          <cell r="A362">
            <v>356</v>
          </cell>
          <cell r="B362" t="str">
            <v>331-365</v>
          </cell>
        </row>
        <row r="363">
          <cell r="A363">
            <v>357</v>
          </cell>
          <cell r="B363" t="str">
            <v>331-365</v>
          </cell>
        </row>
        <row r="364">
          <cell r="A364">
            <v>358</v>
          </cell>
          <cell r="B364" t="str">
            <v>331-365</v>
          </cell>
        </row>
        <row r="365">
          <cell r="A365">
            <v>359</v>
          </cell>
          <cell r="B365" t="str">
            <v>331-365</v>
          </cell>
        </row>
        <row r="366">
          <cell r="A366">
            <v>360</v>
          </cell>
          <cell r="B366" t="str">
            <v>331-365</v>
          </cell>
        </row>
        <row r="367">
          <cell r="A367">
            <v>361</v>
          </cell>
          <cell r="B367" t="str">
            <v>331-365</v>
          </cell>
        </row>
        <row r="368">
          <cell r="A368">
            <v>362</v>
          </cell>
          <cell r="B368" t="str">
            <v>331-365</v>
          </cell>
        </row>
        <row r="369">
          <cell r="A369">
            <v>363</v>
          </cell>
          <cell r="B369" t="str">
            <v>331-365</v>
          </cell>
        </row>
        <row r="370">
          <cell r="A370">
            <v>364</v>
          </cell>
          <cell r="B370" t="str">
            <v>331-365</v>
          </cell>
        </row>
        <row r="371">
          <cell r="A371">
            <v>365</v>
          </cell>
          <cell r="B371" t="str">
            <v>331-365</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26.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27.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2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4994.955329398152" createdVersion="8" refreshedVersion="8" minRefreshableVersion="3" recordCount="21" xr:uid="{00000000-000A-0000-FFFF-FFFF00000000}">
  <cacheSource type="worksheet">
    <worksheetSource ref="D7:AM7" sheet="Details"/>
  </cacheSource>
  <cacheFields count="35">
    <cacheField name="Comments" numFmtId="0">
      <sharedItems count="13">
        <s v="Four Points Order on hold - Emailed Dawn 2/13/2023 - Check Cost Rec for reversal 2/17"/>
        <s v="Awaiting fufillment - Closed Complete in August - Release? Check old cost recs AA sub for DCOGS Dec-21 thru present on public sector"/>
        <s v="Timing - Streamline CGI Federal PR20005283"/>
        <s v="Timing - Streamline FEDERAL RESOURCES PO 157803"/>
        <s v="Timing - RecVue Pending Credit - Follow up on credit"/>
        <s v="Timing - Pending Credit - See email for pending Cisco Credit… Descrepancy on amount billed vs credited. Sitting in 24500 code to 50210 6k diff to SC"/>
        <s v="1CDATA-21-C-0075 Reclassing streamline balance to correct PL - Should resolve in the next couple months. $374K CR in other BS Account"/>
        <s v="FCN EA Cost Deferral - CG emailed 11/15, possibly need vendor credit.  Pricing correct see CMG email 11/17"/>
        <s v="PO 1CDATA-21-C-0075, to reverse US postal in February"/>
        <s v="VA EA Deal"/>
        <s v="Monthly Timing - follow email 1/20 &amp; 1/27 - followed up 2/13/2023"/>
        <s v="Moonshot SAAS RecVue "/>
        <s v="Orders on hold - follow up with team 10702660/10702659/10702554/10705836/10702668"/>
      </sharedItems>
    </cacheField>
    <cacheField name="P And L Name Curr" numFmtId="0">
      <sharedItems count="9">
        <s v="Federal Healthcare"/>
        <s v="Federal Scientific"/>
        <s v="Federal Navy"/>
        <s v="Federal Intel"/>
        <s v="SLED Central"/>
        <s v="Federal Citizen Services"/>
        <s v="Federal House"/>
        <s v="Federal Law Enforcement"/>
        <s v="Federal Intel Moonshot"/>
      </sharedItems>
    </cacheField>
    <cacheField name="Je Batch Name" numFmtId="0">
      <sharedItems/>
    </cacheField>
    <cacheField name="Je Name" numFmtId="0">
      <sharedItems/>
    </cacheField>
    <cacheField name="Je Reason Code" numFmtId="0">
      <sharedItems/>
    </cacheField>
    <cacheField name="Gl Period Name" numFmtId="0">
      <sharedItems/>
    </cacheField>
    <cacheField name="Entered Amount" numFmtId="164">
      <sharedItems containsSemiMixedTypes="0" containsString="0" containsNumber="1" minValue="-1446298.13" maxValue="543000"/>
    </cacheField>
    <cacheField name="Functional Amount" numFmtId="164">
      <sharedItems containsSemiMixedTypes="0" containsString="0" containsNumber="1" minValue="-1446298.13" maxValue="543000"/>
    </cacheField>
    <cacheField name="Global Amount" numFmtId="164">
      <sharedItems containsSemiMixedTypes="0" containsString="0" containsNumber="1" minValue="-1446298.13" maxValue="543000"/>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1">
      <sharedItems containsSemiMixedTypes="0" containsString="0" containsNumber="1" containsInteger="1" minValue="101" maxValue="101"/>
    </cacheField>
    <cacheField name="P And L Code" numFmtId="1">
      <sharedItems containsSemiMixedTypes="0" containsString="0" containsNumber="1" containsInteger="1" minValue="11010" maxValue="13006" count="9">
        <n v="11010"/>
        <n v="12021"/>
        <n v="11023"/>
        <n v="12012"/>
        <n v="13006"/>
        <n v="12014"/>
        <n v="11016"/>
        <n v="12013"/>
        <n v="12022"/>
      </sharedItems>
    </cacheField>
    <cacheField name="Account Code" numFmtId="1">
      <sharedItems containsSemiMixedTypes="0" containsString="0" containsNumber="1" containsInteger="1" minValue="245011" maxValue="245011"/>
    </cacheField>
    <cacheField name="Cost Cntr Code" numFmtId="1">
      <sharedItems containsSemiMixedTypes="0" containsString="0" containsNumber="1" containsInteger="1" minValue="9999" maxValue="9999"/>
    </cacheField>
    <cacheField name="Gl Location Code" numFmtId="1">
      <sharedItems containsSemiMixedTypes="0" containsString="0" containsNumber="1" containsInteger="1" minValue="950" maxValue="999"/>
    </cacheField>
    <cacheField name="Gl Intercompany Code" numFmtId="1">
      <sharedItems containsSemiMixedTypes="0" containsString="0" containsNumber="1" containsInteger="1" minValue="999" maxValue="999"/>
    </cacheField>
    <cacheField name="Future1 Code" numFmtId="1">
      <sharedItems containsSemiMixedTypes="0" containsString="0" containsNumber="1" containsInteger="1" minValue="9999" maxValue="9999"/>
    </cacheField>
    <cacheField name="Future2 Code" numFmtId="1">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166">
      <sharedItems/>
    </cacheField>
    <cacheField name="Transaction Number" numFmtId="0">
      <sharedItems/>
    </cacheField>
    <cacheField name="Je Effective Date" numFmtId="165">
      <sharedItems containsSemiMixedTypes="0" containsNonDate="0" containsDate="1" containsString="0" minDate="2021-11-30T00:00:00" maxDate="2023-02-01T00:00:00"/>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4994.959006134261" createdVersion="8" refreshedVersion="8" minRefreshableVersion="3" recordCount="20" xr:uid="{00000000-000A-0000-FFFF-FFFF01000000}">
  <cacheSource type="worksheet">
    <worksheetSource ref="D7:AM7" sheet="Details"/>
  </cacheSource>
  <cacheFields count="35">
    <cacheField name="Comments" numFmtId="0">
      <sharedItems containsBlank="1" count="8">
        <s v="Awaiting fufillment - Closed Complete in August - Release? Check old cost recs AA sub for DCOGS Dec-21 thru present on public sector"/>
        <s v="Timing - Streamline CGI Federal PR20005283"/>
        <s v="Timing - Streamline FEDERAL RESOURCES PO 157803"/>
        <s v="Timing - RecVue Pending Credit - Follow up on credit"/>
        <s v="FCN EA Cost Deferral - CG emailed 11/15, possibly need vendor credit.  Pricing correct see CMG email 11/17"/>
        <s v="Monthly Timing - follow email 1/20 &amp; 1/27 - followed up 2/13/2023"/>
        <s v="Orders on hold - follow up with team 10702660/10702659/10702554/10705836/10702668"/>
        <m/>
      </sharedItems>
    </cacheField>
    <cacheField name="P And L Name Curr" numFmtId="0">
      <sharedItems count="9">
        <s v="Federal Healthcare"/>
        <s v="Federal Scientific"/>
        <s v="Federal Navy"/>
        <s v="Federal Intel"/>
        <s v="Federal Citizen Services"/>
        <s v="Federal Law Enforcement"/>
        <s v="Federal Air Force"/>
        <s v="Federal House"/>
        <s v="Federal COCOMs"/>
      </sharedItems>
    </cacheField>
    <cacheField name="Je Batch Name" numFmtId="0">
      <sharedItems/>
    </cacheField>
    <cacheField name="Je Name" numFmtId="0">
      <sharedItems/>
    </cacheField>
    <cacheField name="Je Reason Code" numFmtId="0">
      <sharedItems/>
    </cacheField>
    <cacheField name="Gl Period Name" numFmtId="0">
      <sharedItems/>
    </cacheField>
    <cacheField name="Entered Amount" numFmtId="164">
      <sharedItems containsSemiMixedTypes="0" containsString="0" containsNumber="1" minValue="-1772700" maxValue="575000"/>
    </cacheField>
    <cacheField name="Functional Amount" numFmtId="164">
      <sharedItems containsSemiMixedTypes="0" containsString="0" containsNumber="1" minValue="-1772700" maxValue="575000"/>
    </cacheField>
    <cacheField name="Global Amount" numFmtId="164">
      <sharedItems containsSemiMixedTypes="0" containsString="0" containsNumber="1" minValue="-1772700" maxValue="575000"/>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1">
      <sharedItems containsSemiMixedTypes="0" containsString="0" containsNumber="1" containsInteger="1" minValue="101" maxValue="101"/>
    </cacheField>
    <cacheField name="P And L Code" numFmtId="1">
      <sharedItems containsSemiMixedTypes="0" containsString="0" containsNumber="1" containsInteger="1" minValue="11001" maxValue="12021" count="9">
        <n v="11010"/>
        <n v="12021"/>
        <n v="11023"/>
        <n v="12012"/>
        <n v="12014"/>
        <n v="12013"/>
        <n v="11001"/>
        <n v="11016"/>
        <n v="12015"/>
      </sharedItems>
    </cacheField>
    <cacheField name="Account Code" numFmtId="1">
      <sharedItems containsSemiMixedTypes="0" containsString="0" containsNumber="1" containsInteger="1" minValue="245011" maxValue="245011"/>
    </cacheField>
    <cacheField name="Cost Cntr Code" numFmtId="1">
      <sharedItems containsSemiMixedTypes="0" containsString="0" containsNumber="1" containsInteger="1" minValue="9999" maxValue="9999"/>
    </cacheField>
    <cacheField name="Gl Location Code" numFmtId="1">
      <sharedItems containsSemiMixedTypes="0" containsString="0" containsNumber="1" containsInteger="1" minValue="999" maxValue="999"/>
    </cacheField>
    <cacheField name="Gl Intercompany Code" numFmtId="1">
      <sharedItems containsSemiMixedTypes="0" containsString="0" containsNumber="1" containsInteger="1" minValue="999" maxValue="999"/>
    </cacheField>
    <cacheField name="Future1 Code" numFmtId="1">
      <sharedItems containsSemiMixedTypes="0" containsString="0" containsNumber="1" containsInteger="1" minValue="9999" maxValue="9999"/>
    </cacheField>
    <cacheField name="Future2 Code" numFmtId="1">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166">
      <sharedItems/>
    </cacheField>
    <cacheField name="Transaction Number" numFmtId="0">
      <sharedItems/>
    </cacheField>
    <cacheField name="Je Effective Date" numFmtId="165">
      <sharedItems containsSemiMixedTypes="0" containsNonDate="0" containsDate="1" containsString="0" minDate="2021-11-30T00:00:00" maxDate="2023-03-01T00:00:00"/>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034.976430787043" createdVersion="8" refreshedVersion="8" minRefreshableVersion="3" recordCount="29" xr:uid="{00000000-000A-0000-FFFF-FFFF02000000}">
  <cacheSource type="worksheet">
    <worksheetSource ref="A7:AM7" sheet="Details"/>
  </cacheSource>
  <cacheFields count="37">
    <cacheField name="Age" numFmtId="1">
      <sharedItems containsSemiMixedTypes="0" containsString="0" containsNumber="1" containsInteger="1" minValue="18" maxValue="504"/>
    </cacheField>
    <cacheField name="Aging Bucket" numFmtId="0">
      <sharedItems/>
    </cacheField>
    <cacheField name="Comments" numFmtId="0">
      <sharedItems containsBlank="1" count="21">
        <s v="Awaiting fufillment - Closed Complete in August - Release? Check old cost recs AA sub for DCOGS Dec-21 thru present on public sector"/>
        <s v="Timing - Streamline CGI Federal PR20005283"/>
        <s v="Timing - Streamline FEDERAL RESOURCES PO 157803 - should reverse in May"/>
        <s v="Timing - RecVue Pending Credit - Follow up on credit"/>
        <s v="FCN EA Cost Deferral - CG emailed 11/15, possibly need vendor credit.  Pricing correct see CMG email 11/17"/>
        <s v="Monthly Timing - follow email 1/20 &amp; 1/27 - followed up 2/13, 3/15, 4/14"/>
        <s v="Defer Federal Health WWTINCSAAS924, PO 22P09282"/>
        <s v="Reclass between P&amp;L"/>
        <s v="To defer cost on Customer PO 10000410, SO 10768674, Emailed Shelly on 2/23, 3/14"/>
        <s v="To defer revenue &amp; cost on Customer PO 10000410, SO 10230194 - Emailed Shelly on 2/22, 3/14 CUB 2173719 creating issue"/>
        <s v="Reversed in April"/>
        <s v="Streamline P3882300203 SO 10539163"/>
        <s v="Reverse in April emailed M Hofer about AR inv hitting in March"/>
        <s v="Expecting Cost in July"/>
        <m/>
        <s v="Reversed in April - VA EA March AP Invoices"/>
        <s v="128k * 2 + 14k "/>
        <s v="Reclass to AR other account offsets"/>
        <s v="RMA on hold - Reclass to AR other account"/>
        <s v="Needs to be reversed in April"/>
        <s v="Part of Inv Reserve in AR other account"/>
      </sharedItems>
    </cacheField>
    <cacheField name="P And L Name Curr" numFmtId="0">
      <sharedItems count="13">
        <s v="Federal Healthcare"/>
        <s v="Federal Scientific"/>
        <s v="Federal Navy"/>
        <s v="Federal Intel"/>
        <s v="Federal Citizen Services"/>
        <s v="Federal Law Enforcement"/>
        <s v="Federal House"/>
        <s v="Federal COCOMs"/>
        <s v="SLED Central"/>
        <s v="SLED HI/Comm"/>
        <s v="Federal Air Force"/>
        <s v="Federal USACE"/>
        <s v="Federal Navy NGEN"/>
      </sharedItems>
    </cacheField>
    <cacheField name="Je Batch Name" numFmtId="0">
      <sharedItems/>
    </cacheField>
    <cacheField name="Je Name" numFmtId="0">
      <sharedItems/>
    </cacheField>
    <cacheField name="Je Reason Code" numFmtId="0">
      <sharedItems/>
    </cacheField>
    <cacheField name="Gl Period Name" numFmtId="0">
      <sharedItems/>
    </cacheField>
    <cacheField name="Entered Amount" numFmtId="164">
      <sharedItems containsSemiMixedTypes="0" containsString="0" containsNumber="1" minValue="-1415877.89" maxValue="575000"/>
    </cacheField>
    <cacheField name="Functional Amount" numFmtId="164">
      <sharedItems containsSemiMixedTypes="0" containsString="0" containsNumber="1" minValue="-1415877.89" maxValue="575000"/>
    </cacheField>
    <cacheField name="Global Amount" numFmtId="164">
      <sharedItems containsSemiMixedTypes="0" containsString="0" containsNumber="1" minValue="-1415877.89" maxValue="575000"/>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1">
      <sharedItems containsSemiMixedTypes="0" containsString="0" containsNumber="1" containsInteger="1" minValue="101" maxValue="101"/>
    </cacheField>
    <cacheField name="P And L Code" numFmtId="1">
      <sharedItems containsSemiMixedTypes="0" containsString="0" containsNumber="1" containsInteger="1" minValue="11001" maxValue="13006" count="13">
        <n v="11010"/>
        <n v="12021"/>
        <n v="11023"/>
        <n v="12012"/>
        <n v="12014"/>
        <n v="12013"/>
        <n v="11016"/>
        <n v="12015"/>
        <n v="13006"/>
        <n v="13001"/>
        <n v="11001"/>
        <n v="12016"/>
        <n v="11024"/>
      </sharedItems>
    </cacheField>
    <cacheField name="Account Code" numFmtId="1">
      <sharedItems containsSemiMixedTypes="0" containsString="0" containsNumber="1" containsInteger="1" minValue="245011" maxValue="245011"/>
    </cacheField>
    <cacheField name="Cost Cntr Code" numFmtId="1">
      <sharedItems containsSemiMixedTypes="0" containsString="0" containsNumber="1" containsInteger="1" minValue="9999" maxValue="9999"/>
    </cacheField>
    <cacheField name="Gl Location Code" numFmtId="1">
      <sharedItems containsSemiMixedTypes="0" containsString="0" containsNumber="1" containsInteger="1" minValue="950" maxValue="999"/>
    </cacheField>
    <cacheField name="Gl Intercompany Code" numFmtId="1">
      <sharedItems containsSemiMixedTypes="0" containsString="0" containsNumber="1" containsInteger="1" minValue="999" maxValue="999"/>
    </cacheField>
    <cacheField name="Future1 Code" numFmtId="1">
      <sharedItems containsSemiMixedTypes="0" containsString="0" containsNumber="1" containsInteger="1" minValue="9999" maxValue="9999"/>
    </cacheField>
    <cacheField name="Future2 Code" numFmtId="1">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166">
      <sharedItems/>
    </cacheField>
    <cacheField name="Transaction Number" numFmtId="0">
      <sharedItems/>
    </cacheField>
    <cacheField name="Je Effective Date" numFmtId="165">
      <sharedItems containsSemiMixedTypes="0" containsNonDate="0" containsDate="1" containsString="0" minDate="2021-11-30T00:00:00" maxDate="2023-04-01T00:00:00"/>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092.581614930546" createdVersion="8" refreshedVersion="8" minRefreshableVersion="3" recordCount="27" xr:uid="{00000000-000A-0000-FFFF-FFFF03000000}">
  <cacheSource type="worksheet">
    <worksheetSource ref="A7:AM7" sheet="Details"/>
  </cacheSource>
  <cacheFields count="37">
    <cacheField name="Age" numFmtId="1">
      <sharedItems containsSemiMixedTypes="0" containsString="0" containsNumber="1" containsInteger="1" minValue="15" maxValue="562"/>
    </cacheField>
    <cacheField name="Aging Bucket" numFmtId="0">
      <sharedItems/>
    </cacheField>
    <cacheField name="Comments" numFmtId="0">
      <sharedItems containsBlank="1" count="23">
        <s v="Awaiting fufillment - Closed Complete in August - Release? Check old cost recs AA sub for DCOGS Dec-21 thru present on public sector"/>
        <s v="Timing - Streamline CGI Federal PR20005283"/>
        <s v="Timing - Streamline FEDERAL RESOURCES PO 157803 - should reverse in May"/>
        <s v="Timing - RecVue Pending Credit - Follow up on credit"/>
        <s v="FCN EA Cost Deferral - CG emailed 11/15, possibly need vendor credit.  Pricing correct see CMG email 11/17, 6/15"/>
        <s v="Monthly Timing - follow email 1/20 &amp; 1/27 - followed up 2/13, 3/15, 4/14"/>
        <s v="Defer Federal Health WWTINCSAAS924, PO 22P09282"/>
        <s v="To defer cost on Customer PO 10000410, SO 10768674, Emailed Shelly on 2/23, 3/14, 4/19, 6/15 - Jake is working on matching Hours completed with customer and IUB will be booked"/>
        <s v="PO P3152301398 SO 10764155 Expecting Cost in July"/>
        <s v="Emailed 4/5 for missing Rev"/>
        <m/>
        <s v="Reversed in June - Needs to be reversed in May"/>
        <s v="Reversed in June - Part of Inv Reserve in AR other account"/>
        <s v="Cost Accrual - expected in October "/>
        <s v="Reversing portion of VA EA related cost"/>
        <s v="Sent Email for missing Cost in May 6/14/23"/>
        <s v="Awaiting fufillment, follow up with Dawn - Reversed in June"/>
        <s v="FCN EA Cost Deferral - CG emailed 11/15, possibly need vendor credit.  Pricing correct see CMG email 11/17" u="1"/>
        <s v="To defer cost on Customer PO 10000410, SO 10768674, Emailed Shelly on 2/23, 3/14" u="1"/>
        <s v="128k * 2 + 14k " u="1"/>
        <s v="To defer revenue &amp; cost on Customer PO 10000410, SO 10230194 - Emailed Shelly on 2/22, 3/14 CUB 2173719 creating issue" u="1"/>
        <s v="Expecting Cost in July" u="1"/>
        <s v="Needs to be reversed in May" u="1"/>
      </sharedItems>
    </cacheField>
    <cacheField name="P And L Name Curr" numFmtId="0">
      <sharedItems count="12">
        <s v="Federal Healthcare"/>
        <s v="Federal Scientific"/>
        <s v="Federal Navy"/>
        <s v="Federal Intel"/>
        <s v="Federal Citizen Services"/>
        <s v="Federal Law Enforcement"/>
        <s v="Federal COCOMs"/>
        <s v="SLED Central"/>
        <s v="Federal Air Force"/>
        <s v="Federal Navy NGEN"/>
        <s v="SLED Southeast"/>
        <s v="Federal Army Enterprise"/>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213440" maxValue="1251945.22"/>
    </cacheField>
    <cacheField name="Functional Amount" numFmtId="43">
      <sharedItems containsSemiMixedTypes="0" containsString="0" containsNumber="1" minValue="-213440" maxValue="1251945.22"/>
    </cacheField>
    <cacheField name="Global Amount" numFmtId="43">
      <sharedItems containsSemiMixedTypes="0" containsString="0" containsNumber="1" minValue="-213440" maxValue="1251945.22"/>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08"/>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950"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NonDate="0" containsDate="1" containsString="0" minDate="2021-11-30T00:00:00" maxDate="2023-06-01T00:00:00"/>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kern, Olivia" refreshedDate="45148.482592824083" createdVersion="8" refreshedVersion="8" minRefreshableVersion="3" recordCount="19" xr:uid="{00000000-000A-0000-FFFF-FFFF04000000}">
  <cacheSource type="worksheet">
    <worksheetSource ref="A7:AM7" sheet="Details"/>
  </cacheSource>
  <cacheFields count="37">
    <cacheField name="Age" numFmtId="1">
      <sharedItems containsSemiMixedTypes="0" containsString="0" containsNumber="1" containsInteger="1" minValue="10" maxValue="618"/>
    </cacheField>
    <cacheField name="Aging Bucket" numFmtId="0">
      <sharedItems/>
    </cacheField>
    <cacheField name="Comments" numFmtId="0">
      <sharedItems containsBlank="1" count="9">
        <s v="Awaiting fufillment - Closed Complete in August - Release? Check old cost recs AA sub for DCOGS Dec-21 thru present on public sector"/>
        <s v="Timing - Streamline CGI Federal PR20005283"/>
        <s v="Timing - RecVue Pending Credit - Follow up on credit"/>
        <s v="FCN EA Cost Deferral - CG emailed 11/15, possibly need vendor credit.  Pricing correct see CMG email 11/17, 6/15"/>
        <s v="Monthly Timing - follow email 1/20 &amp; 1/27 - followed up 2/13, 3/15, 4/14"/>
        <s v="To defer cost on Customer PO 10000410, SO 10768674, Emailed Shelly on 2/23, 3/14, 4/19, 6/15 - Jake is working on matching Hours completed with customer and IUB will be booked"/>
        <s v="Emailed 4/5 for missing Rev"/>
        <m/>
        <s v="Sent Email for missing Cost in May 6/14/23"/>
      </sharedItems>
    </cacheField>
    <cacheField name="P And L Name Curr" numFmtId="0">
      <sharedItems count="10">
        <s v="Federal Healthcare"/>
        <s v="Federal Scientific"/>
        <s v="Federal Intel"/>
        <s v="Federal Citizen Services"/>
        <s v="Federal Law Enforcement"/>
        <s v="Federal COCOMs"/>
        <s v="Federal Air Force"/>
        <s v="Federal Army Enterprise"/>
        <s v="Federal Navy"/>
        <s v="Federal Intel Moonshot"/>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10925000" maxValue="558594.32999999996"/>
    </cacheField>
    <cacheField name="Functional Amount" numFmtId="43">
      <sharedItems containsSemiMixedTypes="0" containsString="0" containsNumber="1" minValue="-10925000" maxValue="558594.32999999996"/>
    </cacheField>
    <cacheField name="Global Amount" numFmtId="43">
      <sharedItems containsSemiMixedTypes="0" containsString="0" containsNumber="1" minValue="-10925000" maxValue="558594.3299999999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2022"/>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999"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1-11-30T00:00:00" maxDate="1899-12-31T13: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188.626701041663" createdVersion="8" refreshedVersion="8" minRefreshableVersion="3" recordCount="18" xr:uid="{00000000-000A-0000-FFFF-FFFF05000000}">
  <cacheSource type="worksheet">
    <worksheetSource ref="A7:AM7" sheet="Details"/>
  </cacheSource>
  <cacheFields count="37">
    <cacheField name="Age" numFmtId="1">
      <sharedItems containsSemiMixedTypes="0" containsString="0" containsNumber="1" containsInteger="1" minValue="19" maxValue="658"/>
    </cacheField>
    <cacheField name="Aging Bucket" numFmtId="0">
      <sharedItems/>
    </cacheField>
    <cacheField name="Comments" numFmtId="0">
      <sharedItems containsBlank="1" count="14">
        <s v="Awaiting fufillment - Closed Complete in August - Release? Check old cost recs AA sub for DCOGS Dec-21 thru present on public sector"/>
        <s v="Timing - Streamline CGI Federal PR20005283"/>
        <s v="Timing - RecVue Pending Credit - Follow up on credit"/>
        <s v="FCN EA Cost Deferral - CG emailed 11/15, possibly need vendor credit.  Pricing correct see CMG email 11/17, 6/15"/>
        <s v="Monthly Timing - follow email 1/20 &amp; 1/27 - followed up 2/13, 3/15, 4/14"/>
        <s v="Emailed 4/5 for missing Rev"/>
        <s v="Ops Issue"/>
        <s v="Sent Email for missing Cost in May 6/14/23"/>
        <s v="Replacement orders needing RMA/RTV"/>
        <s v="Moonshot"/>
        <s v="Finder's Fee"/>
        <s v="Reverse in September"/>
        <s v="Annual billing through RecVue awaiting RMA/RTV"/>
        <m u="1"/>
      </sharedItems>
    </cacheField>
    <cacheField name="P And L Name Curr" numFmtId="0">
      <sharedItems count="10">
        <s v="Federal Healthcare"/>
        <s v="Federal Scientific"/>
        <s v="Federal Intel"/>
        <s v="Federal Citizen Services"/>
        <s v="Federal Law Enforcement"/>
        <s v="Federal Air Force"/>
        <s v="Federal Army Enterprise"/>
        <s v="Federal Navy"/>
        <s v="Federal Intel Moonshot"/>
        <s v="Federal Army/SOF House"/>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1065122.54" maxValue="2089250"/>
    </cacheField>
    <cacheField name="Functional Amount" numFmtId="43">
      <sharedItems containsSemiMixedTypes="0" containsString="0" containsNumber="1" minValue="-1065122.54" maxValue="2089250"/>
    </cacheField>
    <cacheField name="Global Amount" numFmtId="43">
      <sharedItems containsSemiMixedTypes="0" containsString="0" containsNumber="1" minValue="-1065122.54" maxValue="2089250"/>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2022"/>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7"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1-11-30T00:00:00" maxDate="1899-12-31T17: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217.980395601851" createdVersion="8" refreshedVersion="8" minRefreshableVersion="3" recordCount="21" xr:uid="{00000000-000A-0000-FFFF-FFFF06000000}">
  <cacheSource type="worksheet">
    <worksheetSource ref="A7:AM7" sheet="Details"/>
  </cacheSource>
  <cacheFields count="37">
    <cacheField name="Age" numFmtId="1">
      <sharedItems containsSemiMixedTypes="0" containsString="0" containsNumber="1" containsInteger="1" minValue="18" maxValue="687"/>
    </cacheField>
    <cacheField name="Aging Bucket" numFmtId="0">
      <sharedItems/>
    </cacheField>
    <cacheField name="Comments" numFmtId="0">
      <sharedItems containsBlank="1" count="18">
        <s v="Awaiting fufillment - Closed Complete in August - Release? Check old cost recs AA sub for DCOGS Dec-21 thru present on public sector"/>
        <s v="Timing - Streamline CGI Federal PR20005283 - "/>
        <s v="Timing - Streamline CGI Federal PR20005283"/>
        <s v="Timing - RecVue Pending Credit - Follow up on credit"/>
        <s v="FCN EA Cost Deferral - CG emailed 11/15, possibly need vendor credit.  Pricing correct see CMG email 11/17, 6/15"/>
        <s v="Monthly Timing - follow email 1/20 &amp; 1/27 - followed up 2/13, 3/15, 4/14"/>
        <s v="Emailed 4/5 for missing Rev"/>
        <s v="Ops Issue"/>
        <s v="Sent Email for missing Cost in May 6/14/23"/>
        <s v="Replacement orders needing RMA/RTV"/>
        <s v="Moonshot - Needs research Material Distribution Report"/>
        <s v="Reversed in October Finder's Fee - Check Request submitted should be reversed in October"/>
        <s v="Need Ticket for stuck SAAS AP invoice hit OPR but not GL "/>
        <s v="Reversed in October"/>
        <s v="Awaiting RMA/RTV rework Email from Angie H 10/11/23 Needs to be Released."/>
        <s v="Finder's Fee"/>
        <s v="Moonshot" u="1"/>
        <m u="1"/>
      </sharedItems>
    </cacheField>
    <cacheField name="P And L Name Curr" numFmtId="0">
      <sharedItems count="11">
        <s v="Federal Healthcare"/>
        <s v="Federal Scientific"/>
        <s v="Federal Intel"/>
        <s v="Federal Citizen Services"/>
        <s v="Federal Law Enforcement"/>
        <s v="Federal Air Force"/>
        <s v="Federal Army Enterprise"/>
        <s v="Federal Navy"/>
        <s v="Federal Intel Moonshot"/>
        <s v="SLED Southeast"/>
        <s v="SLED PANYNJ NESS"/>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1154022.3400000001" maxValue="486214.75"/>
    </cacheField>
    <cacheField name="Functional Amount" numFmtId="43">
      <sharedItems containsSemiMixedTypes="0" containsString="0" containsNumber="1" minValue="-1154022.3400000001" maxValue="486214.75"/>
    </cacheField>
    <cacheField name="Global Amount" numFmtId="43">
      <sharedItems containsSemiMixedTypes="0" containsString="0" containsNumber="1" minValue="-1154022.3400000001" maxValue="486214.75"/>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7"/>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7"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1-11-30T00:00:00" maxDate="1899-12-31T20: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247.539850694448" createdVersion="8" refreshedVersion="8" minRefreshableVersion="3" recordCount="19" xr:uid="{00000000-000A-0000-FFFF-FFFF07000000}">
  <cacheSource type="worksheet">
    <worksheetSource ref="A7:AM7" sheet="Details"/>
  </cacheSource>
  <cacheFields count="37">
    <cacheField name="Age" numFmtId="1">
      <sharedItems containsSemiMixedTypes="0" containsString="0" containsNumber="1" containsInteger="1" minValue="17" maxValue="717"/>
    </cacheField>
    <cacheField name="Aging Bucket" numFmtId="0">
      <sharedItems/>
    </cacheField>
    <cacheField name="Comments" numFmtId="0">
      <sharedItems containsBlank="1" count="21">
        <s v="Needs to be Reversed out in November - Awaiting fufillment - Closed Complete in August - Release? Check old cost recs AA sub for DCOGS Dec-21 thru present on public sector"/>
        <s v="Timing - RecVue Pending Credit - Follow up on credit"/>
        <s v="FCN EA Cost Deferral - CG emailed 11/15, possibly need vendor credit.  Pricing correct see CMG email 11/17, 6/15, 11/13"/>
        <s v="Monthly Timing - follow email 1/20 &amp; 1/27 - followed up 2/13, 3/15, 4/14"/>
        <s v="Emailed 4/5 for missing Rev"/>
        <s v="Sent Email for missing Cost in May 6/14/23"/>
        <s v="Reversed in November"/>
        <s v="Replacement orders needing RMA/RTV emailed 10/19 &amp; 11/14"/>
        <s v="Reversed in November Moonshot - Needs research Material Distribution Report"/>
        <s v="Need Ticket for stuck SAAS AP invoice hit OPR but not GL "/>
        <s v="Reversed in November Finder's Fee - Check Request Processed 11/8"/>
        <s v="Finder's Fee - Awaiting Payment"/>
        <s v="Termination Fee to be paid by EOY"/>
        <s v="Waiting on IUB's to process - Emailed 11/14"/>
        <s v="Awaiting fufillment - Closed Complete in August - Release? Check old cost recs AA sub for DCOGS Dec-21 thru present on public sector" u="1"/>
        <s v="FCN EA Cost Deferral - CG emailed 11/15, possibly need vendor credit.  Pricing correct see CMG email 11/17, 6/15" u="1"/>
        <s v="Ops Issue" u="1"/>
        <s v="Replacement orders needing RMA/RTV" u="1"/>
        <s v="Moonshot - Needs research Material Distribution Report" u="1"/>
        <s v="Finder's Fee" u="1"/>
        <m u="1"/>
      </sharedItems>
    </cacheField>
    <cacheField name="P And L Name Curr" numFmtId="0">
      <sharedItems count="13">
        <s v="Federal Healthcare"/>
        <s v="Federal Intel"/>
        <s v="Federal Citizen Services"/>
        <s v="Federal Law Enforcement"/>
        <s v="Federal Army Enterprise"/>
        <s v="Federal Navy"/>
        <s v="Federal Intel Moonshot"/>
        <s v="SLED Southeast"/>
        <s v="Federal Air Force"/>
        <s v="SLED PANYNJ NESS"/>
        <s v="SLED HI/Comm"/>
        <s v="Federal AF/DISA/DA House"/>
        <s v="SLED Northeast"/>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771663.59" maxValue="2676856.7000000002"/>
    </cacheField>
    <cacheField name="Functional Amount" numFmtId="43">
      <sharedItems containsSemiMixedTypes="0" containsString="0" containsNumber="1" minValue="-771663.59" maxValue="2676856.7000000002"/>
    </cacheField>
    <cacheField name="Global Amount" numFmtId="43">
      <sharedItems containsSemiMixedTypes="0" containsString="0" containsNumber="1" minValue="-771663.59" maxValue="2676856.7000000002"/>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7"/>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7"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1-11-30T00:00:00" maxDate="1900-01-01T00: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279.040747800929" createdVersion="8" refreshedVersion="8" minRefreshableVersion="3" recordCount="23" xr:uid="{00000000-000A-0000-FFFF-FFFF08000000}">
  <cacheSource type="worksheet">
    <worksheetSource ref="A7:AM7" sheet="Details"/>
  </cacheSource>
  <cacheFields count="37">
    <cacheField name="Age" numFmtId="1">
      <sharedItems containsSemiMixedTypes="0" containsString="0" containsNumber="1" containsInteger="1" minValue="19" maxValue="749"/>
    </cacheField>
    <cacheField name="Aging Bucket" numFmtId="0">
      <sharedItems/>
    </cacheField>
    <cacheField name="Comments" numFmtId="0">
      <sharedItems count="15">
        <s v="Needs to be Reversed out in November - Awaiting fufillment - Closed Complete in August - Release? Check old cost recs AA sub for DCOGS Dec-21 thru present on public sector"/>
        <s v="Timing - RecVue Pending Credit - Follow up on credit"/>
        <s v="FCN EA Cost Deferral - CG emailed 11/15, possibly need vendor credit.  Pricing correct see CMG email 11/17, 6/15, 11/13"/>
        <s v="Monthly Timing - follow email 1/20 &amp; 1/27 - followed up 2/13, 3/15, 4/14"/>
        <s v="Emailed 4/5 for missing Rev"/>
        <s v="Sent Email for missing Cost in May 6/14/23"/>
        <s v="Replacement orders needing RMA/RTV emailed 10/19 &amp; 11/14"/>
        <s v="Moonshot - Needs research Material Distribution Report"/>
        <s v="Need Ticket for stuck SAAS AP invoice hit OPR but not GL "/>
        <s v="Finder's Fee - Awaiting Payment"/>
        <s v="Termination Fee to be paid by EOY"/>
        <s v="Waiting on IUB's to process - Emailed 11/14"/>
        <s v="Will offset in Decemeber Check other timing account"/>
        <s v="Accrued Missing WWT Cost PO 1CDATA-22-C-0113_3 for proper recognition "/>
        <s v="To be released in December"/>
      </sharedItems>
    </cacheField>
    <cacheField name="P And L Name Curr" numFmtId="0">
      <sharedItems count="12">
        <s v="Federal Healthcare"/>
        <s v="Federal Intel"/>
        <s v="Federal Citizen Services"/>
        <s v="Federal Law Enforcement"/>
        <s v="Federal Army Enterprise"/>
        <s v="Federal Navy"/>
        <s v="Federal Intel Moonshot"/>
        <s v="SLED Southeast"/>
        <s v="SLED PANYNJ NESS"/>
        <s v="Federal AF/DISA/DA House"/>
        <s v="SLED Northeast"/>
        <s v="Federal DOD House"/>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1107269" maxValue="2676856.7000000002"/>
    </cacheField>
    <cacheField name="Functional Amount" numFmtId="43">
      <sharedItems containsSemiMixedTypes="0" containsString="0" containsNumber="1" minValue="-1107269" maxValue="2676856.7000000002"/>
    </cacheField>
    <cacheField name="Global Amount" numFmtId="43">
      <sharedItems containsSemiMixedTypes="0" containsString="0" containsNumber="1" minValue="-1107269" maxValue="2676856.7000000002"/>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3" maxValue="13017"/>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7"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1-11-30T00:00:00" maxDate="1900-01-01T04: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ggener, Colin" refreshedDate="45307.645138425927" createdVersion="8" refreshedVersion="8" minRefreshableVersion="3" recordCount="23" xr:uid="{00000000-000A-0000-FFFF-FFFF09000000}">
  <cacheSource type="worksheet">
    <worksheetSource ref="A7:AM7" sheet="Details"/>
  </cacheSource>
  <cacheFields count="37">
    <cacheField name="Age" numFmtId="1">
      <sharedItems containsSemiMixedTypes="0" containsString="0" containsNumber="1" containsInteger="1" minValue="16" maxValue="595"/>
    </cacheField>
    <cacheField name="Aging Bucket" numFmtId="0">
      <sharedItems/>
    </cacheField>
    <cacheField name="Comments" numFmtId="0">
      <sharedItems count="16">
        <s v="Timing - RecVue Pending Credit - Follow up on credit"/>
        <s v="FCN EA Cost Deferral - CG emailed 11/15, possibly need vendor credit.  Pricing correct see CMG email 11/17, 6/15, 11/13"/>
        <s v="Monthly Timing - follow email 1/20 &amp; 1/27 - followed up 2/13, 3/15, 4/14"/>
        <s v="Emailed 4/5 for missing Rev"/>
        <s v="Sent Email for missing Cost in May 6/14/23"/>
        <s v="Moonshot - Needs research Material Distribution Report"/>
        <s v="Need Ticket for stuck SAAS AP invoice hit OPR but not GL "/>
        <s v="Finder's Fee - Awaiting Payment"/>
        <s v="Termination Fee to be paid by EOY"/>
        <s v="Waiting on IUB's to process - Emailed 11/14"/>
        <s v="Will offset in Decemeber Check other timing account"/>
        <s v="Accrued Missing WWT Cost PO 1CDATA-22-C-0113_3 for proper recognition "/>
        <s v="Ops issue needs rework "/>
        <s v="Reverse in January "/>
        <s v="Avg cost correction "/>
        <s v="EA Aqueon "/>
      </sharedItems>
    </cacheField>
    <cacheField name="P And L Name Curr" numFmtId="0">
      <sharedItems count="12">
        <s v="Federal Intel"/>
        <s v="Federal Citizen Services"/>
        <s v="Federal Law Enforcement"/>
        <s v="Federal Army Enterprise"/>
        <s v="Federal Intel Moonshot"/>
        <s v="SLED Southeast"/>
        <s v="SLED PANYNJ NESS"/>
        <s v="Federal AF/DISA/DA House"/>
        <s v="SLED Northeast"/>
        <s v="Federal Healthcare"/>
        <s v="Federal Air Force"/>
        <s v="Federal COCOMs"/>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1404651" maxValue="2676856.7000000002"/>
    </cacheField>
    <cacheField name="Functional Amount" numFmtId="43">
      <sharedItems containsSemiMixedTypes="0" containsString="0" containsNumber="1" minValue="-1404651" maxValue="2676856.7000000002"/>
    </cacheField>
    <cacheField name="Global Amount" numFmtId="43">
      <sharedItems containsSemiMixedTypes="0" containsString="0" containsNumber="1" minValue="-1404651" maxValue="2676856.7000000002"/>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7"/>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7"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2-05-31T00:00:00" maxDate="1900-01-01T08: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Lain, Jamie" refreshedDate="45371.425869791667" createdVersion="8" refreshedVersion="8" minRefreshableVersion="3" recordCount="17" xr:uid="{00000000-000A-0000-FFFF-FFFF0A000000}">
  <cacheSource type="worksheet">
    <worksheetSource ref="A7:AM7" sheet="Details"/>
  </cacheSource>
  <cacheFields count="37">
    <cacheField name="Age" numFmtId="1">
      <sharedItems containsSemiMixedTypes="0" containsString="0" containsNumber="1" containsInteger="1" minValue="49" maxValue="659"/>
    </cacheField>
    <cacheField name="Aging Bucket" numFmtId="0">
      <sharedItems/>
    </cacheField>
    <cacheField name="Comments" numFmtId="0">
      <sharedItems containsBlank="1" count="16">
        <s v="Timing - RecVue Pending Credit - Follow up on credit"/>
        <s v="FCN EA Cost Deferral - CG emailed 11/15, possibly need vendor credit.  Pricing correct see CMG email 11/17, 6/15, 11/13"/>
        <s v="Monthly Timing - follow email 1/20 &amp; 1/27 - followed up 2/13, 3/15, 4/14"/>
        <s v="Emailed 4/5 for missing Rev"/>
        <s v="Sent Email for missing Cost in May 6/14/23"/>
        <s v="Need Ticket for stuck SAAS AP invoice hit OPR but not GL "/>
        <s v="Termination Fee to be paid by EOY"/>
        <s v="Will offset in Decemeber Check other timing account"/>
        <s v="Accrued Missing WWT Cost PO 1CDATA-22-C-0113_3 for proper recognition "/>
        <s v="Avg cost correction - SO 10811548 Part GSCUSTFCD"/>
        <s v="Needs $0 RMA billed through RecVue"/>
        <s v="Being rebilled through RecVue "/>
        <s v="VA EA Accrual AP Invoice"/>
        <m/>
        <s v="Missing Cost on PO FA568522F0091"/>
        <s v="Reversed portion 1.6M in February "/>
      </sharedItems>
    </cacheField>
    <cacheField name="P And L Name Curr" numFmtId="0">
      <sharedItems count="12">
        <s v="Federal Intel"/>
        <s v="Federal Citizen Services"/>
        <s v="Federal Law Enforcement"/>
        <s v="Federal Army Enterprise"/>
        <s v="SLED Southeast"/>
        <s v="Federal AF/DISA/DA House"/>
        <s v="Federal Healthcare"/>
        <s v="Federal COCOMs"/>
        <s v="SLED Central"/>
        <s v="G/A"/>
        <s v="Federal Air Force"/>
        <s v="Federal DoN NGEN-R"/>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771663.59" maxValue="3671109.58"/>
    </cacheField>
    <cacheField name="Functional Amount" numFmtId="43">
      <sharedItems containsSemiMixedTypes="0" containsString="0" containsNumber="1" minValue="-771663.59" maxValue="3671109.58"/>
    </cacheField>
    <cacheField name="Global Amount" numFmtId="43">
      <sharedItems containsSemiMixedTypes="0" containsString="0" containsNumber="1" minValue="-771663.59" maxValue="3671109.58"/>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60002"/>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950"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2-05-31T00:00:00" maxDate="1900-01-01T12: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uellage, Jeff" refreshedDate="45373.669296180553" createdVersion="8" refreshedVersion="8" minRefreshableVersion="3" recordCount="24" xr:uid="{00000000-000A-0000-FFFF-FFFF0B000000}">
  <cacheSource type="worksheet">
    <worksheetSource ref="A6:AM6" sheet="Details"/>
  </cacheSource>
  <cacheFields count="37">
    <cacheField name="Age" numFmtId="1">
      <sharedItems containsSemiMixedTypes="0" containsString="0" containsNumber="1" containsInteger="1" minValue="22" maxValue="661"/>
    </cacheField>
    <cacheField name="Aging Bucket" numFmtId="0">
      <sharedItems/>
    </cacheField>
    <cacheField name="Comments" numFmtId="0">
      <sharedItems containsBlank="1" count="20">
        <s v="Timing - RecVue Pending Credit - Follow up on credit"/>
        <s v="FCN EA Cost Deferral - CG emailed 11/15, possibly need vendor credit.  Pricing correct see CMG email 11/17, 6/15, 11/13"/>
        <s v="Monthly Timing - follow email 1/20 &amp; 1/27 - followed up 2/13, 3/15, 4/14"/>
        <s v="Emailed 4/5 for missing Rev"/>
        <s v="Sent Email for missing Cost in May 6/14/23"/>
        <s v="Need Ticket for stuck SAAS AP invoice hit OPR but not GL "/>
        <s v="Termination Fee to be paid by EOY"/>
        <s v="Will offset in Decemeber Check other timing account"/>
        <s v="Accrued Missing WWT Cost PO 1CDATA-22-C-0113_3 for proper recognition "/>
        <s v="Avg cost correction - SO 10811548 Part GSCUSTFCD"/>
        <s v="Needs $0 RMA billed through RecVue"/>
        <s v="Being rebilled through RecVue "/>
        <m/>
        <s v="Missing Cost on PO FA568522F0091"/>
        <s v="Reversed portion 1.6M in February "/>
        <s v="RMA on hold 2335887 PO Reciept Adj on WWT PO 4259673"/>
        <s v="Finder's Fee Accrual SO 11319477"/>
        <s v="Defer SO 9788664 Awaiting AP credit"/>
        <s v="Defer WWTCLOUDBROKER7 reverse in MAR-24"/>
        <s v="Accrue stuck balance SO 10281652 GL only"/>
      </sharedItems>
    </cacheField>
    <cacheField name="P And L Name Curr" numFmtId="0">
      <sharedItems count="16">
        <s v="Federal Intel"/>
        <s v="Federal Citizen Services"/>
        <s v="Federal Law Enforcement"/>
        <s v="Federal Army Enterprise"/>
        <s v="SLED Southeast"/>
        <s v="Federal AF/DISA/DA House"/>
        <s v="Federal Healthcare"/>
        <s v="Federal COCOMs"/>
        <s v="SLED Central"/>
        <s v="G/A"/>
        <s v="Federal Air Force"/>
        <s v="Federal DoN NGEN-R"/>
        <s v="SLED Northeast"/>
        <s v="Federal Scientific"/>
        <s v="Federal DOD House"/>
        <s v="Federal Intel Moonshot"/>
      </sharedItems>
    </cacheField>
    <cacheField name="Je Batch Name" numFmtId="0">
      <sharedItems/>
    </cacheField>
    <cacheField name="Je Name" numFmtId="0">
      <sharedItems/>
    </cacheField>
    <cacheField name="Je Reason Code" numFmtId="0">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1595554.79" maxValue="3671109.58"/>
    </cacheField>
    <cacheField name="Functional Amount" numFmtId="43">
      <sharedItems containsSemiMixedTypes="0" containsString="0" containsNumber="1" minValue="-1595554.79" maxValue="3671109.58"/>
    </cacheField>
    <cacheField name="Global Amount" numFmtId="43">
      <sharedItems containsSemiMixedTypes="0" containsString="0" containsNumber="1" minValue="-1595554.79" maxValue="3671109.58"/>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60002"/>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2-05-31T00:00:00" maxDate="1900-01-01T15: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err, Stephanie" refreshedDate="45391.553335532408" createdVersion="8" refreshedVersion="8" minRefreshableVersion="3" recordCount="23" xr:uid="{00000000-000A-0000-FFFF-FFFF0C000000}">
  <cacheSource type="worksheet">
    <worksheetSource ref="A6:AM6" sheet="Details"/>
  </cacheSource>
  <cacheFields count="37">
    <cacheField name="Age" numFmtId="1">
      <sharedItems containsSemiMixedTypes="0" containsString="0" containsNumber="1" containsInteger="1" minValue="9" maxValue="679"/>
    </cacheField>
    <cacheField name="Aging Bucket" numFmtId="0">
      <sharedItems/>
    </cacheField>
    <cacheField name="Comments" numFmtId="0">
      <sharedItems containsBlank="1" longText="1"/>
    </cacheField>
    <cacheField name="P And L Name Curr" numFmtId="0">
      <sharedItems count="14">
        <s v="Federal Intel"/>
        <s v="Federal Citizen Services"/>
        <s v="Federal Army Enterprise"/>
        <s v="SLED Southeast"/>
        <s v="Federal AF/DA House"/>
        <s v="Federal COCOMs"/>
        <s v="SLED Central"/>
        <s v="Federal Air Force"/>
        <s v="Federal Law Enforcement"/>
        <s v="SLED Northeast"/>
        <s v="Federal Scientific"/>
        <s v="Federal DoN Tactical"/>
        <s v="Federal Healthcare"/>
        <s v="Federal AF/DISA/DA House" u="1"/>
      </sharedItems>
    </cacheField>
    <cacheField name="Je Batch Name" numFmtId="0">
      <sharedItems count="23">
        <s v="BDM-060522-37 05-JUN-2022 21:55:59 EBS OPR A 18091846 8322753 N"/>
        <s v="CDW-110422-3 Defer SO 10537043 04-NOV-2022 11:12:10 EBS OPR A 22130344 10408274 N"/>
        <s v="CDW-040623-4 Defer SO 10805628 Cost 06-APR-2023 10:05:07 EBS OPR A 4131266 12888102 N"/>
        <s v="CDW-060523-14 Defer SO 10920127 missing Cost 05-JUN-2023 14:13:00 EBS OPR A 5827140 13964957 N"/>
        <s v="CDW-100523-1 WWTINCSAAS931 Tie to GL Stuck"/>
        <s v="CDW-110623-4 Termination Fee to Pay EOY 06-NOV-2023 11:05:02 EBS OPR A 10218862 16614231 N"/>
        <s v="CDW-120423-15 Accruing WWT Cost PO 1CDATA-22-C-0113_3 USPS Postal 05-DEC-2023 01:12:13 EB 17102034 N"/>
        <s v="CDW-010424-8 Avg Cost Correction SO 10811548 Part GSCUSTFCD"/>
        <s v="CDW-020524-5 Defer CUB 2310384, Need RMA/RTV 05-FEB-2024 21:23:33 EBS OPR A 13049791 18145006 N"/>
        <s v="CDW-020524-11 Defer CUB 2325470 Rebill through RecVue 05-FEB-2024 23:19:30 EBS OPR A 1304 18145006 N"/>
        <s v="CDW-020124-7 Accruing Cost SO 10610329 01-FEB-2024 15:53:29 EBS OPR A 12960448 18060931 N"/>
        <s v="CDW-020524-13 WWTINCSAAS527 Tie to GL Stuck"/>
        <s v="CDW-030424-8 RMA on hold 2335887 PO Reciept Adj on WWT PO 4259673"/>
        <s v="CDW-022824-3 Finder's Fee Accrual SO 11319477 28-FEB-2024 23:00:29 EBS OPR A 13816807 18524553 N"/>
        <s v="CDW-030124-5 Defer SO 9788664 Awaiting AP credit 01-MAR-2024 14:29:24 EBS OPR A 13863374 18550712 N"/>
        <s v="CDW-030624-2 Accrue stuck balance SO 10281652 GL only"/>
        <s v="JDP-040224-1 Finder's Fee Accrual SO 11404344 02-APR-2024 09:15:27 EBS OPR A 14706310 19085113 N"/>
        <s v="TJM-040324-2"/>
        <s v="JMM-040124-5 Spreadsheet A 300000031755431 19057142 N"/>
        <s v="JMM-040124-6 Spreadsheet A 300000031755431 19057142 N"/>
        <s v="JMD-040424-5 Defer Avg Cost Variance G2CUSTFCD.ACTUAL.778726.12015 Spreadsheet A 30000010 19116047 N"/>
        <s v="TJM-040324-3 WWTINCSAAS1402 Tie to GL Stuck"/>
        <s v="CDW-070623-6 Reversing VA EA Cost from timing 06-JUL-2023 14:15:12 EBS OPR A 6682848 14497649 N"/>
      </sharedItems>
    </cacheField>
    <cacheField name="Je Name" numFmtId="0">
      <sharedItems/>
    </cacheField>
    <cacheField name="Je Reason Code" numFmtId="0">
      <sharedItems count="10">
        <s v="Timing: Streamline"/>
        <s v="Issue: Ops correction Needed - Pricing"/>
        <s v="Issue: AR Correction Needed"/>
        <s v="Issue: AP Correction Needed"/>
        <s v="Accrual: Dropship"/>
        <s v="Timing: Drop Ship Average Cost - Month End"/>
        <s v="Timing: Order on Hold"/>
        <s v="Accrual: Agent Fee"/>
        <s v="Timing: Average Cost Streamline"/>
        <s v="Issue: Ops Correction Needed - Order Type" u="1"/>
      </sharedItems>
    </cacheField>
    <cacheField name="Gl Period Name" numFmtId="0">
      <sharedItems containsDate="1" containsMixedTypes="1" minDate="2023-05-23T00:00:00" maxDate="2023-05-24T00:00:00"/>
    </cacheField>
    <cacheField name="Entered Amount" numFmtId="43">
      <sharedItems containsSemiMixedTypes="0" containsString="0" containsNumber="1" minValue="-771663.59" maxValue="2241266"/>
    </cacheField>
    <cacheField name="Functional Amount" numFmtId="43">
      <sharedItems containsSemiMixedTypes="0" containsString="0" containsNumber="1" minValue="-771663.59" maxValue="2241266"/>
    </cacheField>
    <cacheField name="Global Amount" numFmtId="43">
      <sharedItems containsSemiMixedTypes="0" containsString="0" containsNumber="1" minValue="-771663.59" maxValue="224126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4"/>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2-05-31T00:00:00" maxDate="1900-01-01T19: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551.570246296287" createdVersion="8" refreshedVersion="8" minRefreshableVersion="3" recordCount="11" xr:uid="{00000000-000A-0000-FFFF-FFFF0D000000}">
  <cacheSource type="worksheet">
    <worksheetSource ref="A6:AM6" sheet="Details"/>
  </cacheSource>
  <cacheFields count="38">
    <cacheField name="Age" numFmtId="1">
      <sharedItems containsSemiMixedTypes="0" containsString="0" containsNumber="1" containsInteger="1" minValue="47" maxValue="686"/>
    </cacheField>
    <cacheField name="Aging Bucket" numFmtId="0">
      <sharedItems/>
    </cacheField>
    <cacheField name="Comments" numFmtId="0">
      <sharedItems longText="1"/>
    </cacheField>
    <cacheField name="Analyst" numFmtId="0">
      <sharedItems/>
    </cacheField>
    <cacheField name="P And L Name Curr" numFmtId="0">
      <sharedItems count="13">
        <s v="Federal Citizen Services"/>
        <s v="Federal Healthcare"/>
        <s v="SLED Southeast"/>
        <s v="Federal Law Enforcement"/>
        <s v="Federal Scientific"/>
        <s v="SLED HI/Comm"/>
        <s v="Federal DoN Tactical"/>
        <s v="SLED Central"/>
        <s v="SLED Northeast" u="1"/>
        <s v="Federal COCOMs" u="1"/>
        <s v="Federal Intel Moonshot" u="1"/>
        <s v="Federal Army Enterprise" u="1"/>
        <s v="Federal GDCH-GCP" u="1"/>
      </sharedItems>
    </cacheField>
    <cacheField name="Je Batch Name" numFmtId="0">
      <sharedItems/>
    </cacheField>
    <cacheField name="Je Name" numFmtId="0">
      <sharedItems/>
    </cacheField>
    <cacheField name="Je Reason Code" numFmtId="0">
      <sharedItems count="6">
        <s v="Issue: Ops correction Needed - Pricing"/>
        <s v="Issue: AP Correction Needed"/>
        <s v="Timing: Order on Hold"/>
        <s v="Issue: Needs Research"/>
        <s v="Accrual: Dropship" u="1"/>
        <s v="Accrual: Agent Fee" u="1"/>
      </sharedItems>
    </cacheField>
    <cacheField name="Gl Period Name" numFmtId="0">
      <sharedItems/>
    </cacheField>
    <cacheField name="Entered Amount" numFmtId="43">
      <sharedItems containsSemiMixedTypes="0" containsString="0" containsNumber="1" minValue="-128000" maxValue="966837.04"/>
    </cacheField>
    <cacheField name="Functional Amount" numFmtId="43">
      <sharedItems containsSemiMixedTypes="0" containsString="0" containsNumber="1" minValue="-128000" maxValue="966837.04"/>
    </cacheField>
    <cacheField name="Global Amount" numFmtId="43">
      <sharedItems containsSemiMixedTypes="0" containsString="0" containsNumber="1" minValue="-128000" maxValue="966837.04"/>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10" maxValue="13008"/>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2-10-31T00:00:00" maxDate="1900-01-02T11: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551.570354976851" createdVersion="8" refreshedVersion="8" minRefreshableVersion="3" recordCount="29" xr:uid="{00000000-000A-0000-FFFF-FFFF0E000000}">
  <cacheSource type="worksheet">
    <worksheetSource ref="A6:AM6" sheet="Details"/>
  </cacheSource>
  <cacheFields count="38">
    <cacheField name="Age" numFmtId="1">
      <sharedItems containsSemiMixedTypes="0" containsString="0" containsNumber="1" containsInteger="1" minValue="16" maxValue="686"/>
    </cacheField>
    <cacheField name="Aging Bucket" numFmtId="0">
      <sharedItems/>
    </cacheField>
    <cacheField name="Comments" numFmtId="0">
      <sharedItems longText="1"/>
    </cacheField>
    <cacheField name="Analyst" numFmtId="0">
      <sharedItems/>
    </cacheField>
    <cacheField name="P And L Name Curr" numFmtId="0">
      <sharedItems count="13">
        <s v="Federal Citizen Services"/>
        <s v="Federal Healthcare"/>
        <s v="SLED Southeast"/>
        <s v="Federal Law Enforcement"/>
        <s v="Federal Scientific"/>
        <s v="SLED HI/Comm"/>
        <s v="Federal DoN Tactical"/>
        <s v="SLED Central"/>
        <s v="SLED Northeast"/>
        <s v="Federal COCOMs"/>
        <s v="Federal Army Enterprise"/>
        <s v="Federal DoN Enterprise"/>
        <s v="Federal Air Force"/>
      </sharedItems>
    </cacheField>
    <cacheField name="Je Batch Name" numFmtId="0">
      <sharedItems/>
    </cacheField>
    <cacheField name="Je Name" numFmtId="0">
      <sharedItems/>
    </cacheField>
    <cacheField name="Je Reason Code" numFmtId="0">
      <sharedItems count="7">
        <s v="Issue: Ops correction Needed - Pricing"/>
        <s v="Issue: AP Correction Needed"/>
        <s v="Timing: Order on Hold"/>
        <s v="Issue: Needs Research"/>
        <s v="Timing: Prelim Deferral"/>
        <s v="Timing: Streamline"/>
        <s v="Accrual: Dropship"/>
      </sharedItems>
    </cacheField>
    <cacheField name="Gl Period Name" numFmtId="0">
      <sharedItems/>
    </cacheField>
    <cacheField name="Entered Amount" numFmtId="43">
      <sharedItems containsSemiMixedTypes="0" containsString="0" containsNumber="1" minValue="-7844093.2199999997" maxValue="2489889.63"/>
    </cacheField>
    <cacheField name="Functional Amount" numFmtId="43">
      <sharedItems containsSemiMixedTypes="0" containsString="0" containsNumber="1" minValue="-7844093.2199999997" maxValue="2489889.63"/>
    </cacheField>
    <cacheField name="Global Amount" numFmtId="43">
      <sharedItems containsSemiMixedTypes="0" containsString="0" containsNumber="1" minValue="-7844093.2199999997" maxValue="2489889.63"/>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4"/>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2022-10-31T00:00:00" maxDate="1900-01-02T14: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576.509686111109" createdVersion="8" refreshedVersion="8" minRefreshableVersion="3" recordCount="20" xr:uid="{00000000-000A-0000-FFFF-FFFF0F000000}">
  <cacheSource type="worksheet">
    <worksheetSource ref="A6:AM6" sheet="Details"/>
  </cacheSource>
  <cacheFields count="38">
    <cacheField name="Age" numFmtId="1">
      <sharedItems containsSemiMixedTypes="0" containsString="0" containsNumber="1" containsInteger="1" minValue="11" maxValue="469"/>
    </cacheField>
    <cacheField name="Aging Bucket" numFmtId="0">
      <sharedItems/>
    </cacheField>
    <cacheField name="Comments" numFmtId="0">
      <sharedItems longText="1"/>
    </cacheField>
    <cacheField name="Analyst" numFmtId="0">
      <sharedItems/>
    </cacheField>
    <cacheField name="P And L Name Curr" numFmtId="0">
      <sharedItems count="11">
        <s v="Federal Healthcare"/>
        <s v="SLED Southeast"/>
        <s v="Federal Law Enforcement"/>
        <s v="Federal Scientific"/>
        <s v="Federal DoN Tactical"/>
        <s v="SLED HI/Comm"/>
        <s v="SLED Central"/>
        <s v="SLED Northeast"/>
        <s v="Federal Army Enterprise"/>
        <s v="Federal DoN Enterprise"/>
        <s v="Federal Air Force"/>
      </sharedItems>
    </cacheField>
    <cacheField name="Je Batch Name" numFmtId="0">
      <sharedItems/>
    </cacheField>
    <cacheField name="Je Name" numFmtId="0">
      <sharedItems/>
    </cacheField>
    <cacheField name="Je Reason Code" numFmtId="0">
      <sharedItems count="7">
        <s v="Issue: AP Correction Needed"/>
        <s v="Timing: Order on Hold"/>
        <s v="Issue: Ops Correction Needed - Pricing"/>
        <s v="Timing: Streamline"/>
        <s v="Accrual: Dropship"/>
        <s v="Timing: Prelim Deferral"/>
        <s v="Issue: Needs Research"/>
      </sharedItems>
    </cacheField>
    <cacheField name="Gl Period Name" numFmtId="0">
      <sharedItems/>
    </cacheField>
    <cacheField name="Entered Amount" numFmtId="43">
      <sharedItems containsSemiMixedTypes="0" containsString="0" containsNumber="1" minValue="-7844093.2199999997" maxValue="1298003.83"/>
    </cacheField>
    <cacheField name="Functional Amount" numFmtId="43">
      <sharedItems containsSemiMixedTypes="0" containsString="0" containsNumber="1" minValue="-7844093.2199999997" maxValue="1298003.83"/>
    </cacheField>
    <cacheField name="Global Amount" numFmtId="43">
      <sharedItems containsSemiMixedTypes="0" containsString="0" containsNumber="1" minValue="-7844093.2199999997" maxValue="1298003.83"/>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4"/>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String="0" containsNumber="1" containsInteger="1" minValue="45107" maxValue="45565"/>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610.547712731481" createdVersion="8" refreshedVersion="8" minRefreshableVersion="3" recordCount="30" xr:uid="{00000000-000A-0000-FFFF-FFFF10000000}">
  <cacheSource type="worksheet">
    <worksheetSource ref="A6:AM9" sheet="Details"/>
  </cacheSource>
  <cacheFields count="38">
    <cacheField name="Age" numFmtId="1">
      <sharedItems containsSemiMixedTypes="0" containsString="0" containsNumber="1" containsInteger="1" minValue="14" maxValue="503"/>
    </cacheField>
    <cacheField name="Aging Bucket" numFmtId="0">
      <sharedItems/>
    </cacheField>
    <cacheField name="Comments" numFmtId="0">
      <sharedItems longText="1"/>
    </cacheField>
    <cacheField name="Analyst" numFmtId="0">
      <sharedItems/>
    </cacheField>
    <cacheField name="P And L Name Curr" numFmtId="0">
      <sharedItems count="12">
        <s v="Federal Healthcare"/>
        <s v="SLED Southeast"/>
        <s v="Federal Law Enforcement"/>
        <s v="Federal Scientific"/>
        <s v="Federal DoN Tactical"/>
        <s v="SLED HI/Comm"/>
        <s v="Federal Army Enterprise"/>
        <s v="Federal DoN Enterprise"/>
        <s v="Federal Intel"/>
        <s v="Federal COCOMs"/>
        <s v="Federal Intel Moonshot"/>
        <s v="SLED California"/>
      </sharedItems>
    </cacheField>
    <cacheField name="Je Batch Name" numFmtId="0">
      <sharedItems/>
    </cacheField>
    <cacheField name="Je Name" numFmtId="0">
      <sharedItems/>
    </cacheField>
    <cacheField name="Je Reason Code" numFmtId="0">
      <sharedItems count="8">
        <s v="Issue: AP Correction Needed"/>
        <s v="Timing: Order on Hold"/>
        <s v="Issue: Ops Correction Needed - Pricing"/>
        <s v="Timing: Prelim Deferral"/>
        <s v="Accrual: Dropship"/>
        <s v="Issue: Needs Research"/>
        <s v="Tie to OPR: SAAS"/>
        <s v="Tie to OPR: AP Write Offs/PPVs/RTVs"/>
      </sharedItems>
    </cacheField>
    <cacheField name="Gl Period Name" numFmtId="0">
      <sharedItems/>
    </cacheField>
    <cacheField name="Entered Amount" numFmtId="43">
      <sharedItems containsSemiMixedTypes="0" containsString="0" containsNumber="1" minValue="-71264382" maxValue="1298003.83"/>
    </cacheField>
    <cacheField name="Functional Amount" numFmtId="43">
      <sharedItems containsSemiMixedTypes="0" containsString="0" containsNumber="1" minValue="-71264382" maxValue="1298003.83"/>
    </cacheField>
    <cacheField name="Global Amount" numFmtId="43">
      <sharedItems containsSemiMixedTypes="0" containsString="0" containsNumber="1" minValue="-71264382" maxValue="1298003.83"/>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3"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String="0" containsNumber="1" containsInteger="1" minValue="45107" maxValue="45596"/>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670.518374768522" createdVersion="8" refreshedVersion="8" minRefreshableVersion="3" recordCount="27" xr:uid="{00000000-000A-0000-FFFF-FFFF11000000}">
  <cacheSource type="worksheet">
    <worksheetSource ref="A6:AM10" sheet="Details"/>
  </cacheSource>
  <cacheFields count="38">
    <cacheField name="Age" numFmtId="1">
      <sharedItems containsSemiMixedTypes="0" containsString="0" containsNumber="1" containsInteger="1" minValue="13" maxValue="258"/>
    </cacheField>
    <cacheField name="Aging Bucket" numFmtId="0">
      <sharedItems/>
    </cacheField>
    <cacheField name="Comments" numFmtId="0">
      <sharedItems/>
    </cacheField>
    <cacheField name="Analyst" numFmtId="0">
      <sharedItems/>
    </cacheField>
    <cacheField name="P And L Name Curr" numFmtId="0">
      <sharedItems count="12">
        <s v="Federal DoN Tactical"/>
        <s v="Federal Army Enterprise"/>
        <s v="SLED HI/Comm"/>
        <s v="Federal Healthcare"/>
        <s v="Federal Intel"/>
        <s v="SLED Southeast"/>
        <s v="Federal Citizen Services"/>
        <s v="Federal Air Force"/>
        <s v="Federal COCOMs"/>
        <s v="Federal Intel Moonshot"/>
        <s v="Federal DoN Enterprise"/>
        <s v="SLED California"/>
      </sharedItems>
    </cacheField>
    <cacheField name="Je Batch Name" numFmtId="0">
      <sharedItems/>
    </cacheField>
    <cacheField name="Je Name" numFmtId="0">
      <sharedItems/>
    </cacheField>
    <cacheField name="Je Reason Code" numFmtId="0">
      <sharedItems count="8">
        <s v="Issue: AP Correction Needed"/>
        <s v="Timing: Prelim Deferral"/>
        <s v="Accrual: Dropship"/>
        <s v="Issue: Needs Research"/>
        <s v="Timing: Streamline"/>
        <s v="Tie to OPR: AP Write Offs/PPVs/RTVs"/>
        <s v="Timing: Order on Hold"/>
        <s v="Issue: AR Correction Needed"/>
      </sharedItems>
    </cacheField>
    <cacheField name="Gl Period Name" numFmtId="0">
      <sharedItems/>
    </cacheField>
    <cacheField name="Entered Amount" numFmtId="43">
      <sharedItems containsSemiMixedTypes="0" containsString="0" containsNumber="1" minValue="-1322161.8999999999" maxValue="2661000"/>
    </cacheField>
    <cacheField name="Functional Amount" numFmtId="43">
      <sharedItems containsSemiMixedTypes="0" containsString="0" containsNumber="1" minValue="-1322161.8999999999" maxValue="2661000"/>
    </cacheField>
    <cacheField name="Global Amount" numFmtId="43">
      <sharedItems containsSemiMixedTypes="0" containsString="0" containsNumber="1" minValue="-1322161.8999999999" maxValue="2661000"/>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String="0" containsNumber="1" containsInteger="1" minValue="45412" maxValue="45657"/>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730.529694675934" createdVersion="8" refreshedVersion="8" minRefreshableVersion="3" recordCount="19" xr:uid="{00000000-000A-0000-FFFF-FFFF12000000}">
  <cacheSource type="worksheet">
    <worksheetSource ref="A6:AM11" sheet="Details"/>
  </cacheSource>
  <cacheFields count="38">
    <cacheField name="Age" numFmtId="1">
      <sharedItems containsSemiMixedTypes="0" containsString="0" containsNumber="1" containsInteger="1" minValue="42" maxValue="318"/>
    </cacheField>
    <cacheField name="Aging Bucket" numFmtId="0">
      <sharedItems/>
    </cacheField>
    <cacheField name="Comments" numFmtId="0">
      <sharedItems/>
    </cacheField>
    <cacheField name="Analyst" numFmtId="0">
      <sharedItems/>
    </cacheField>
    <cacheField name="P And L Name Curr" numFmtId="0">
      <sharedItems count="12">
        <s v="Federal DoN Tactical"/>
        <s v="Federal Army Enterprise"/>
        <s v="Federal Healthcare"/>
        <s v="Federal Intel"/>
        <s v="SLED Southeast"/>
        <s v="SLED California"/>
        <s v="Federal USAF/USSF"/>
        <s v="Federal Law Enforcement"/>
        <s v="Federal Army House"/>
        <s v="SLED HI/Comm" u="1"/>
        <s v="Federal Citizen Services" u="1"/>
        <s v="Federal COCOMs" u="1"/>
      </sharedItems>
    </cacheField>
    <cacheField name="Je Batch Name" numFmtId="0">
      <sharedItems/>
    </cacheField>
    <cacheField name="Je Name" numFmtId="0">
      <sharedItems/>
    </cacheField>
    <cacheField name="Je Reason Code" numFmtId="0">
      <sharedItems count="7">
        <s v="Issue: AP Correction Needed"/>
        <s v="Accrual: Dropship"/>
        <s v="Issue: Needs Research"/>
        <s v="Timing: Streamline"/>
        <s v="Timing: Order on Hold"/>
        <s v="Issue: AR Correction Needed"/>
        <s v="Timing: Prelim Deferral" u="1"/>
      </sharedItems>
    </cacheField>
    <cacheField name="Gl Period Name" numFmtId="0">
      <sharedItems/>
    </cacheField>
    <cacheField name="Entered Amount" numFmtId="43">
      <sharedItems containsSemiMixedTypes="0" containsString="0" containsNumber="1" minValue="-552318.5" maxValue="881922.6"/>
    </cacheField>
    <cacheField name="Functional Amount" numFmtId="43">
      <sharedItems containsSemiMixedTypes="0" containsString="0" containsNumber="1" minValue="-552318.5" maxValue="881922.6"/>
    </cacheField>
    <cacheField name="Global Amount" numFmtId="43">
      <sharedItems containsSemiMixedTypes="0" containsString="0" containsNumber="1" minValue="-552318.5" maxValue="881922.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String="0" containsNumber="1" containsInteger="1" minValue="45412" maxValue="45688"/>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730.529789351851" createdVersion="8" refreshedVersion="8" minRefreshableVersion="3" recordCount="26" xr:uid="{00000000-000A-0000-FFFF-FFFF13000000}">
  <cacheSource type="worksheet">
    <worksheetSource ref="A6:AM11" sheet="Details"/>
  </cacheSource>
  <cacheFields count="38">
    <cacheField name="Age" numFmtId="1">
      <sharedItems containsSemiMixedTypes="0" containsString="0" containsNumber="1" containsInteger="1" minValue="14" maxValue="318"/>
    </cacheField>
    <cacheField name="Aging Bucket" numFmtId="0">
      <sharedItems/>
    </cacheField>
    <cacheField name="Comments" numFmtId="0">
      <sharedItems/>
    </cacheField>
    <cacheField name="Analyst" numFmtId="0">
      <sharedItems/>
    </cacheField>
    <cacheField name="P And L Name Curr" numFmtId="0">
      <sharedItems count="12">
        <s v="Federal DoN Tactical"/>
        <s v="Federal Army Enterprise"/>
        <s v="Federal Healthcare"/>
        <s v="Federal Intel"/>
        <s v="SLED Southeast"/>
        <s v="SLED California"/>
        <s v="Federal USAF/USSF"/>
        <s v="Federal Law Enforcement"/>
        <s v="Federal Army House"/>
        <s v="Federal DoN Enterprise"/>
        <s v="SLED HI/Comm"/>
        <s v="Federal COCOMs"/>
      </sharedItems>
    </cacheField>
    <cacheField name="Je Batch Name" numFmtId="0">
      <sharedItems/>
    </cacheField>
    <cacheField name="Je Name" numFmtId="0">
      <sharedItems/>
    </cacheField>
    <cacheField name="Je Reason Code" numFmtId="0">
      <sharedItems count="7">
        <s v="Issue: AP Correction Needed"/>
        <s v="Accrual: Dropship"/>
        <s v="Issue: Needs Research"/>
        <s v="Timing: Streamline"/>
        <s v="Timing: Order on Hold"/>
        <s v="Issue: AR Correction Needed"/>
        <s v="Issue: Ops Correction Needed - Line Type"/>
      </sharedItems>
    </cacheField>
    <cacheField name="Gl Period Name" numFmtId="0">
      <sharedItems/>
    </cacheField>
    <cacheField name="Entered Amount" numFmtId="43">
      <sharedItems containsSemiMixedTypes="0" containsString="0" containsNumber="1" minValue="-552318.5" maxValue="881922.6"/>
    </cacheField>
    <cacheField name="Functional Amount" numFmtId="43">
      <sharedItems containsSemiMixedTypes="0" containsString="0" containsNumber="1" minValue="-552318.5" maxValue="881922.6"/>
    </cacheField>
    <cacheField name="Global Amount" numFmtId="43">
      <sharedItems containsSemiMixedTypes="0" containsString="0" containsNumber="1" minValue="-552318.5" maxValue="881922.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String="0" containsNumber="1" containsInteger="1" minValue="45412" maxValue="45716"/>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791.598102430558" createdVersion="8" refreshedVersion="8" minRefreshableVersion="3" recordCount="17" xr:uid="{00000000-000A-0000-FFFF-FFFF14000000}">
  <cacheSource type="worksheet">
    <worksheetSource ref="A6:AM13" sheet="Details"/>
  </cacheSource>
  <cacheFields count="38">
    <cacheField name="Age" numFmtId="1">
      <sharedItems containsSemiMixedTypes="0" containsString="0" containsNumber="1" containsInteger="1" minValue="44" maxValue="379"/>
    </cacheField>
    <cacheField name="Aging Bucket" numFmtId="0">
      <sharedItems/>
    </cacheField>
    <cacheField name="Comments" numFmtId="0">
      <sharedItems/>
    </cacheField>
    <cacheField name="Analyst" numFmtId="0">
      <sharedItems/>
    </cacheField>
    <cacheField name="P And L Name Curr" numFmtId="0">
      <sharedItems count="12">
        <s v="Federal DoN Tactical"/>
        <s v="Federal Intel"/>
        <s v="SLED Southeast"/>
        <s v="SLED California"/>
        <s v="Federal Law Enforcement"/>
        <s v="Federal Army House"/>
        <s v="Federal Army Tactical"/>
        <s v="Federal Army Enterprise" u="1"/>
        <s v="Federal Healthcare" u="1"/>
        <s v="SLED Midwest" u="1"/>
        <s v="Federal Army USACE" u="1"/>
        <s v="Federal USAF/USSF" u="1"/>
      </sharedItems>
    </cacheField>
    <cacheField name="Je Batch Name" numFmtId="0">
      <sharedItems/>
    </cacheField>
    <cacheField name="Je Name" numFmtId="0">
      <sharedItems/>
    </cacheField>
    <cacheField name="Je Reason Code" numFmtId="0">
      <sharedItems count="6">
        <s v="Issue: AP Correction Needed"/>
        <s v="Issue: Needs Research"/>
        <s v="Timing: Streamline"/>
        <s v="Issue: AR Correction Needed"/>
        <s v="Accrual: Dropship" u="1"/>
        <s v="Timing: Order on Hold" u="1"/>
      </sharedItems>
    </cacheField>
    <cacheField name="Gl Period Name" numFmtId="0">
      <sharedItems/>
    </cacheField>
    <cacheField name="Entered Amount" numFmtId="43">
      <sharedItems containsSemiMixedTypes="0" containsString="0" containsNumber="1" minValue="-268934.19" maxValue="881922.6"/>
    </cacheField>
    <cacheField name="Functional Amount" numFmtId="43">
      <sharedItems containsSemiMixedTypes="0" containsString="0" containsNumber="1" minValue="-268934.19" maxValue="881922.6"/>
    </cacheField>
    <cacheField name="Global Amount" numFmtId="43">
      <sharedItems containsSemiMixedTypes="0" containsString="0" containsNumber="1" minValue="-268934.19" maxValue="881922.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2"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String="0" containsNumber="1" containsInteger="1" minValue="45412" maxValue="45747"/>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ron, Lauren" refreshedDate="45848.626188194437" createdVersion="8" refreshedVersion="8" minRefreshableVersion="3" recordCount="36" xr:uid="{00000000-000A-0000-FFFF-FFFF15000000}">
  <cacheSource type="worksheet">
    <worksheetSource ref="A6:AM1048576" sheet="Details"/>
  </cacheSource>
  <cacheFields count="38">
    <cacheField name="Age" numFmtId="0">
      <sharedItems containsString="0" containsBlank="1" containsNumber="1" containsInteger="1" minValue="10" maxValue="436"/>
    </cacheField>
    <cacheField name="Aging Bucket" numFmtId="0">
      <sharedItems containsBlank="1"/>
    </cacheField>
    <cacheField name="Comments" numFmtId="0">
      <sharedItems containsBlank="1"/>
    </cacheField>
    <cacheField name="Analyst" numFmtId="0">
      <sharedItems containsBlank="1"/>
    </cacheField>
    <cacheField name="P And L Name Curr" numFmtId="0">
      <sharedItems containsBlank="1" count="14">
        <s v="Federal DoN Tactical"/>
        <s v="Federal Intel"/>
        <s v="SLED Southeast"/>
        <s v="SLED California"/>
        <s v="Federal Law Enforcement"/>
        <s v="Federal Army House"/>
        <s v="Federal Army Tactical"/>
        <s v="Federal USAF/USSF"/>
        <s v="Federal Army Enterprise"/>
        <s v="Federal Scientific"/>
        <s v="Federal Defense Agencies"/>
        <m/>
        <s v="SLED NYC" u="1"/>
        <s v="Federal COCOMs" u="1"/>
      </sharedItems>
    </cacheField>
    <cacheField name="Je Batch Name" numFmtId="0">
      <sharedItems containsBlank="1"/>
    </cacheField>
    <cacheField name="Je Name" numFmtId="0">
      <sharedItems containsBlank="1"/>
    </cacheField>
    <cacheField name="Je Reason Code" numFmtId="0">
      <sharedItems containsBlank="1" count="8">
        <s v="Issue: AP Correction Needed"/>
        <s v="Issue: Needs Research"/>
        <s v="Timing: Streamline"/>
        <s v="Issue: AR Correction Needed"/>
        <s v="Timing: Order on Hold"/>
        <s v="Issue: Recvue AR Correction Needed"/>
        <m/>
        <s v="-" u="1"/>
      </sharedItems>
    </cacheField>
    <cacheField name="Gl Period Name" numFmtId="0">
      <sharedItems containsBlank="1"/>
    </cacheField>
    <cacheField name="Entered Amount" numFmtId="0">
      <sharedItems containsString="0" containsBlank="1" containsNumber="1" minValue="-920530.9" maxValue="1124650.92"/>
    </cacheField>
    <cacheField name="Functional Amount" numFmtId="0">
      <sharedItems containsString="0" containsBlank="1" containsNumber="1" minValue="-920530.9" maxValue="1124650.92"/>
    </cacheField>
    <cacheField name="Global Amount" numFmtId="0">
      <sharedItems containsString="0" containsBlank="1" containsNumber="1" minValue="-920530.9" maxValue="1124650.92"/>
    </cacheField>
    <cacheField name="Currency Code Entered" numFmtId="0">
      <sharedItems containsBlank="1"/>
    </cacheField>
    <cacheField name="Currency Code Functional" numFmtId="0">
      <sharedItems containsBlank="1"/>
    </cacheField>
    <cacheField name="Description Header" numFmtId="0">
      <sharedItems containsBlank="1"/>
    </cacheField>
    <cacheField name="Description Line" numFmtId="0">
      <sharedItems containsBlank="1"/>
    </cacheField>
    <cacheField name="Company Name Curr" numFmtId="0">
      <sharedItems containsBlank="1"/>
    </cacheField>
    <cacheField name="Financial Program Curr" numFmtId="0">
      <sharedItems containsBlank="1"/>
    </cacheField>
    <cacheField name="Sub Program Curr" numFmtId="0">
      <sharedItems containsBlank="1"/>
    </cacheField>
    <cacheField name="P And L Rollup Curr" numFmtId="0">
      <sharedItems containsBlank="1"/>
    </cacheField>
    <cacheField name="Concatenated Segments" numFmtId="0">
      <sharedItems containsBlank="1"/>
    </cacheField>
    <cacheField name="Company Code" numFmtId="0">
      <sharedItems containsString="0" containsBlank="1" containsNumber="1" containsInteger="1" minValue="101" maxValue="101"/>
    </cacheField>
    <cacheField name="P And L Code" numFmtId="0">
      <sharedItems containsString="0" containsBlank="1" containsNumber="1" containsInteger="1" minValue="11001" maxValue="13016"/>
    </cacheField>
    <cacheField name="Account Code" numFmtId="0">
      <sharedItems containsString="0" containsBlank="1" containsNumber="1" containsInteger="1" minValue="245011" maxValue="245011"/>
    </cacheField>
    <cacheField name="Cost Cntr Code" numFmtId="0">
      <sharedItems containsString="0" containsBlank="1" containsNumber="1" containsInteger="1" minValue="9999" maxValue="9999"/>
    </cacheField>
    <cacheField name="Gl Location Code" numFmtId="0">
      <sharedItems containsString="0" containsBlank="1" containsNumber="1" containsInteger="1" minValue="204" maxValue="999"/>
    </cacheField>
    <cacheField name="Gl Intercompany Code" numFmtId="0">
      <sharedItems containsString="0" containsBlank="1" containsNumber="1" containsInteger="1" minValue="999" maxValue="999"/>
    </cacheField>
    <cacheField name="Future1 Code" numFmtId="0">
      <sharedItems containsString="0" containsBlank="1" containsNumber="1" containsInteger="1" minValue="9999" maxValue="9999"/>
    </cacheField>
    <cacheField name="Future2 Code" numFmtId="0">
      <sharedItems containsString="0" containsBlank="1" containsNumber="1" containsInteger="1" minValue="9999" maxValue="9999"/>
    </cacheField>
    <cacheField name="Account Name Curr" numFmtId="0">
      <sharedItems containsBlank="1"/>
    </cacheField>
    <cacheField name="WWT Po Number" numFmtId="0">
      <sharedItems containsBlank="1"/>
    </cacheField>
    <cacheField name="WWT Po Description" numFmtId="0">
      <sharedItems containsBlank="1"/>
    </cacheField>
    <cacheField name="WWT Source" numFmtId="0">
      <sharedItems containsBlank="1"/>
    </cacheField>
    <cacheField name="Transaction Date" numFmtId="0">
      <sharedItems containsBlank="1"/>
    </cacheField>
    <cacheField name="Transaction Number" numFmtId="0">
      <sharedItems containsBlank="1"/>
    </cacheField>
    <cacheField name="Je Effective Date" numFmtId="0">
      <sharedItems containsDate="1" containsString="0" containsBlank="1" containsMixedTypes="1" minDate="1900-01-01T23:51:04" maxDate="2025-07-01T00:00:00"/>
    </cacheField>
    <cacheField name="Je Source" numFmtId="0">
      <sharedItems containsBlank="1"/>
    </cacheField>
    <cacheField name="Ledger Name" numFmtId="0">
      <sharedItems containsBlank="1"/>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5883.653467592587" createdVersion="8" refreshedVersion="8" minRefreshableVersion="3" recordCount="28" xr:uid="{00000000-000A-0000-FFFF-FFFF16000000}">
  <cacheSource type="worksheet">
    <worksheetSource ref="A6:AM14" sheet="Details"/>
  </cacheSource>
  <cacheFields count="38">
    <cacheField name="Age" numFmtId="1">
      <sharedItems containsSemiMixedTypes="0" containsString="0" containsNumber="1" containsInteger="1" minValue="14" maxValue="471"/>
    </cacheField>
    <cacheField name="Aging Bucket" numFmtId="0">
      <sharedItems/>
    </cacheField>
    <cacheField name="Comments" numFmtId="0">
      <sharedItems/>
    </cacheField>
    <cacheField name="Analyst" numFmtId="0">
      <sharedItems/>
    </cacheField>
    <cacheField name="P And L Name Curr" numFmtId="0">
      <sharedItems count="13">
        <s v="Federal DoN Tactical"/>
        <s v="Federal Intel"/>
        <s v="SLED Southeast"/>
        <s v="SLED California"/>
        <s v="Federal Law Enforcement"/>
        <s v="Federal Army House"/>
        <s v="Federal Army Tactical"/>
        <s v="Federal USAF/USSF"/>
        <s v="Federal Army Enterprise"/>
        <s v="Federal Scientific"/>
        <s v="Federal Defense Agencies"/>
        <s v="SLED Pacific Southwest"/>
        <s v="SLED HI/Comm"/>
      </sharedItems>
    </cacheField>
    <cacheField name="Je Batch Name" numFmtId="0">
      <sharedItems/>
    </cacheField>
    <cacheField name="Je Name" numFmtId="0">
      <sharedItems/>
    </cacheField>
    <cacheField name="Je Reason Code" numFmtId="0">
      <sharedItems count="5">
        <s v="Issue: AP Correction Needed"/>
        <s v="Issue: Needs Research"/>
        <s v="Timing: Streamline"/>
        <s v="Issue: AR Correction Needed"/>
        <s v="Timing: Order on Hold"/>
      </sharedItems>
    </cacheField>
    <cacheField name="Gl Period Name" numFmtId="0">
      <sharedItems/>
    </cacheField>
    <cacheField name="Entered Amount" numFmtId="0">
      <sharedItems containsSemiMixedTypes="0" containsString="0" containsNumber="1" minValue="-875729.85" maxValue="1124650.92"/>
    </cacheField>
    <cacheField name="Functional Amount" numFmtId="0">
      <sharedItems containsSemiMixedTypes="0" containsString="0" containsNumber="1" minValue="-875729.85" maxValue="1124650.92"/>
    </cacheField>
    <cacheField name="Global Amount" numFmtId="0">
      <sharedItems containsSemiMixedTypes="0" containsString="0" containsNumber="1" minValue="-875729.85" maxValue="1124650.92"/>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1900-01-01T23:51:04" maxDate="1900-01-04T08: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6156.634473148151" createdVersion="8" refreshedVersion="8" minRefreshableVersion="3" recordCount="17" xr:uid="{00000000-000A-0000-FFFF-FFFF17000000}">
  <cacheSource type="worksheet">
    <worksheetSource ref="A6:AM21" sheet="Details"/>
  </cacheSource>
  <cacheFields count="38">
    <cacheField name="Age" numFmtId="1">
      <sharedItems containsSemiMixedTypes="0" containsString="0" containsNumber="1" containsInteger="1" minValue="75" maxValue="562"/>
    </cacheField>
    <cacheField name="Aging Bucket" numFmtId="0">
      <sharedItems/>
    </cacheField>
    <cacheField name="Comments" numFmtId="0">
      <sharedItems/>
    </cacheField>
    <cacheField name="Analyst" numFmtId="0">
      <sharedItems/>
    </cacheField>
    <cacheField name="P And L Name Curr" numFmtId="0">
      <sharedItems count="13">
        <s v="Federal Intel"/>
        <s v="SLED Southeast"/>
        <s v="SLED California"/>
        <s v="Federal Army House"/>
        <s v="Federal Army Tactical"/>
        <s v="SLED Midwest"/>
        <s v="Federal Army Enterprise"/>
        <s v="Federal Law Enforcement" u="1"/>
        <s v="Federal USAF/USSF" u="1"/>
        <s v="Federal Intel House" u="1"/>
        <s v="Federal DoN Tactical" u="1"/>
        <s v="SLED SOM" u="1"/>
        <s v="Federal DISA/DA" u="1"/>
      </sharedItems>
    </cacheField>
    <cacheField name="Je Batch Name" numFmtId="0">
      <sharedItems/>
    </cacheField>
    <cacheField name="Je Name" numFmtId="0">
      <sharedItems/>
    </cacheField>
    <cacheField name="Je Reason Code" numFmtId="0">
      <sharedItems count="8">
        <s v="Timing: Streamline"/>
        <s v="Issue: AR Correction Needed"/>
        <s v="Issue: Needs Research"/>
        <s v="Issue: AP Correction Needed"/>
        <s v="Timing: Order on Hold"/>
        <s v="Issue: Recvue Needs Research"/>
        <s v="Accrual: Dropship" u="1"/>
        <s v="Issue: Recvue AR Correction Needed" u="1"/>
      </sharedItems>
    </cacheField>
    <cacheField name="Gl Period Name" numFmtId="0">
      <sharedItems/>
    </cacheField>
    <cacheField name="Entered Amount" numFmtId="0">
      <sharedItems containsSemiMixedTypes="0" containsString="0" containsNumber="1" minValue="-245120" maxValue="881922.6"/>
    </cacheField>
    <cacheField name="Functional Amount" numFmtId="0">
      <sharedItems containsSemiMixedTypes="0" containsString="0" containsNumber="1" minValue="-245120" maxValue="881922.6"/>
    </cacheField>
    <cacheField name="Global Amount" numFmtId="0">
      <sharedItems containsSemiMixedTypes="0" containsString="0" containsNumber="1" minValue="-245120" maxValue="881922.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2" maxValue="13016"/>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950"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1900-01-02T22:51:04" maxDate="1900-01-05T11: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6156.634621064812" createdVersion="8" refreshedVersion="8" minRefreshableVersion="3" recordCount="34" xr:uid="{00000000-000A-0000-FFFF-FFFF18000000}">
  <cacheSource type="worksheet">
    <worksheetSource ref="A6:AM32" sheet="Details"/>
  </cacheSource>
  <cacheFields count="38">
    <cacheField name="Age" numFmtId="1">
      <sharedItems containsSemiMixedTypes="0" containsString="0" containsNumber="1" containsInteger="1" minValue="14" maxValue="562"/>
    </cacheField>
    <cacheField name="Aging Bucket" numFmtId="0">
      <sharedItems/>
    </cacheField>
    <cacheField name="Comments" numFmtId="0">
      <sharedItems/>
    </cacheField>
    <cacheField name="Analyst" numFmtId="0">
      <sharedItems/>
    </cacheField>
    <cacheField name="P And L Name Curr" numFmtId="0">
      <sharedItems count="16">
        <s v="Federal Intel"/>
        <s v="SLED Southeast"/>
        <s v="SLED California"/>
        <s v="Federal Army House"/>
        <s v="Federal Army Tactical"/>
        <s v="SLED Midwest"/>
        <s v="Federal Army Enterprise"/>
        <s v="Federal Tribal Nations/USPS"/>
        <s v="SLED NYC"/>
        <s v="Federal COCOMs"/>
        <s v="Federal Intel SS"/>
        <s v="SLED Northeast"/>
        <s v="Federal Healthcare"/>
        <s v="SLED Pacific Northwest"/>
        <s v="Federal DISA/DA"/>
        <s v="SLED HI/Comm"/>
      </sharedItems>
    </cacheField>
    <cacheField name="Je Batch Name" numFmtId="0">
      <sharedItems/>
    </cacheField>
    <cacheField name="Je Name" numFmtId="0">
      <sharedItems/>
    </cacheField>
    <cacheField name="Je Reason Code" numFmtId="0">
      <sharedItems count="9">
        <s v="Timing: Streamline"/>
        <s v="Issue: AR Correction Needed"/>
        <s v="Issue: Needs Research"/>
        <s v="Issue: AP Correction Needed"/>
        <s v="Timing: Order on Hold"/>
        <s v="Issue: Recvue Needs Research"/>
        <s v="Accrual: Dropship"/>
        <s v="Timing: Prelim Deferral"/>
        <s v="Accrual: Agent Fee"/>
      </sharedItems>
    </cacheField>
    <cacheField name="Gl Period Name" numFmtId="0">
      <sharedItems/>
    </cacheField>
    <cacheField name="Entered Amount" numFmtId="0">
      <sharedItems containsSemiMixedTypes="0" containsString="0" containsNumber="1" minValue="-507000" maxValue="903087.96"/>
    </cacheField>
    <cacheField name="Functional Amount" numFmtId="0">
      <sharedItems containsSemiMixedTypes="0" containsString="0" containsNumber="1" minValue="-507000" maxValue="903087.96"/>
    </cacheField>
    <cacheField name="Global Amount" numFmtId="0">
      <sharedItems containsSemiMixedTypes="0" containsString="0" containsNumber="1" minValue="-507000" maxValue="903087.9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2" maxValue="13018"/>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1900-01-02T22:51:04" maxDate="1900-01-05T18: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6189.459714930563" createdVersion="8" refreshedVersion="8" minRefreshableVersion="3" recordCount="35" xr:uid="{00000000-000A-0000-FFFF-FFFF19000000}">
  <cacheSource type="worksheet">
    <worksheetSource ref="A6:AM34" sheet="Details"/>
  </cacheSource>
  <cacheFields count="38">
    <cacheField name="Age" numFmtId="1">
      <sharedItems containsSemiMixedTypes="0" containsString="0" containsNumber="1" containsInteger="1" minValue="15" maxValue="594"/>
    </cacheField>
    <cacheField name="Aging Bucket" numFmtId="0">
      <sharedItems/>
    </cacheField>
    <cacheField name="Comments" numFmtId="0">
      <sharedItems/>
    </cacheField>
    <cacheField name="Analyst" numFmtId="0">
      <sharedItems/>
    </cacheField>
    <cacheField name="P And L Name Curr" numFmtId="0">
      <sharedItems count="16">
        <s v="Federal Intel"/>
        <s v="SLED Southeast"/>
        <s v="SLED California"/>
        <s v="Federal Army House"/>
        <s v="Federal Army Tactical"/>
        <s v="SLED Midwest"/>
        <s v="Federal Army Enterprise"/>
        <s v="Federal Tribal Nations/USPS"/>
        <s v="SLED NYC"/>
        <s v="Federal COCOMs"/>
        <s v="Federal Intel SS"/>
        <s v="SLED Northeast"/>
        <s v="Federal Healthcare"/>
        <s v="Federal DoN Enterprise"/>
        <s v="Federal DoN Tactical"/>
        <s v="SLED HI/Comm"/>
      </sharedItems>
    </cacheField>
    <cacheField name="Je Batch Name" numFmtId="0">
      <sharedItems/>
    </cacheField>
    <cacheField name="Je Name" numFmtId="0">
      <sharedItems/>
    </cacheField>
    <cacheField name="Je Reason Code" numFmtId="0">
      <sharedItems count="9">
        <s v="Timing: Streamline"/>
        <s v="Issue: AR Correction Needed"/>
        <s v="Issue: Needs Research"/>
        <s v="Issue: AP Correction Needed"/>
        <s v="Timing: Order on Hold"/>
        <s v="Issue: Recvue Needs Research"/>
        <s v="Accrual: Dropship"/>
        <s v="Timing: Prelim Deferral"/>
        <s v="Accrual: Agent Fee"/>
      </sharedItems>
    </cacheField>
    <cacheField name="Gl Period Name" numFmtId="0">
      <sharedItems/>
    </cacheField>
    <cacheField name="Entered Amount" numFmtId="0">
      <sharedItems containsSemiMixedTypes="0" containsString="0" containsNumber="1" minValue="-12696707.65" maxValue="903087.96"/>
    </cacheField>
    <cacheField name="Functional Amount" numFmtId="0">
      <sharedItems containsSemiMixedTypes="0" containsString="0" containsNumber="1" minValue="-12696707.65" maxValue="903087.96"/>
    </cacheField>
    <cacheField name="Global Amount" numFmtId="0">
      <sharedItems containsSemiMixedTypes="0" containsString="0" containsNumber="1" minValue="-12696707.65" maxValue="903087.96"/>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2" maxValue="13018"/>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1900-01-02T22:51:04" maxDate="1900-01-05T22: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ia, Tony" refreshedDate="46213.539278356482" createdVersion="8" refreshedVersion="8" minRefreshableVersion="3" recordCount="59" xr:uid="{00000000-000A-0000-FFFF-FFFF1A000000}">
  <cacheSource type="worksheet">
    <worksheetSource ref="A6:AM49" sheet="Details"/>
  </cacheSource>
  <cacheFields count="38">
    <cacheField name="Age" numFmtId="0">
      <sharedItems containsString="0" containsBlank="1" containsNumber="1" containsInteger="1" minValue="40" maxValue="619"/>
    </cacheField>
    <cacheField name="Aging Bucket" numFmtId="0">
      <sharedItems containsBlank="1"/>
    </cacheField>
    <cacheField name="Comments" numFmtId="0">
      <sharedItems containsBlank="1"/>
    </cacheField>
    <cacheField name="Analyst" numFmtId="0">
      <sharedItems containsBlank="1"/>
    </cacheField>
    <cacheField name="P And L Name Curr" numFmtId="0">
      <sharedItems count="18">
        <s v="Federal Intel"/>
        <s v="SLED Southeast"/>
        <s v="SLED California"/>
        <s v="Federal Army House"/>
        <s v="Federal Army Tactical"/>
        <s v="SLED Midwest"/>
        <s v="Federal Army Enterprise"/>
        <s v="Federal Tribal Nations/USPS"/>
        <s v="SLED NYC"/>
        <s v="Federal COCOMs"/>
        <s v="Federal Intel SS"/>
        <s v="SLED Northeast"/>
        <s v="Federal Healthcare"/>
        <s v="Federal DoN Enterprise"/>
        <s v="Federal DoN Tactical"/>
        <s v="SLED HI/Comm"/>
        <s v="Federal Law Enforcement"/>
        <s v="Federal USAF/USSF"/>
      </sharedItems>
    </cacheField>
    <cacheField name="Je Batch Name" numFmtId="0">
      <sharedItems/>
    </cacheField>
    <cacheField name="Je Name" numFmtId="0">
      <sharedItems/>
    </cacheField>
    <cacheField name="Je Reason Code" numFmtId="0">
      <sharedItems count="10">
        <s v="Timing: Streamline"/>
        <s v="Issue: AR Correction Needed"/>
        <s v="Issue: Needs Research"/>
        <s v="Issue: AP Correction Needed"/>
        <s v="Timing: Order on Hold"/>
        <s v="Issue: Recvue Needs Research"/>
        <s v="Accrual: Dropship"/>
        <s v="Timing: Prelim Deferral"/>
        <s v="Accrual: Agent Fee"/>
        <s v="Reclass: Sales Channel Move"/>
      </sharedItems>
    </cacheField>
    <cacheField name="Gl Period Name" numFmtId="0">
      <sharedItems/>
    </cacheField>
    <cacheField name="Entered Amount" numFmtId="0">
      <sharedItems containsSemiMixedTypes="0" containsString="0" containsNumber="1" minValue="-55137962.869999997" maxValue="12696707.65"/>
    </cacheField>
    <cacheField name="Functional Amount" numFmtId="0">
      <sharedItems containsSemiMixedTypes="0" containsString="0" containsNumber="1" minValue="-55137962.869999997" maxValue="12696707.65"/>
    </cacheField>
    <cacheField name="Global Amount" numFmtId="0">
      <sharedItems containsSemiMixedTypes="0" containsString="0" containsNumber="1" minValue="-55137962.869999997" maxValue="12696707.65"/>
    </cacheField>
    <cacheField name="Currency Code Entered" numFmtId="0">
      <sharedItems/>
    </cacheField>
    <cacheField name="Currency Code Functional" numFmtId="0">
      <sharedItems/>
    </cacheField>
    <cacheField name="Description Header" numFmtId="0">
      <sharedItems/>
    </cacheField>
    <cacheField name="Description Line" numFmtId="0">
      <sharedItems/>
    </cacheField>
    <cacheField name="Company Name Curr" numFmtId="0">
      <sharedItems/>
    </cacheField>
    <cacheField name="Financial Program Curr" numFmtId="0">
      <sharedItems/>
    </cacheField>
    <cacheField name="Sub Program Curr" numFmtId="0">
      <sharedItems/>
    </cacheField>
    <cacheField name="P And L Rollup Curr" numFmtId="0">
      <sharedItems/>
    </cacheField>
    <cacheField name="Concatenated Segments" numFmtId="0">
      <sharedItems/>
    </cacheField>
    <cacheField name="Company Code" numFmtId="0">
      <sharedItems containsSemiMixedTypes="0" containsString="0" containsNumber="1" containsInteger="1" minValue="101" maxValue="101"/>
    </cacheField>
    <cacheField name="P And L Code" numFmtId="0">
      <sharedItems containsSemiMixedTypes="0" containsString="0" containsNumber="1" containsInteger="1" minValue="11001" maxValue="13018"/>
    </cacheField>
    <cacheField name="Account Code" numFmtId="0">
      <sharedItems containsSemiMixedTypes="0" containsString="0" containsNumber="1" containsInteger="1" minValue="245011" maxValue="245011"/>
    </cacheField>
    <cacheField name="Cost Cntr Code" numFmtId="0">
      <sharedItems containsSemiMixedTypes="0" containsString="0" containsNumber="1" containsInteger="1" minValue="9999" maxValue="9999"/>
    </cacheField>
    <cacheField name="Gl Location Code" numFmtId="0">
      <sharedItems containsSemiMixedTypes="0" containsString="0" containsNumber="1" containsInteger="1" minValue="204" maxValue="999"/>
    </cacheField>
    <cacheField name="Gl Intercompany Code" numFmtId="0">
      <sharedItems containsSemiMixedTypes="0" containsString="0" containsNumber="1" containsInteger="1" minValue="999" maxValue="999"/>
    </cacheField>
    <cacheField name="Future1 Code" numFmtId="0">
      <sharedItems containsSemiMixedTypes="0" containsString="0" containsNumber="1" containsInteger="1" minValue="9999" maxValue="9999"/>
    </cacheField>
    <cacheField name="Future2 Code" numFmtId="0">
      <sharedItems containsSemiMixedTypes="0" containsString="0" containsNumber="1" containsInteger="1" minValue="9999" maxValue="9999"/>
    </cacheField>
    <cacheField name="Account Name Curr" numFmtId="0">
      <sharedItems/>
    </cacheField>
    <cacheField name="WWT Po Number" numFmtId="0">
      <sharedItems/>
    </cacheField>
    <cacheField name="WWT Po Description" numFmtId="0">
      <sharedItems/>
    </cacheField>
    <cacheField name="WWT Source" numFmtId="0">
      <sharedItems/>
    </cacheField>
    <cacheField name="Transaction Date" numFmtId="0">
      <sharedItems/>
    </cacheField>
    <cacheField name="Transaction Number" numFmtId="0">
      <sharedItems/>
    </cacheField>
    <cacheField name="Je Effective Date" numFmtId="0">
      <sharedItems containsSemiMixedTypes="0" containsDate="1" containsString="0" containsMixedTypes="1" minDate="1900-01-02T22:51:04" maxDate="1900-01-06T02:51:04"/>
    </cacheField>
    <cacheField name="Je Source" numFmtId="0">
      <sharedItems/>
    </cacheField>
    <cacheField name="Ledger Name" numFmtId="0">
      <sharedItems/>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sselato, Beniamino" refreshedDate="46244.412307175917" createdVersion="8" refreshedVersion="8" minRefreshableVersion="3" recordCount="70" xr:uid="{00000000-000A-0000-FFFF-FFFF1B000000}">
  <cacheSource type="worksheet">
    <worksheetSource ref="A6:AM174" sheet="Details"/>
  </cacheSource>
  <cacheFields count="39">
    <cacheField name="Age" numFmtId="0">
      <sharedItems containsString="0" containsBlank="1" containsNumber="1" containsInteger="1" minValue="10" maxValue="650"/>
    </cacheField>
    <cacheField name="Aging Bucket" numFmtId="0">
      <sharedItems containsBlank="1"/>
    </cacheField>
    <cacheField name="CA Manager Comments" numFmtId="0">
      <sharedItems containsNonDate="0" containsString="0" containsBlank="1"/>
    </cacheField>
    <cacheField name="Cost Accountant Comments" numFmtId="0">
      <sharedItems containsBlank="1"/>
    </cacheField>
    <cacheField name="Analyst" numFmtId="0">
      <sharedItems containsBlank="1"/>
    </cacheField>
    <cacheField name="P And L Name Curr" numFmtId="0">
      <sharedItems containsBlank="1" count="18">
        <s v="Federal Intel"/>
        <s v="SLED Southeast"/>
        <s v="SLED California"/>
        <s v="Federal Army House"/>
        <s v="Federal Army Tactical"/>
        <s v="SLED Midwest"/>
        <s v="Federal Army Enterprise"/>
        <s v="Federal Tribal Nations/USPS"/>
        <s v="SLED NYC"/>
        <s v="Federal COCOMs"/>
        <s v="Federal Intel SS"/>
        <s v="SLED Northeast"/>
        <s v="Federal Healthcare"/>
        <s v="Federal Law Enforcement"/>
        <s v="SLED HI/Comm"/>
        <s v="Federal DoN Tactical"/>
        <s v="SLED Pacific Southwest"/>
        <m/>
      </sharedItems>
    </cacheField>
    <cacheField name="Je Batch Name" numFmtId="0">
      <sharedItems containsBlank="1"/>
    </cacheField>
    <cacheField name="Je Name" numFmtId="0">
      <sharedItems containsBlank="1"/>
    </cacheField>
    <cacheField name="Je Reason Code" numFmtId="0">
      <sharedItems containsBlank="1" count="14">
        <s v="Timing: Streamline"/>
        <s v="Issue: AR Correction Needed"/>
        <s v="Issue: Needs Research"/>
        <s v="Issue: AP Correction Needed"/>
        <s v="Timing: Order on Hold"/>
        <s v="Issue: Recvue Needs Research"/>
        <s v="Accrual: Dropship"/>
        <s v="Timing: Prelim Deferral"/>
        <s v="Accrual: Agent Fee"/>
        <s v="Reclass: Sales Channel Move"/>
        <s v="Issue: Recvue AP Correction Needed"/>
        <s v="Timing: Dropship Prelim Hit"/>
        <s v="Timing: Average Cost Streamline"/>
        <m/>
      </sharedItems>
    </cacheField>
    <cacheField name="Gl Period Name" numFmtId="0">
      <sharedItems containsBlank="1"/>
    </cacheField>
    <cacheField name="Entered Amount" numFmtId="0">
      <sharedItems containsString="0" containsBlank="1" containsNumber="1" minValue="-19716352.260000002" maxValue="7035184.2599999998"/>
    </cacheField>
    <cacheField name="Functional Amount" numFmtId="0">
      <sharedItems containsString="0" containsBlank="1" containsNumber="1" minValue="-19716352.260000002" maxValue="7035184.2599999998"/>
    </cacheField>
    <cacheField name="Global Amount" numFmtId="0">
      <sharedItems containsString="0" containsBlank="1" containsNumber="1" minValue="-19716352.260000002" maxValue="7035184.2599999998"/>
    </cacheField>
    <cacheField name="Currency Code Entered" numFmtId="0">
      <sharedItems containsBlank="1"/>
    </cacheField>
    <cacheField name="Currency Code Functional" numFmtId="0">
      <sharedItems containsBlank="1"/>
    </cacheField>
    <cacheField name="Description Header" numFmtId="0">
      <sharedItems containsBlank="1"/>
    </cacheField>
    <cacheField name="Description Line" numFmtId="0">
      <sharedItems containsBlank="1"/>
    </cacheField>
    <cacheField name="Company Name Curr" numFmtId="0">
      <sharedItems containsBlank="1"/>
    </cacheField>
    <cacheField name="Financial Program Curr" numFmtId="0">
      <sharedItems containsBlank="1"/>
    </cacheField>
    <cacheField name="Sub Program Curr" numFmtId="0">
      <sharedItems containsBlank="1"/>
    </cacheField>
    <cacheField name="P And L Rollup Curr" numFmtId="0">
      <sharedItems containsBlank="1"/>
    </cacheField>
    <cacheField name="Concatenated Segments" numFmtId="0">
      <sharedItems containsBlank="1"/>
    </cacheField>
    <cacheField name="Company Code" numFmtId="0">
      <sharedItems containsString="0" containsBlank="1" containsNumber="1" containsInteger="1" minValue="101" maxValue="101"/>
    </cacheField>
    <cacheField name="P And L Code" numFmtId="0">
      <sharedItems containsString="0" containsBlank="1" containsNumber="1" containsInteger="1" minValue="11002" maxValue="13018"/>
    </cacheField>
    <cacheField name="Account Code" numFmtId="0">
      <sharedItems containsString="0" containsBlank="1" containsNumber="1" containsInteger="1" minValue="245011" maxValue="245011"/>
    </cacheField>
    <cacheField name="Cost Cntr Code" numFmtId="0">
      <sharedItems containsString="0" containsBlank="1" containsNumber="1" containsInteger="1" minValue="9999" maxValue="9999"/>
    </cacheField>
    <cacheField name="Gl Location Code" numFmtId="0">
      <sharedItems containsString="0" containsBlank="1" containsNumber="1" containsInteger="1" minValue="204" maxValue="999"/>
    </cacheField>
    <cacheField name="Gl Intercompany Code" numFmtId="0">
      <sharedItems containsString="0" containsBlank="1" containsNumber="1" containsInteger="1" minValue="999" maxValue="999"/>
    </cacheField>
    <cacheField name="Future1 Code" numFmtId="0">
      <sharedItems containsString="0" containsBlank="1" containsNumber="1" containsInteger="1" minValue="9999" maxValue="9999"/>
    </cacheField>
    <cacheField name="Future2 Code" numFmtId="0">
      <sharedItems containsString="0" containsBlank="1" containsNumber="1" containsInteger="1" minValue="9999" maxValue="9999"/>
    </cacheField>
    <cacheField name="Account Name Curr" numFmtId="0">
      <sharedItems containsBlank="1"/>
    </cacheField>
    <cacheField name="WWT Po Number" numFmtId="0">
      <sharedItems containsBlank="1"/>
    </cacheField>
    <cacheField name="WWT Po Description" numFmtId="0">
      <sharedItems containsBlank="1"/>
    </cacheField>
    <cacheField name="WWT Source" numFmtId="0">
      <sharedItems containsBlank="1"/>
    </cacheField>
    <cacheField name="Transaction Date" numFmtId="0">
      <sharedItems containsBlank="1"/>
    </cacheField>
    <cacheField name="Transaction Number" numFmtId="0">
      <sharedItems containsBlank="1"/>
    </cacheField>
    <cacheField name="Je Effective Date" numFmtId="0">
      <sharedItems containsDate="1" containsString="0" containsBlank="1" containsMixedTypes="1" minDate="1900-01-02T22:51:04" maxDate="1900-01-06T06:51:04"/>
    </cacheField>
    <cacheField name="Je Source" numFmtId="0">
      <sharedItems containsBlank="1"/>
    </cacheField>
    <cacheField name="Ledg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3.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4.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5.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6.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7.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8.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9.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0.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1.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2.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3.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4.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5.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6.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7.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8.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19.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0.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1.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2.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3.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4.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5.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6.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7.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Cache/pivotCacheRecords28.xml><?xml version="1.0" encoding="utf-8"?>
<pivotCacheRecords xmlns="http://schemas.openxmlformats.org/spreadsheetml/2006/main" count="21">
  <r>
    <x v="0"/>
    <x v="0"/>
    <s v="CDW-100522-7 SO 10094921 on hold Federal VA - Dick"/>
    <s v="CDW-100522-7 SO 10094921 on hold Federal VA - Dick"/>
    <s v="-"/>
    <s v="Sep-22"/>
    <n v="11429.1"/>
    <n v="11429.1"/>
    <n v="11429.1"/>
    <s v="USD"/>
    <s v="USD"/>
    <s v="SO 10094921 on hold Federal VA - Dick"/>
    <s v="SO 10094921 on hold Federal VA - Dick"/>
    <s v="World Wide Technology, LLC (WWT)"/>
    <s v="Public Sector"/>
    <s v="Federal"/>
    <s v="Federal Civilian"/>
    <s v="101.11010.245011.9999.950.999.9999.9999"/>
    <n v="101"/>
    <x v="0"/>
    <n v="245011"/>
    <n v="9999"/>
    <n v="950"/>
    <n v="999"/>
    <n v="9999"/>
    <n v="9999"/>
    <s v="Accrued Liabilities - Public Sector"/>
    <s v="106360-1"/>
    <s v="-"/>
    <s v="CLOUD"/>
    <s v=""/>
    <s v="-"/>
    <d v="2022-09-30T00:00:00"/>
    <s v="Manual"/>
    <s v="WWT US Ledger"/>
  </r>
  <r>
    <x v="0"/>
    <x v="0"/>
    <s v="CDW-110122-25 Order on hold 10094921"/>
    <s v="CDW-110122-25 Order on hold 10094921"/>
    <s v="-"/>
    <s v="Oct-22"/>
    <n v="9524.25"/>
    <n v="9524.25"/>
    <n v="9524.25"/>
    <s v="USD"/>
    <s v="USD"/>
    <s v="CDW-110122-25 Order on hold 10094921"/>
    <s v="Order on hold 10094921"/>
    <s v="World Wide Technology, LLC (WWT)"/>
    <s v="Public Sector"/>
    <s v="Federal"/>
    <s v="Federal Civilian"/>
    <s v="101.11010.245011.9999.950.999.9999.9999"/>
    <n v="101"/>
    <x v="0"/>
    <n v="245011"/>
    <n v="9999"/>
    <n v="950"/>
    <n v="999"/>
    <n v="9999"/>
    <n v="9999"/>
    <s v="Accrued Liabilities - Public Sector"/>
    <s v="106360-1"/>
    <s v="-"/>
    <s v="CLOUD"/>
    <s v=""/>
    <s v="-"/>
    <d v="2022-10-31T00:00:00"/>
    <s v="Manual"/>
    <s v="WWT US Ledger"/>
  </r>
  <r>
    <x v="1"/>
    <x v="0"/>
    <s v="BDM-120221-4 02-DEC-2021 13:03:00"/>
    <s v="BDM-120221-4"/>
    <s v="-"/>
    <s v="Nov-21"/>
    <n v="1725"/>
    <n v="1725"/>
    <n v="1725"/>
    <s v="USD"/>
    <s v="USD"/>
    <s v="SO 9796205lines awaiting fulfillment"/>
    <s v="-"/>
    <s v="World Wide Technology, LLC (WWT)"/>
    <s v="Public Sector"/>
    <s v="Federal"/>
    <s v="Federal Civilian"/>
    <s v="101.11010.245011.9999.999.999.9999.9999"/>
    <n v="101"/>
    <x v="0"/>
    <n v="245011"/>
    <n v="9999"/>
    <n v="999"/>
    <n v="999"/>
    <n v="9999"/>
    <n v="9999"/>
    <s v="Accrued Liabilities - Public Sector"/>
    <s v="-"/>
    <s v="-"/>
    <s v="CLOUD"/>
    <s v=""/>
    <s v="-"/>
    <d v="2021-11-30T00:00:00"/>
    <s v="Manual"/>
    <s v="WWT US Ledger"/>
  </r>
  <r>
    <x v="1"/>
    <x v="0"/>
    <s v="BDM-010622-2 06-JAN-2022 13:17:33"/>
    <s v="BDM-010622-2"/>
    <s v="-"/>
    <s v="Dec-21"/>
    <n v="150205.96"/>
    <n v="150205.96"/>
    <n v="150205.96"/>
    <s v="USD"/>
    <s v="USD"/>
    <s v="SO 9796205has awaiting fulfillment lines"/>
    <s v="-"/>
    <s v="World Wide Technology, LLC (WWT)"/>
    <s v="Public Sector"/>
    <s v="Federal"/>
    <s v="Federal Civilian"/>
    <s v="101.11010.245011.9999.999.999.9999.9999"/>
    <n v="101"/>
    <x v="0"/>
    <n v="245011"/>
    <n v="9999"/>
    <n v="999"/>
    <n v="999"/>
    <n v="9999"/>
    <n v="9999"/>
    <s v="Accrued Liabilities - Public Sector"/>
    <s v="-"/>
    <s v="-"/>
    <s v="CLOUD"/>
    <s v=""/>
    <s v="-"/>
    <d v="2021-12-31T00:00:00"/>
    <s v="Manual"/>
    <s v="WWT US Ledger"/>
  </r>
  <r>
    <x v="2"/>
    <x v="1"/>
    <s v="BDM-020322-22 03-FEB-2022 12:45:35 EBS OPR A 15616275 6915561 N"/>
    <s v="BDM-020322-22 OPR Adjustments"/>
    <s v="Timing: Streamline"/>
    <s v="Jan-22"/>
    <n v="-126500"/>
    <n v="-126500"/>
    <n v="-126500"/>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1-31T00:00:00"/>
    <s v="EBS OPR"/>
    <s v="WWT US Ledger"/>
  </r>
  <r>
    <x v="2"/>
    <x v="1"/>
    <s v="BDM-040522-18 05-APR-2022 22:00:51 EBS OPR A 16801730 7625950 N"/>
    <s v="BDM-040522-18 OPR Adjustments"/>
    <s v="Timing: Streamline"/>
    <s v="Mar-22"/>
    <n v="133855"/>
    <n v="133855"/>
    <n v="133855"/>
    <s v="USD"/>
    <s v="USD"/>
    <s v="Streamline for PR20005283"/>
    <s v="Journal Import Created"/>
    <s v="World Wide Technology, LLC (WWT)"/>
    <s v="Public Sector"/>
    <s v="Federal"/>
    <s v="Federal Civilian"/>
    <s v="101.12021.245011.9999.999.999.9999.9999"/>
    <n v="101"/>
    <x v="1"/>
    <n v="245011"/>
    <n v="9999"/>
    <n v="999"/>
    <n v="999"/>
    <n v="9999"/>
    <n v="9999"/>
    <s v="Accrued Liabilities - Public Sector"/>
    <s v="-"/>
    <s v="-"/>
    <s v="CLOUD"/>
    <s v=""/>
    <s v="-"/>
    <d v="2022-03-31T00:00:00"/>
    <s v="EBS OPR"/>
    <s v="WWT US Ledger"/>
  </r>
  <r>
    <x v="1"/>
    <x v="0"/>
    <s v="BDM-050422-31 04-MAY-2022 12:56:00 EBS OPR A 17468738 7952288 N"/>
    <s v="BDM-050422-31 OPR Adjustments"/>
    <s v="Timing: Streamline"/>
    <s v="Apr-22"/>
    <n v="-99778.21000000001"/>
    <n v="-99778.21000000001"/>
    <n v="-99778.21000000001"/>
    <s v="USD"/>
    <s v="USD"/>
    <s v="Releasing cost from timing to OPR for awaiting fufillment lines on SO 9796205"/>
    <s v="Journal Import Created"/>
    <s v="World Wide Technology, LLC (WWT)"/>
    <s v="Public Sector"/>
    <s v="Federal"/>
    <s v="Federal Civilian"/>
    <s v="101.11010.245011.9999.999.999.9999.9999"/>
    <n v="101"/>
    <x v="0"/>
    <n v="245011"/>
    <n v="9999"/>
    <n v="999"/>
    <n v="999"/>
    <n v="9999"/>
    <n v="9999"/>
    <s v="Accrued Liabilities - Public Sector"/>
    <s v="-"/>
    <s v="-"/>
    <s v="CLOUD"/>
    <s v=""/>
    <s v="-"/>
    <d v="2022-04-30T00:00:00"/>
    <s v="EBS OPR"/>
    <s v="WWT US Ledger"/>
  </r>
  <r>
    <x v="3"/>
    <x v="2"/>
    <s v="BDM-050322-1 03-MAY-2022 08:39:40 EBS OPR A 17429488 7937391 N"/>
    <s v="BDM-050322-1 OPR Adjustments"/>
    <s v="Timing: Streamline"/>
    <s v="Apr-22"/>
    <n v="200826"/>
    <n v="200826"/>
    <n v="200826"/>
    <s v="USD"/>
    <s v="USD"/>
    <s v="Streamline for PO 157803 - OPR to justify"/>
    <s v="Journal Import Created"/>
    <s v="World Wide Technology, LLC (WWT)"/>
    <s v="Public Sector"/>
    <s v="Federal"/>
    <s v="Federal Department of Defense"/>
    <s v="101.11023.245011.9999.999.999.9999.9999"/>
    <n v="101"/>
    <x v="2"/>
    <n v="245011"/>
    <n v="9999"/>
    <n v="999"/>
    <n v="999"/>
    <n v="9999"/>
    <n v="9999"/>
    <s v="Accrued Liabilities - Public Sector"/>
    <s v="-"/>
    <s v="-"/>
    <s v="CLOUD"/>
    <s v=""/>
    <s v="-"/>
    <d v="2022-04-30T00:00:00"/>
    <s v="EBS OPR"/>
    <s v="WWT US Ledger"/>
  </r>
  <r>
    <x v="4"/>
    <x v="3"/>
    <s v="BDM-060522-37 05-JUN-2022 21:55:59 EBS OPR A 18091846 8322753 N"/>
    <s v="BDM-060522-37 OPR Adjustments"/>
    <s v="Timing: Streamline"/>
    <s v="May-22"/>
    <n v="68161.14"/>
    <n v="68161.14"/>
    <n v="68161.14"/>
    <s v="USD"/>
    <s v="USD"/>
    <s v="Deferring the reversal of BDM-050422-3 as the RecVue team has not yet processed the credit"/>
    <s v="Journal Import Created"/>
    <s v="World Wide Technology, LLC (WWT)"/>
    <s v="Public Sector"/>
    <s v="Federal"/>
    <s v="Federal Department of Defense"/>
    <s v="101.12012.245011.9999.999.999.9999.9999"/>
    <n v="101"/>
    <x v="3"/>
    <n v="245011"/>
    <n v="9999"/>
    <n v="999"/>
    <n v="999"/>
    <n v="9999"/>
    <n v="9999"/>
    <s v="Accrued Liabilities - Public Sector"/>
    <s v="-"/>
    <s v="-"/>
    <s v="CLOUD"/>
    <s v=""/>
    <s v="-"/>
    <d v="2022-05-31T00:00:00"/>
    <s v="EBS OPR"/>
    <s v="WWT US Ledger"/>
  </r>
  <r>
    <x v="5"/>
    <x v="4"/>
    <s v="CMG-070622-12 Defer Replacement Cost Pending Cisco Credit 06-JUL-2022 21:16:01 EBS OPR A 1 8686094 N"/>
    <s v="CMG-070622-12 Defer Replacement Cost Pending Cisco Credit OPR Adjustments"/>
    <s v="Issue: AP Correction Needed"/>
    <s v="Jun-22"/>
    <n v="53552.52"/>
    <n v="53552.52"/>
    <n v="53552.52"/>
    <s v="USD"/>
    <s v="USD"/>
    <s v="https://quote-system.apps.wwt.com/#/quotes/6071628/versions/2/detail"/>
    <s v="Journal Import Created"/>
    <s v="World Wide Technology, LLC (WWT)"/>
    <s v="Public Sector"/>
    <s v="SLED"/>
    <s v="SLED East"/>
    <s v="101.13006.245011.9999.999.999.9999.9999"/>
    <n v="101"/>
    <x v="4"/>
    <n v="245011"/>
    <n v="9999"/>
    <n v="999"/>
    <n v="999"/>
    <n v="9999"/>
    <n v="9999"/>
    <s v="Accrued Liabilities - Public Sector"/>
    <s v="-"/>
    <s v="-"/>
    <s v="CLOUD"/>
    <s v=""/>
    <s v="-"/>
    <d v="2022-06-30T00:00:00"/>
    <s v="EBS OPR"/>
    <s v="WWT US Ledger"/>
  </r>
  <r>
    <x v="6"/>
    <x v="5"/>
    <s v="Reverses BDM-031522-1 17-08-22 15:04:15 9168774"/>
    <s v="Reverses BDM-031522-1 17-08-22 15:04:16"/>
    <s v="-"/>
    <s v="Aug-22"/>
    <n v="543000"/>
    <n v="543000"/>
    <n v="543000"/>
    <s v="USD"/>
    <s v="USD"/>
    <s v="Reverses journal BDM-031522-1 of journal batch BDM-031522-1 15-MAR-2022 09:28:40 from period Mar-22."/>
    <s v="-"/>
    <s v="World Wide Technology, LLC (WWT)"/>
    <s v="Public Sector"/>
    <s v="Federal"/>
    <s v="Federal Civilian"/>
    <s v="101.12014.245011.9999.999.999.9999.9999"/>
    <n v="101"/>
    <x v="5"/>
    <n v="245011"/>
    <n v="9999"/>
    <n v="999"/>
    <n v="999"/>
    <n v="9999"/>
    <n v="9999"/>
    <s v="Accrued Liabilities - Public Sector"/>
    <s v="-"/>
    <s v="-"/>
    <s v="CLOUD"/>
    <s v=""/>
    <s v="-"/>
    <d v="2022-08-17T00:00:00"/>
    <s v="Manual"/>
    <s v="WWT US Ledger"/>
  </r>
  <r>
    <x v="7"/>
    <x v="5"/>
    <s v="CDW-110422-3 Defer SO 10537043 04-NOV-2022 11:12:10 EBS OPR A 22130344 10408274 N"/>
    <s v="CDW-110422-3 Defer SO 10537043 OPR Adjustments"/>
    <s v="Issue: Needs Research"/>
    <s v="Oct-22"/>
    <n v="322908.8"/>
    <n v="322908.8"/>
    <n v="322908.8"/>
    <s v="USD"/>
    <s v="USD"/>
    <s v="Defer SO 10537043"/>
    <s v="Journal Import Created"/>
    <s v="World Wide Technology, LLC (WWT)"/>
    <s v="Public Sector"/>
    <s v="Federal"/>
    <s v="Federal Civilian"/>
    <s v="101.12014.245011.9999.999.999.9999.9999"/>
    <n v="101"/>
    <x v="5"/>
    <n v="245011"/>
    <n v="9999"/>
    <n v="999"/>
    <n v="999"/>
    <n v="9999"/>
    <n v="9999"/>
    <s v="Accrued Liabilities - Public Sector"/>
    <s v="-"/>
    <s v="-"/>
    <s v="CLOUD"/>
    <s v=""/>
    <s v="-"/>
    <d v="2022-10-31T00:00:00"/>
    <s v="EBS OPR"/>
    <s v="WWT US Ledger"/>
  </r>
  <r>
    <x v="8"/>
    <x v="6"/>
    <s v="JMM-120222-26 Postal Order 172443 Spreadsheet A 150498 371374842 EBS OPR A 747693 10902181 N"/>
    <s v="JMM-120522-26 Postal Order 172443 OPR Adjustment USD User 1 OPR Adjustments"/>
    <s v="Timing: Streamline"/>
    <s v="Nov-22"/>
    <n v="44929.56"/>
    <n v="44929.56"/>
    <n v="44929.56"/>
    <s v="USD"/>
    <s v="USD"/>
    <s v="Deferring GP until PO 1CDATA-21-C-0075 closes"/>
    <s v="Journal Import Created"/>
    <s v="World Wide Technology, LLC (WWT)"/>
    <s v="Public Sector"/>
    <s v="Federal"/>
    <s v="Federal House"/>
    <s v="101.11016.245011.9999.999.999.9999.9999"/>
    <n v="101"/>
    <x v="6"/>
    <n v="245011"/>
    <n v="9999"/>
    <n v="999"/>
    <n v="999"/>
    <n v="9999"/>
    <n v="9999"/>
    <s v="Accrued Liabilities - Public Sector"/>
    <s v="-"/>
    <s v="-"/>
    <s v="CLOUD"/>
    <s v=""/>
    <s v="-"/>
    <d v="2022-11-30T00:00:00"/>
    <s v="EBS OPR"/>
    <s v="WWT US Ledger"/>
  </r>
  <r>
    <x v="9"/>
    <x v="0"/>
    <s v="CMG-120622-3 Accrue Nov-22 Portion of Yearly VA EA Invoice PO 3633043 06-DEC-2022 10:21:1 10913179 N"/>
    <s v="CMG-120622-3 Accrue Nov-22 Portion of Yearly VA EA Invoice PO 3633043 OPR Adjustments"/>
    <s v="Accrual: Dropship"/>
    <s v="Nov-22"/>
    <n v="-50160.75"/>
    <n v="-50160.75"/>
    <n v="-50160.75"/>
    <s v="USD"/>
    <s v="USD"/>
    <s v="Accrue Nov-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9"/>
    <x v="0"/>
    <s v="CMG-120622-4 Accrue Oct-22 Portion of Yearly VA EA Invoice PO 3633043 06-DEC-2022 10:22:5 10913179 N"/>
    <s v="CMG-120622-4 Accrue Oct-22 Portion of Yearly VA EA Invoice PO 3633043 OPR Adjustments"/>
    <s v="Accrual: Dropship"/>
    <s v="Nov-22"/>
    <n v="-50160.75"/>
    <n v="-50160.75"/>
    <n v="-50160.75"/>
    <s v="USD"/>
    <s v="USD"/>
    <s v="Accrue Oct-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1-30T00:00:00"/>
    <s v="EBS OPR"/>
    <s v="WWT US Ledger"/>
  </r>
  <r>
    <x v="10"/>
    <x v="7"/>
    <s v="Manual A 149969 371136527 EBS OPR A 730618 10887959 N"/>
    <s v="JMM-120222-1 Reverse Dec-22 OPR Adjustment USD User 1 OPR Adjustments"/>
    <s v="Issue: Ops Correction Needed - Pricing"/>
    <s v="Nov-22"/>
    <n v="-41798.4"/>
    <n v="-41798.4"/>
    <n v="-41798.4"/>
    <s v="USD"/>
    <s v="USD"/>
    <s v="Accruing cost SO 10479984"/>
    <s v="Journal Import Created"/>
    <s v="World Wide Technology, LLC (WWT)"/>
    <s v="Public Sector"/>
    <s v="Federal"/>
    <s v="Federal Civilian"/>
    <s v="101.12013.245011.9999.999.999.9999.9999"/>
    <n v="101"/>
    <x v="7"/>
    <n v="245011"/>
    <n v="9999"/>
    <n v="999"/>
    <n v="999"/>
    <n v="9999"/>
    <n v="9999"/>
    <s v="Accrued Liabilities - Public Sector"/>
    <s v="-"/>
    <s v="-"/>
    <s v="CLOUD"/>
    <s v=""/>
    <s v="-"/>
    <d v="2022-11-30T00:00:00"/>
    <s v="EBS OPR"/>
    <s v="WWT US Ledger"/>
  </r>
  <r>
    <x v="9"/>
    <x v="0"/>
    <s v="CMG-010523-10 Accrue Dec-22 Portion of Yearly VA EA Invoice PO 3633043 06-JAN-2023 12:29: 11409092 N"/>
    <s v="CMG-010523-10 Accrue Dec-22 Portion of Yearly VA EA Invoice PO 3633043 OPR Adjustments"/>
    <s v="Accrual: Dropship"/>
    <s v="Dec-22"/>
    <n v="-50160.75"/>
    <n v="-50160.75"/>
    <n v="-50160.75"/>
    <s v="USD"/>
    <s v="USD"/>
    <s v="Accrue Dec-22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2-12-31T00:00:00"/>
    <s v="EBS OPR"/>
    <s v="WWT US Ledger"/>
  </r>
  <r>
    <x v="11"/>
    <x v="8"/>
    <s v="CDW-020623-12 Accrue RecVue SAAS Cost 06-FEB-2023 15:06:13 EBS OPR A 2419405 11901030 N"/>
    <s v="CDW-020623-12 Accrue RecVue SAAS Cost OPR Adjustments"/>
    <s v="Accrual: Dropship"/>
    <s v="Jan-23"/>
    <n v="-1100000"/>
    <n v="-1100000"/>
    <n v="-1100000"/>
    <s v="USD"/>
    <s v="USD"/>
    <s v="Accrue RecVue SAAS Cost"/>
    <s v="Journal Import Created"/>
    <s v="World Wide Technology, LLC (WWT)"/>
    <s v="Public Sector"/>
    <s v="Federal"/>
    <s v="Federal Department of Defense"/>
    <s v="101.12022.245011.9999.999.999.9999.9999"/>
    <n v="101"/>
    <x v="8"/>
    <n v="245011"/>
    <n v="9999"/>
    <n v="999"/>
    <n v="999"/>
    <n v="9999"/>
    <n v="9999"/>
    <s v="Accrued Liabilities - Public Sector"/>
    <s v="-"/>
    <s v="-"/>
    <s v="CLOUD"/>
    <s v=""/>
    <s v="-"/>
    <d v="2023-01-31T00:00:00"/>
    <s v="EBS OPR"/>
    <s v="WWT US Ledger"/>
  </r>
  <r>
    <x v="9"/>
    <x v="0"/>
    <s v="CDW-020323-15 Accrue Jan-23 Portion of Yearly VA EA Invoice PO 3633043 03-FEB-2023 15:30: 11896705 N"/>
    <s v="CDW-020323-15 Accrue Jan-23 Portion of Yearly VA EA Invoice PO 3633043 OPR Adjustments"/>
    <s v="Accrual: Program Specific Margin Accrual"/>
    <s v="Jan-23"/>
    <n v="-50160.75"/>
    <n v="-50160.75"/>
    <n v="-50160.75"/>
    <s v="USD"/>
    <s v="USD"/>
    <s v="Accrue Jan-23 Portion of Yearly VA EA Invoice PO 3633043"/>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12"/>
    <x v="0"/>
    <s v="CDW-020323-8 Defer OPS issue Deferred Billing to Timing 03-FEB-2023 11:21:31 EBS OPR A 23 11896705 N"/>
    <s v="CDW-020323-8 Defer OPS issue Deferred Billing to Timing OPR Adjustments"/>
    <s v="Issue: Ops Correction Needed - Order Type"/>
    <s v="Jan-23"/>
    <n v="221281.44"/>
    <n v="221281.44"/>
    <n v="221281.44"/>
    <s v="USD"/>
    <s v="USD"/>
    <s v="CDW-020323-8 Defer OPS issue Deferred Billing to Timing"/>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r>
    <x v="9"/>
    <x v="0"/>
    <s v="CDW-020623-3 Accrue VA EA Jan-23 AP Invoices 06-FEB-2023 08:57:24 EBS OPR A 2417086 11898421 N"/>
    <s v="CDW-020623-3 Accrue VA EA Jan-23 AP Invoices OPR Adjustments"/>
    <s v="Accrual: Dropship"/>
    <s v="Jan-23"/>
    <n v="-1446298.13"/>
    <n v="-1446298.13"/>
    <n v="-1446298.13"/>
    <s v="USD"/>
    <s v="USD"/>
    <s v="CDW-020623-3 Accrue VA EA Jan-23 AP Invoices"/>
    <s v="Journal Import Created"/>
    <s v="World Wide Technology, LLC (WWT)"/>
    <s v="Public Sector"/>
    <s v="Federal"/>
    <s v="Federal Civilian"/>
    <s v="101.11010.245011.9999.999.999.9999.9999"/>
    <n v="101"/>
    <x v="0"/>
    <n v="245011"/>
    <n v="9999"/>
    <n v="999"/>
    <n v="999"/>
    <n v="9999"/>
    <n v="9999"/>
    <s v="Accrued Liabilities - Public Sector"/>
    <s v="-"/>
    <s v="-"/>
    <s v="CLOUD"/>
    <s v=""/>
    <s v="-"/>
    <d v="2023-01-31T00:00:00"/>
    <s v="EBS OPR"/>
    <s v="WWT US Ledg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 firstHeaderRow="1" firstDataRow="1" firstDataCol="1"/>
  <pivotFields count="35">
    <pivotField axis="axisRow" showAll="0">
      <items count="14">
        <item x="6"/>
        <item x="1"/>
        <item x="7"/>
        <item x="0"/>
        <item x="10"/>
        <item x="11"/>
        <item x="12"/>
        <item x="8"/>
        <item x="5"/>
        <item x="4"/>
        <item x="2"/>
        <item x="3"/>
        <item x="9"/>
        <item t="default"/>
      </items>
    </pivotField>
    <pivotField axis="axisRow" showAll="0">
      <items count="10">
        <item x="5"/>
        <item x="0"/>
        <item x="6"/>
        <item x="3"/>
        <item x="8"/>
        <item x="7"/>
        <item x="2"/>
        <item x="1"/>
        <item x="4"/>
        <item t="default"/>
      </items>
    </pivotField>
    <pivotField showAll="0"/>
    <pivotField showAll="0"/>
    <pivotField showAll="0"/>
    <pivotField showAll="0"/>
    <pivotField dataField="1" numFmtId="164" showAll="0"/>
    <pivotField numFmtId="164" showAll="0"/>
    <pivotField numFmtId="164" showAll="0"/>
    <pivotField showAll="0"/>
    <pivotField showAll="0"/>
    <pivotField showAll="0"/>
    <pivotField showAll="0"/>
    <pivotField showAll="0"/>
    <pivotField showAll="0"/>
    <pivotField showAll="0"/>
    <pivotField showAll="0"/>
    <pivotField showAll="0"/>
    <pivotField numFmtId="1" showAll="0"/>
    <pivotField axis="axisRow" numFmtId="1" showAll="0">
      <items count="10">
        <item x="0"/>
        <item x="6"/>
        <item x="2"/>
        <item x="3"/>
        <item x="7"/>
        <item x="5"/>
        <item x="1"/>
        <item x="8"/>
        <item x="4"/>
        <item t="default"/>
      </items>
    </pivotField>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numFmtId="165" showAll="0"/>
    <pivotField showAll="0"/>
    <pivotField showAll="0"/>
  </pivotFields>
  <rowFields count="3">
    <field x="1"/>
    <field x="19"/>
    <field x="0"/>
  </rowFields>
  <rowItems count="32">
    <i>
      <x/>
    </i>
    <i r="1">
      <x v="5"/>
    </i>
    <i r="2">
      <x/>
    </i>
    <i r="2">
      <x v="2"/>
    </i>
    <i>
      <x v="1"/>
    </i>
    <i r="1">
      <x/>
    </i>
    <i r="2">
      <x v="1"/>
    </i>
    <i r="2">
      <x v="3"/>
    </i>
    <i r="2">
      <x v="6"/>
    </i>
    <i r="2">
      <x v="12"/>
    </i>
    <i>
      <x v="2"/>
    </i>
    <i r="1">
      <x v="1"/>
    </i>
    <i r="2">
      <x v="7"/>
    </i>
    <i>
      <x v="3"/>
    </i>
    <i r="1">
      <x v="3"/>
    </i>
    <i r="2">
      <x v="9"/>
    </i>
    <i>
      <x v="4"/>
    </i>
    <i r="1">
      <x v="7"/>
    </i>
    <i r="2">
      <x v="5"/>
    </i>
    <i>
      <x v="5"/>
    </i>
    <i r="1">
      <x v="4"/>
    </i>
    <i r="2">
      <x v="4"/>
    </i>
    <i>
      <x v="6"/>
    </i>
    <i r="1">
      <x v="2"/>
    </i>
    <i r="2">
      <x v="11"/>
    </i>
    <i>
      <x v="7"/>
    </i>
    <i r="1">
      <x v="6"/>
    </i>
    <i r="2">
      <x v="10"/>
    </i>
    <i>
      <x v="8"/>
    </i>
    <i r="1">
      <x v="8"/>
    </i>
    <i r="2">
      <x v="8"/>
    </i>
    <i t="grand">
      <x/>
    </i>
  </rowItems>
  <colItems count="1">
    <i/>
  </colItems>
  <dataFields count="1">
    <dataField name="Sum of Entered Amount" fld="6" baseField="0" baseItem="0" numFmtId="43"/>
  </dataFields>
  <formats count="1">
    <format dxfId="155">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 firstHeaderRow="1" firstDataRow="1" firstDataCol="1"/>
  <pivotFields count="35">
    <pivotField axis="axisRow" showAll="0">
      <items count="9">
        <item x="0"/>
        <item x="4"/>
        <item x="5"/>
        <item x="6"/>
        <item x="3"/>
        <item x="1"/>
        <item x="2"/>
        <item x="7"/>
        <item t="default"/>
      </items>
    </pivotField>
    <pivotField axis="axisRow" showAll="0">
      <items count="10">
        <item x="6"/>
        <item x="4"/>
        <item x="8"/>
        <item x="0"/>
        <item x="7"/>
        <item x="3"/>
        <item x="5"/>
        <item x="2"/>
        <item x="1"/>
        <item t="default"/>
      </items>
    </pivotField>
    <pivotField showAll="0"/>
    <pivotField showAll="0"/>
    <pivotField showAll="0"/>
    <pivotField showAll="0"/>
    <pivotField dataField="1" numFmtId="164" showAll="0"/>
    <pivotField numFmtId="164" showAll="0"/>
    <pivotField numFmtId="164" showAll="0"/>
    <pivotField showAll="0"/>
    <pivotField showAll="0"/>
    <pivotField showAll="0"/>
    <pivotField showAll="0"/>
    <pivotField showAll="0"/>
    <pivotField showAll="0"/>
    <pivotField showAll="0"/>
    <pivotField showAll="0"/>
    <pivotField showAll="0"/>
    <pivotField numFmtId="1" showAll="0"/>
    <pivotField axis="axisRow" numFmtId="1" showAll="0">
      <items count="10">
        <item x="6"/>
        <item x="0"/>
        <item x="7"/>
        <item x="2"/>
        <item x="3"/>
        <item x="5"/>
        <item x="4"/>
        <item x="8"/>
        <item x="1"/>
        <item t="default"/>
      </items>
    </pivotField>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numFmtId="165" showAll="0"/>
    <pivotField showAll="0"/>
    <pivotField showAll="0"/>
  </pivotFields>
  <rowFields count="3">
    <field x="1"/>
    <field x="19"/>
    <field x="0"/>
  </rowFields>
  <rowItems count="32">
    <i>
      <x/>
    </i>
    <i r="1">
      <x/>
    </i>
    <i r="2">
      <x v="7"/>
    </i>
    <i>
      <x v="1"/>
    </i>
    <i r="1">
      <x v="6"/>
    </i>
    <i r="2">
      <x v="1"/>
    </i>
    <i r="2">
      <x v="7"/>
    </i>
    <i>
      <x v="2"/>
    </i>
    <i r="1">
      <x v="7"/>
    </i>
    <i r="2">
      <x v="7"/>
    </i>
    <i>
      <x v="3"/>
    </i>
    <i r="1">
      <x v="1"/>
    </i>
    <i r="2">
      <x/>
    </i>
    <i r="2">
      <x v="3"/>
    </i>
    <i r="2">
      <x v="7"/>
    </i>
    <i>
      <x v="4"/>
    </i>
    <i r="1">
      <x v="2"/>
    </i>
    <i r="2">
      <x v="7"/>
    </i>
    <i>
      <x v="5"/>
    </i>
    <i r="1">
      <x v="4"/>
    </i>
    <i r="2">
      <x v="4"/>
    </i>
    <i>
      <x v="6"/>
    </i>
    <i r="1">
      <x v="5"/>
    </i>
    <i r="2">
      <x v="2"/>
    </i>
    <i>
      <x v="7"/>
    </i>
    <i r="1">
      <x v="3"/>
    </i>
    <i r="2">
      <x v="6"/>
    </i>
    <i>
      <x v="8"/>
    </i>
    <i r="1">
      <x v="8"/>
    </i>
    <i r="2">
      <x v="5"/>
    </i>
    <i r="2">
      <x v="7"/>
    </i>
    <i t="grand">
      <x/>
    </i>
  </rowItems>
  <colItems count="1">
    <i/>
  </colItems>
  <dataFields count="1">
    <dataField name="Sum of Entered Amount" fld="6" baseField="0" baseItem="0" numFmtId="43"/>
  </dataFields>
  <formats count="1">
    <format dxfId="154">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37">
    <pivotField numFmtId="1" showAll="0"/>
    <pivotField showAll="0"/>
    <pivotField axis="axisRow" showAll="0">
      <items count="22">
        <item x="16"/>
        <item x="0"/>
        <item x="6"/>
        <item x="13"/>
        <item x="4"/>
        <item x="5"/>
        <item x="19"/>
        <item x="20"/>
        <item x="7"/>
        <item x="17"/>
        <item x="12"/>
        <item x="10"/>
        <item x="15"/>
        <item x="18"/>
        <item x="11"/>
        <item x="3"/>
        <item x="1"/>
        <item x="2"/>
        <item x="8"/>
        <item x="9"/>
        <item x="14"/>
        <item t="default"/>
      </items>
    </pivotField>
    <pivotField axis="axisRow" showAll="0">
      <items count="14">
        <item x="10"/>
        <item x="4"/>
        <item x="7"/>
        <item x="0"/>
        <item x="6"/>
        <item x="3"/>
        <item x="5"/>
        <item x="2"/>
        <item x="12"/>
        <item x="1"/>
        <item x="11"/>
        <item x="8"/>
        <item x="9"/>
        <item t="default"/>
      </items>
    </pivotField>
    <pivotField showAll="0"/>
    <pivotField showAll="0"/>
    <pivotField showAll="0"/>
    <pivotField showAll="0"/>
    <pivotField dataField="1" numFmtId="164" showAll="0"/>
    <pivotField numFmtId="164" showAll="0"/>
    <pivotField numFmtId="164" showAll="0"/>
    <pivotField showAll="0"/>
    <pivotField showAll="0"/>
    <pivotField showAll="0"/>
    <pivotField showAll="0"/>
    <pivotField showAll="0"/>
    <pivotField showAll="0"/>
    <pivotField showAll="0"/>
    <pivotField showAll="0"/>
    <pivotField showAll="0"/>
    <pivotField numFmtId="1" showAll="0"/>
    <pivotField axis="axisRow" numFmtId="1" showAll="0">
      <items count="14">
        <item x="10"/>
        <item x="0"/>
        <item x="6"/>
        <item x="2"/>
        <item x="12"/>
        <item x="3"/>
        <item x="5"/>
        <item x="4"/>
        <item x="7"/>
        <item x="11"/>
        <item x="1"/>
        <item x="9"/>
        <item x="8"/>
        <item t="default"/>
      </items>
    </pivotField>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numFmtId="165" showAll="0"/>
    <pivotField showAll="0"/>
    <pivotField showAll="0"/>
  </pivotFields>
  <rowFields count="3">
    <field x="3"/>
    <field x="21"/>
    <field x="2"/>
  </rowFields>
  <rowItems count="51">
    <i>
      <x/>
    </i>
    <i r="1">
      <x/>
    </i>
    <i r="2">
      <x v="20"/>
    </i>
    <i>
      <x v="1"/>
    </i>
    <i r="1">
      <x v="7"/>
    </i>
    <i r="2">
      <x v="4"/>
    </i>
    <i r="2">
      <x v="8"/>
    </i>
    <i>
      <x v="2"/>
    </i>
    <i r="1">
      <x v="8"/>
    </i>
    <i r="2">
      <x v="18"/>
    </i>
    <i r="2">
      <x v="19"/>
    </i>
    <i>
      <x v="3"/>
    </i>
    <i r="1">
      <x v="1"/>
    </i>
    <i r="2">
      <x/>
    </i>
    <i r="2">
      <x v="1"/>
    </i>
    <i r="2">
      <x v="2"/>
    </i>
    <i r="2">
      <x v="11"/>
    </i>
    <i r="2">
      <x v="12"/>
    </i>
    <i>
      <x v="4"/>
    </i>
    <i r="1">
      <x v="2"/>
    </i>
    <i r="2">
      <x v="8"/>
    </i>
    <i>
      <x v="5"/>
    </i>
    <i r="1">
      <x v="5"/>
    </i>
    <i r="2">
      <x v="15"/>
    </i>
    <i r="2">
      <x v="20"/>
    </i>
    <i>
      <x v="6"/>
    </i>
    <i r="1">
      <x v="6"/>
    </i>
    <i r="2">
      <x v="5"/>
    </i>
    <i r="2">
      <x v="6"/>
    </i>
    <i>
      <x v="7"/>
    </i>
    <i r="1">
      <x v="3"/>
    </i>
    <i r="2">
      <x v="17"/>
    </i>
    <i>
      <x v="8"/>
    </i>
    <i r="1">
      <x v="4"/>
    </i>
    <i r="2">
      <x v="7"/>
    </i>
    <i>
      <x v="9"/>
    </i>
    <i r="1">
      <x v="10"/>
    </i>
    <i r="2">
      <x v="16"/>
    </i>
    <i>
      <x v="10"/>
    </i>
    <i r="1">
      <x v="9"/>
    </i>
    <i r="2">
      <x v="9"/>
    </i>
    <i r="2">
      <x v="13"/>
    </i>
    <i>
      <x v="11"/>
    </i>
    <i r="1">
      <x v="12"/>
    </i>
    <i r="2">
      <x v="3"/>
    </i>
    <i r="2">
      <x v="11"/>
    </i>
    <i r="2">
      <x v="14"/>
    </i>
    <i>
      <x v="12"/>
    </i>
    <i r="1">
      <x v="11"/>
    </i>
    <i r="2">
      <x v="10"/>
    </i>
    <i t="grand">
      <x/>
    </i>
  </rowItems>
  <colItems count="1">
    <i/>
  </colItems>
  <dataFields count="1">
    <dataField name="Sum of Entered Amount" fld="8" baseField="0" baseItem="0" numFmtId="43"/>
  </dataFields>
  <formats count="1">
    <format dxfId="153">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37">
    <pivotField numFmtId="1" showAll="0"/>
    <pivotField showAll="0"/>
    <pivotField axis="axisRow" showAll="0">
      <items count="24">
        <item m="1" x="19"/>
        <item x="0"/>
        <item x="16"/>
        <item x="13"/>
        <item x="6"/>
        <item x="9"/>
        <item m="1" x="21"/>
        <item m="1" x="17"/>
        <item x="5"/>
        <item m="1" x="22"/>
        <item x="12"/>
        <item x="14"/>
        <item x="3"/>
        <item x="1"/>
        <item x="2"/>
        <item m="1" x="18"/>
        <item m="1" x="20"/>
        <item x="10"/>
        <item x="7"/>
        <item x="15"/>
        <item x="11"/>
        <item x="4"/>
        <item x="8"/>
        <item t="default"/>
      </items>
    </pivotField>
    <pivotField axis="axisRow" showAll="0">
      <items count="13">
        <item x="8"/>
        <item x="11"/>
        <item x="4"/>
        <item x="6"/>
        <item x="0"/>
        <item x="3"/>
        <item x="5"/>
        <item x="2"/>
        <item x="9"/>
        <item x="1"/>
        <item x="7"/>
        <item x="10"/>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1">
    <i>
      <x/>
    </i>
    <i r="1">
      <x v="17"/>
    </i>
    <i>
      <x v="1"/>
    </i>
    <i r="1">
      <x v="17"/>
    </i>
    <i r="1">
      <x v="19"/>
    </i>
    <i>
      <x v="2"/>
    </i>
    <i r="1">
      <x v="21"/>
    </i>
    <i>
      <x v="3"/>
    </i>
    <i r="1">
      <x v="18"/>
    </i>
    <i>
      <x v="4"/>
    </i>
    <i r="1">
      <x v="1"/>
    </i>
    <i r="1">
      <x v="2"/>
    </i>
    <i r="1">
      <x v="4"/>
    </i>
    <i r="1">
      <x v="11"/>
    </i>
    <i>
      <x v="5"/>
    </i>
    <i r="1">
      <x v="5"/>
    </i>
    <i r="1">
      <x v="12"/>
    </i>
    <i>
      <x v="6"/>
    </i>
    <i r="1">
      <x v="8"/>
    </i>
    <i r="1">
      <x v="20"/>
    </i>
    <i>
      <x v="7"/>
    </i>
    <i r="1">
      <x v="14"/>
    </i>
    <i>
      <x v="8"/>
    </i>
    <i r="1">
      <x v="10"/>
    </i>
    <i>
      <x v="9"/>
    </i>
    <i r="1">
      <x v="13"/>
    </i>
    <i>
      <x v="10"/>
    </i>
    <i r="1">
      <x v="22"/>
    </i>
    <i>
      <x v="11"/>
    </i>
    <i r="1">
      <x v="3"/>
    </i>
    <i t="grand">
      <x/>
    </i>
  </rowItems>
  <colItems count="1">
    <i/>
  </colItems>
  <dataFields count="1">
    <dataField name="Sum of Entered Amount" fld="8" baseField="0" baseItem="0" numFmtId="43"/>
  </dataFields>
  <formats count="22">
    <format dxfId="152">
      <pivotArea outline="0" collapsedLevelsAreSubtotals="1" fieldPosition="0"/>
    </format>
    <format dxfId="151">
      <pivotArea collapsedLevelsAreSubtotals="1" fieldPosition="0">
        <references count="2">
          <reference field="2" count="1">
            <x v="7"/>
          </reference>
          <reference field="3" count="1" selected="0">
            <x v="2"/>
          </reference>
        </references>
      </pivotArea>
    </format>
    <format dxfId="150">
      <pivotArea dataOnly="0" labelOnly="1" fieldPosition="0">
        <references count="2">
          <reference field="2" count="1">
            <x v="7"/>
          </reference>
          <reference field="3" count="1" selected="0">
            <x v="2"/>
          </reference>
        </references>
      </pivotArea>
    </format>
    <format dxfId="149">
      <pivotArea collapsedLevelsAreSubtotals="1" fieldPosition="0">
        <references count="2">
          <reference field="2" count="2">
            <x v="4"/>
            <x v="11"/>
          </reference>
          <reference field="3" count="1" selected="0">
            <x v="4"/>
          </reference>
        </references>
      </pivotArea>
    </format>
    <format dxfId="148">
      <pivotArea dataOnly="0" labelOnly="1" fieldPosition="0">
        <references count="2">
          <reference field="2" count="2">
            <x v="4"/>
            <x v="11"/>
          </reference>
          <reference field="3" count="1" selected="0">
            <x v="4"/>
          </reference>
        </references>
      </pivotArea>
    </format>
    <format dxfId="147">
      <pivotArea collapsedLevelsAreSubtotals="1" fieldPosition="0">
        <references count="2">
          <reference field="2" count="1">
            <x v="19"/>
          </reference>
          <reference field="3" count="1" selected="0">
            <x v="1"/>
          </reference>
        </references>
      </pivotArea>
    </format>
    <format dxfId="146">
      <pivotArea dataOnly="0" labelOnly="1" fieldPosition="0">
        <references count="2">
          <reference field="2" count="1">
            <x v="19"/>
          </reference>
          <reference field="3" count="1" selected="0">
            <x v="1"/>
          </reference>
        </references>
      </pivotArea>
    </format>
    <format dxfId="145">
      <pivotArea collapsedLevelsAreSubtotals="1" fieldPosition="0">
        <references count="2">
          <reference field="2" count="1">
            <x v="18"/>
          </reference>
          <reference field="3" count="1" selected="0">
            <x v="3"/>
          </reference>
        </references>
      </pivotArea>
    </format>
    <format dxfId="144">
      <pivotArea dataOnly="0" labelOnly="1" fieldPosition="0">
        <references count="2">
          <reference field="2" count="1">
            <x v="18"/>
          </reference>
          <reference field="3" count="1" selected="0">
            <x v="3"/>
          </reference>
        </references>
      </pivotArea>
    </format>
    <format dxfId="143">
      <pivotArea collapsedLevelsAreSubtotals="1" fieldPosition="0">
        <references count="2">
          <reference field="2" count="1">
            <x v="20"/>
          </reference>
          <reference field="3" count="1" selected="0">
            <x v="6"/>
          </reference>
        </references>
      </pivotArea>
    </format>
    <format dxfId="142">
      <pivotArea dataOnly="0" labelOnly="1" fieldPosition="0">
        <references count="2">
          <reference field="2" count="1">
            <x v="20"/>
          </reference>
          <reference field="3" count="1" selected="0">
            <x v="6"/>
          </reference>
        </references>
      </pivotArea>
    </format>
    <format dxfId="141">
      <pivotArea collapsedLevelsAreSubtotals="1" fieldPosition="0">
        <references count="2">
          <reference field="2" count="1">
            <x v="14"/>
          </reference>
          <reference field="3" count="1" selected="0">
            <x v="7"/>
          </reference>
        </references>
      </pivotArea>
    </format>
    <format dxfId="140">
      <pivotArea dataOnly="0" labelOnly="1" fieldPosition="0">
        <references count="2">
          <reference field="2" count="1">
            <x v="14"/>
          </reference>
          <reference field="3" count="1" selected="0">
            <x v="7"/>
          </reference>
        </references>
      </pivotArea>
    </format>
    <format dxfId="139">
      <pivotArea collapsedLevelsAreSubtotals="1" fieldPosition="0">
        <references count="2">
          <reference field="2" count="1">
            <x v="2"/>
          </reference>
          <reference field="3" count="1" selected="0">
            <x v="4"/>
          </reference>
        </references>
      </pivotArea>
    </format>
    <format dxfId="138">
      <pivotArea dataOnly="0" labelOnly="1" fieldPosition="0">
        <references count="2">
          <reference field="2" count="1">
            <x v="2"/>
          </reference>
          <reference field="3" count="1" selected="0">
            <x v="4"/>
          </reference>
        </references>
      </pivotArea>
    </format>
    <format dxfId="137">
      <pivotArea collapsedLevelsAreSubtotals="1" fieldPosition="0">
        <references count="2">
          <reference field="2" count="1">
            <x v="13"/>
          </reference>
          <reference field="3" count="1" selected="0">
            <x v="9"/>
          </reference>
        </references>
      </pivotArea>
    </format>
    <format dxfId="136">
      <pivotArea dataOnly="0" labelOnly="1" fieldPosition="0">
        <references count="2">
          <reference field="2" count="1">
            <x v="13"/>
          </reference>
          <reference field="3" count="1" selected="0">
            <x v="9"/>
          </reference>
        </references>
      </pivotArea>
    </format>
    <format dxfId="135">
      <pivotArea dataOnly="0" fieldPosition="0">
        <references count="1">
          <reference field="2" count="1">
            <x v="21"/>
          </reference>
        </references>
      </pivotArea>
    </format>
    <format dxfId="134">
      <pivotArea dataOnly="0" fieldPosition="0">
        <references count="1">
          <reference field="2" count="1">
            <x v="21"/>
          </reference>
        </references>
      </pivotArea>
    </format>
    <format dxfId="133">
      <pivotArea dataOnly="0" fieldPosition="0">
        <references count="1">
          <reference field="2" count="1">
            <x v="12"/>
          </reference>
        </references>
      </pivotArea>
    </format>
    <format dxfId="132">
      <pivotArea dataOnly="0" fieldPosition="0">
        <references count="1">
          <reference field="2" count="1">
            <x v="8"/>
          </reference>
        </references>
      </pivotArea>
    </format>
    <format dxfId="131">
      <pivotArea dataOnly="0" fieldPosition="0">
        <references count="1">
          <reference field="2" count="1">
            <x v="1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 firstHeaderRow="1" firstDataRow="1" firstDataCol="1"/>
  <pivotFields count="37">
    <pivotField numFmtId="1" showAll="0"/>
    <pivotField showAll="0"/>
    <pivotField axis="axisRow" showAll="0">
      <items count="10">
        <item x="0"/>
        <item x="6"/>
        <item x="4"/>
        <item x="2"/>
        <item x="1"/>
        <item x="7"/>
        <item x="5"/>
        <item x="8"/>
        <item x="3"/>
        <item t="default"/>
      </items>
    </pivotField>
    <pivotField axis="axisRow" showAll="0">
      <items count="11">
        <item x="6"/>
        <item x="7"/>
        <item x="3"/>
        <item x="5"/>
        <item x="0"/>
        <item x="2"/>
        <item x="4"/>
        <item x="8"/>
        <item x="1"/>
        <item x="9"/>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24">
    <i>
      <x/>
    </i>
    <i r="1">
      <x v="5"/>
    </i>
    <i>
      <x v="1"/>
    </i>
    <i r="1">
      <x v="7"/>
    </i>
    <i>
      <x v="2"/>
    </i>
    <i r="1">
      <x v="5"/>
    </i>
    <i r="1">
      <x v="8"/>
    </i>
    <i>
      <x v="3"/>
    </i>
    <i r="1">
      <x v="6"/>
    </i>
    <i>
      <x v="4"/>
    </i>
    <i r="1">
      <x/>
    </i>
    <i>
      <x v="5"/>
    </i>
    <i r="1">
      <x v="1"/>
    </i>
    <i r="1">
      <x v="3"/>
    </i>
    <i>
      <x v="6"/>
    </i>
    <i r="1">
      <x v="2"/>
    </i>
    <i r="1">
      <x v="5"/>
    </i>
    <i>
      <x v="7"/>
    </i>
    <i r="1">
      <x v="5"/>
    </i>
    <i>
      <x v="8"/>
    </i>
    <i r="1">
      <x v="4"/>
    </i>
    <i>
      <x v="9"/>
    </i>
    <i r="1">
      <x v="5"/>
    </i>
    <i t="grand">
      <x/>
    </i>
  </rowItems>
  <colItems count="1">
    <i/>
  </colItems>
  <dataFields count="1">
    <dataField name="Sum of Entered Amount" fld="8" baseField="0" baseItem="0" numFmtId="43"/>
  </dataFields>
  <formats count="11">
    <format dxfId="130">
      <pivotArea outline="0" collapsedLevelsAreSubtotals="1" fieldPosition="0"/>
    </format>
    <format dxfId="129">
      <pivotArea collapsedLevelsAreSubtotals="1" fieldPosition="0">
        <references count="2">
          <reference field="2" count="1">
            <x v="7"/>
          </reference>
          <reference field="3" count="1" selected="0">
            <x v="1"/>
          </reference>
        </references>
      </pivotArea>
    </format>
    <format dxfId="128">
      <pivotArea dataOnly="0" labelOnly="1" fieldPosition="0">
        <references count="2">
          <reference field="2" count="1">
            <x v="7"/>
          </reference>
          <reference field="3" count="1" selected="0">
            <x v="1"/>
          </reference>
        </references>
      </pivotArea>
    </format>
    <format dxfId="127">
      <pivotArea collapsedLevelsAreSubtotals="1" fieldPosition="0">
        <references count="2">
          <reference field="2" count="1">
            <x v="6"/>
          </reference>
          <reference field="3" count="1" selected="0">
            <x v="3"/>
          </reference>
        </references>
      </pivotArea>
    </format>
    <format dxfId="126">
      <pivotArea dataOnly="0" labelOnly="1" fieldPosition="0">
        <references count="2">
          <reference field="2" count="1">
            <x v="6"/>
          </reference>
          <reference field="3" count="1" selected="0">
            <x v="3"/>
          </reference>
        </references>
      </pivotArea>
    </format>
    <format dxfId="125">
      <pivotArea collapsedLevelsAreSubtotals="1" fieldPosition="0">
        <references count="2">
          <reference field="2" count="1">
            <x v="4"/>
          </reference>
          <reference field="3" count="1" selected="0">
            <x v="8"/>
          </reference>
        </references>
      </pivotArea>
    </format>
    <format dxfId="124">
      <pivotArea dataOnly="0" labelOnly="1" fieldPosition="0">
        <references count="2">
          <reference field="2" count="1">
            <x v="4"/>
          </reference>
          <reference field="3" count="1" selected="0">
            <x v="8"/>
          </reference>
        </references>
      </pivotArea>
    </format>
    <format dxfId="123">
      <pivotArea dataOnly="0" fieldPosition="0">
        <references count="1">
          <reference field="2" count="1">
            <x v="8"/>
          </reference>
        </references>
      </pivotArea>
    </format>
    <format dxfId="122">
      <pivotArea dataOnly="0" fieldPosition="0">
        <references count="1">
          <reference field="2" count="1">
            <x v="8"/>
          </reference>
        </references>
      </pivotArea>
    </format>
    <format dxfId="121">
      <pivotArea dataOnly="0" fieldPosition="0">
        <references count="1">
          <reference field="2" count="1">
            <x v="3"/>
          </reference>
        </references>
      </pivotArea>
    </format>
    <format dxfId="120">
      <pivotArea dataOnly="0" fieldPosition="0">
        <references count="1">
          <reference field="2" count="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37">
    <pivotField numFmtId="1" showAll="0"/>
    <pivotField showAll="0"/>
    <pivotField axis="axisRow" showAll="0">
      <items count="15">
        <item x="0"/>
        <item x="5"/>
        <item x="4"/>
        <item x="2"/>
        <item x="1"/>
        <item m="1" x="13"/>
        <item x="7"/>
        <item x="3"/>
        <item x="6"/>
        <item x="8"/>
        <item x="9"/>
        <item x="10"/>
        <item x="11"/>
        <item x="12"/>
        <item t="default"/>
      </items>
    </pivotField>
    <pivotField axis="axisRow" showAll="0">
      <items count="11">
        <item x="5"/>
        <item x="6"/>
        <item x="3"/>
        <item x="0"/>
        <item x="2"/>
        <item x="4"/>
        <item x="7"/>
        <item x="1"/>
        <item x="8"/>
        <item x="9"/>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25">
    <i>
      <x/>
    </i>
    <i r="1">
      <x v="8"/>
    </i>
    <i r="1">
      <x v="11"/>
    </i>
    <i>
      <x v="1"/>
    </i>
    <i r="1">
      <x v="6"/>
    </i>
    <i>
      <x v="2"/>
    </i>
    <i r="1">
      <x v="7"/>
    </i>
    <i>
      <x v="3"/>
    </i>
    <i r="1">
      <x/>
    </i>
    <i r="1">
      <x v="13"/>
    </i>
    <i>
      <x v="4"/>
    </i>
    <i r="1">
      <x v="1"/>
    </i>
    <i r="1">
      <x v="3"/>
    </i>
    <i>
      <x v="5"/>
    </i>
    <i r="1">
      <x v="2"/>
    </i>
    <i r="1">
      <x v="8"/>
    </i>
    <i>
      <x v="6"/>
    </i>
    <i r="1">
      <x v="9"/>
    </i>
    <i>
      <x v="7"/>
    </i>
    <i r="1">
      <x v="4"/>
    </i>
    <i>
      <x v="8"/>
    </i>
    <i r="1">
      <x v="10"/>
    </i>
    <i>
      <x v="9"/>
    </i>
    <i r="1">
      <x v="12"/>
    </i>
    <i t="grand">
      <x/>
    </i>
  </rowItems>
  <colItems count="1">
    <i/>
  </colItems>
  <dataFields count="1">
    <dataField name="Sum of Entered Amount" fld="8" baseField="0" baseItem="0" numFmtId="43"/>
  </dataFields>
  <formats count="9">
    <format dxfId="119">
      <pivotArea outline="0" collapsedLevelsAreSubtotals="1" fieldPosition="0"/>
    </format>
    <format dxfId="118">
      <pivotArea collapsedLevelsAreSubtotals="1" fieldPosition="0">
        <references count="2">
          <reference field="2" count="1">
            <x v="6"/>
          </reference>
          <reference field="3" count="1" selected="0">
            <x v="1"/>
          </reference>
        </references>
      </pivotArea>
    </format>
    <format dxfId="117">
      <pivotArea dataOnly="0" labelOnly="1" fieldPosition="0">
        <references count="2">
          <reference field="2" count="1">
            <x v="6"/>
          </reference>
          <reference field="3" count="1" selected="0">
            <x v="1"/>
          </reference>
        </references>
      </pivotArea>
    </format>
    <format dxfId="116">
      <pivotArea collapsedLevelsAreSubtotals="1" fieldPosition="0">
        <references count="2">
          <reference field="2" count="1">
            <x v="4"/>
          </reference>
          <reference field="3" count="1" selected="0">
            <x v="7"/>
          </reference>
        </references>
      </pivotArea>
    </format>
    <format dxfId="115">
      <pivotArea dataOnly="0" labelOnly="1" fieldPosition="0">
        <references count="2">
          <reference field="2" count="1">
            <x v="4"/>
          </reference>
          <reference field="3" count="1" selected="0">
            <x v="7"/>
          </reference>
        </references>
      </pivotArea>
    </format>
    <format dxfId="114">
      <pivotArea dataOnly="0" fieldPosition="0">
        <references count="1">
          <reference field="2" count="1">
            <x v="7"/>
          </reference>
        </references>
      </pivotArea>
    </format>
    <format dxfId="113">
      <pivotArea dataOnly="0" fieldPosition="0">
        <references count="1">
          <reference field="2" count="1">
            <x v="7"/>
          </reference>
        </references>
      </pivotArea>
    </format>
    <format dxfId="112">
      <pivotArea dataOnly="0" fieldPosition="0">
        <references count="1">
          <reference field="2" count="1">
            <x v="3"/>
          </reference>
        </references>
      </pivotArea>
    </format>
    <format dxfId="111">
      <pivotArea dataOnly="0" fieldPosition="0">
        <references count="1">
          <reference field="2" count="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3" firstHeaderRow="1" firstDataRow="1" firstDataCol="1"/>
  <pivotFields count="37">
    <pivotField numFmtId="1" showAll="0"/>
    <pivotField showAll="0"/>
    <pivotField axis="axisRow" showAll="0">
      <items count="19">
        <item x="0"/>
        <item x="6"/>
        <item x="5"/>
        <item x="3"/>
        <item x="2"/>
        <item m="1" x="17"/>
        <item x="8"/>
        <item x="4"/>
        <item x="7"/>
        <item x="9"/>
        <item m="1" x="16"/>
        <item x="15"/>
        <item x="1"/>
        <item x="10"/>
        <item x="11"/>
        <item x="12"/>
        <item x="13"/>
        <item x="14"/>
        <item t="default"/>
      </items>
    </pivotField>
    <pivotField axis="axisRow" showAll="0">
      <items count="12">
        <item x="5"/>
        <item x="6"/>
        <item x="3"/>
        <item x="0"/>
        <item x="2"/>
        <item x="4"/>
        <item x="7"/>
        <item x="1"/>
        <item x="8"/>
        <item x="9"/>
        <item x="10"/>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0">
    <i>
      <x/>
    </i>
    <i r="1">
      <x v="8"/>
    </i>
    <i r="1">
      <x v="11"/>
    </i>
    <i r="1">
      <x v="14"/>
    </i>
    <i>
      <x v="1"/>
    </i>
    <i r="1">
      <x v="6"/>
    </i>
    <i>
      <x v="2"/>
    </i>
    <i r="1">
      <x v="7"/>
    </i>
    <i r="1">
      <x v="17"/>
    </i>
    <i>
      <x v="3"/>
    </i>
    <i r="1">
      <x/>
    </i>
    <i>
      <x v="4"/>
    </i>
    <i r="1">
      <x v="1"/>
    </i>
    <i r="1">
      <x v="3"/>
    </i>
    <i>
      <x v="5"/>
    </i>
    <i r="1">
      <x v="2"/>
    </i>
    <i r="1">
      <x v="8"/>
    </i>
    <i>
      <x v="6"/>
    </i>
    <i r="1">
      <x v="9"/>
    </i>
    <i>
      <x v="7"/>
    </i>
    <i r="1">
      <x v="4"/>
    </i>
    <i r="1">
      <x v="12"/>
    </i>
    <i>
      <x v="8"/>
    </i>
    <i r="1">
      <x v="13"/>
    </i>
    <i r="1">
      <x v="16"/>
    </i>
    <i>
      <x v="9"/>
    </i>
    <i r="1">
      <x v="15"/>
    </i>
    <i>
      <x v="10"/>
    </i>
    <i r="1">
      <x v="11"/>
    </i>
    <i t="grand">
      <x/>
    </i>
  </rowItems>
  <colItems count="1">
    <i/>
  </colItems>
  <dataFields count="1">
    <dataField name="Sum of Entered Amount" fld="8" baseField="0" baseItem="0" numFmtId="43"/>
  </dataFields>
  <formats count="18">
    <format dxfId="110">
      <pivotArea outline="0" collapsedLevelsAreSubtotals="1" fieldPosition="0"/>
    </format>
    <format dxfId="109">
      <pivotArea collapsedLevelsAreSubtotals="1" fieldPosition="0">
        <references count="2">
          <reference field="2" count="1">
            <x v="6"/>
          </reference>
          <reference field="3" count="1" selected="0">
            <x v="1"/>
          </reference>
        </references>
      </pivotArea>
    </format>
    <format dxfId="108">
      <pivotArea dataOnly="0" labelOnly="1" fieldPosition="0">
        <references count="2">
          <reference field="2" count="1">
            <x v="6"/>
          </reference>
          <reference field="3" count="1" selected="0">
            <x v="1"/>
          </reference>
        </references>
      </pivotArea>
    </format>
    <format dxfId="107">
      <pivotArea collapsedLevelsAreSubtotals="1" fieldPosition="0">
        <references count="2">
          <reference field="2" count="1">
            <x v="4"/>
          </reference>
          <reference field="3" count="1" selected="0">
            <x v="7"/>
          </reference>
        </references>
      </pivotArea>
    </format>
    <format dxfId="106">
      <pivotArea dataOnly="0" labelOnly="1" fieldPosition="0">
        <references count="2">
          <reference field="2" count="1">
            <x v="4"/>
          </reference>
          <reference field="3" count="1" selected="0">
            <x v="7"/>
          </reference>
        </references>
      </pivotArea>
    </format>
    <format dxfId="105">
      <pivotArea dataOnly="0" fieldPosition="0">
        <references count="1">
          <reference field="2" count="1">
            <x v="7"/>
          </reference>
        </references>
      </pivotArea>
    </format>
    <format dxfId="104">
      <pivotArea dataOnly="0" fieldPosition="0">
        <references count="1">
          <reference field="2" count="1">
            <x v="7"/>
          </reference>
        </references>
      </pivotArea>
    </format>
    <format dxfId="103">
      <pivotArea dataOnly="0" fieldPosition="0">
        <references count="1">
          <reference field="2" count="1">
            <x v="3"/>
          </reference>
        </references>
      </pivotArea>
    </format>
    <format dxfId="102">
      <pivotArea dataOnly="0" fieldPosition="0">
        <references count="1">
          <reference field="2" count="1">
            <x v="2"/>
          </reference>
        </references>
      </pivotArea>
    </format>
    <format dxfId="101">
      <pivotArea dataOnly="0" fieldPosition="0">
        <references count="1">
          <reference field="2" count="1">
            <x v="14"/>
          </reference>
        </references>
      </pivotArea>
    </format>
    <format dxfId="100">
      <pivotArea dataOnly="0" fieldPosition="0">
        <references count="1">
          <reference field="2" count="1">
            <x v="12"/>
          </reference>
        </references>
      </pivotArea>
    </format>
    <format dxfId="99">
      <pivotArea collapsedLevelsAreSubtotals="1" fieldPosition="0">
        <references count="2">
          <reference field="2" count="1">
            <x v="16"/>
          </reference>
          <reference field="3" count="1" selected="0">
            <x v="8"/>
          </reference>
        </references>
      </pivotArea>
    </format>
    <format dxfId="98">
      <pivotArea dataOnly="0" labelOnly="1" fieldPosition="0">
        <references count="2">
          <reference field="2" count="1">
            <x v="16"/>
          </reference>
          <reference field="3" count="1" selected="0">
            <x v="8"/>
          </reference>
        </references>
      </pivotArea>
    </format>
    <format dxfId="97">
      <pivotArea collapsedLevelsAreSubtotals="1" fieldPosition="0">
        <references count="2">
          <reference field="2" count="1">
            <x v="11"/>
          </reference>
          <reference field="3" count="1" selected="0">
            <x v="10"/>
          </reference>
        </references>
      </pivotArea>
    </format>
    <format dxfId="96">
      <pivotArea dataOnly="0" labelOnly="1" fieldPosition="0">
        <references count="2">
          <reference field="2" count="1">
            <x v="11"/>
          </reference>
          <reference field="3" count="1" selected="0">
            <x v="10"/>
          </reference>
        </references>
      </pivotArea>
    </format>
    <format dxfId="95">
      <pivotArea dataOnly="0" fieldPosition="0">
        <references count="1">
          <reference field="2" count="1">
            <x v="11"/>
          </reference>
        </references>
      </pivotArea>
    </format>
    <format dxfId="94">
      <pivotArea dataOnly="0" fieldPosition="0">
        <references count="1">
          <reference field="2" count="1">
            <x v="17"/>
          </reference>
        </references>
      </pivotArea>
    </format>
    <format dxfId="93">
      <pivotArea dataOnly="0" fieldPosition="0">
        <references count="1">
          <reference field="2" count="1">
            <x v="9"/>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3" firstHeaderRow="1" firstDataRow="1" firstDataCol="1"/>
  <pivotFields count="37">
    <pivotField numFmtId="1" showAll="0"/>
    <pivotField showAll="0"/>
    <pivotField axis="axisRow" showAll="0">
      <items count="22">
        <item m="1" x="14"/>
        <item x="4"/>
        <item x="3"/>
        <item x="1"/>
        <item m="1" x="20"/>
        <item x="5"/>
        <item m="1" x="15"/>
        <item m="1" x="16"/>
        <item m="1" x="17"/>
        <item m="1" x="19"/>
        <item m="1" x="18"/>
        <item x="9"/>
        <item x="0"/>
        <item x="2"/>
        <item x="6"/>
        <item x="7"/>
        <item x="8"/>
        <item x="10"/>
        <item x="11"/>
        <item x="12"/>
        <item x="13"/>
        <item t="default"/>
      </items>
    </pivotField>
    <pivotField axis="axisRow" showAll="0">
      <items count="14">
        <item x="8"/>
        <item x="4"/>
        <item x="2"/>
        <item x="0"/>
        <item x="1"/>
        <item x="3"/>
        <item x="5"/>
        <item x="6"/>
        <item x="7"/>
        <item x="9"/>
        <item x="10"/>
        <item x="11"/>
        <item x="12"/>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0">
    <i>
      <x/>
    </i>
    <i r="1">
      <x v="17"/>
    </i>
    <i>
      <x v="1"/>
    </i>
    <i r="1">
      <x v="5"/>
    </i>
    <i>
      <x v="2"/>
    </i>
    <i r="1">
      <x v="13"/>
    </i>
    <i>
      <x v="3"/>
    </i>
    <i r="1">
      <x v="12"/>
    </i>
    <i>
      <x v="4"/>
    </i>
    <i r="1">
      <x v="1"/>
    </i>
    <i r="1">
      <x v="3"/>
    </i>
    <i>
      <x v="5"/>
    </i>
    <i r="1">
      <x v="2"/>
    </i>
    <i r="1">
      <x v="14"/>
    </i>
    <i>
      <x v="6"/>
    </i>
    <i r="1">
      <x v="15"/>
    </i>
    <i>
      <x v="7"/>
    </i>
    <i r="1">
      <x v="16"/>
    </i>
    <i>
      <x v="8"/>
    </i>
    <i r="1">
      <x v="11"/>
    </i>
    <i r="1">
      <x v="20"/>
    </i>
    <i>
      <x v="9"/>
    </i>
    <i r="1">
      <x v="18"/>
    </i>
    <i>
      <x v="10"/>
    </i>
    <i r="1">
      <x v="14"/>
    </i>
    <i>
      <x v="11"/>
    </i>
    <i r="1">
      <x v="19"/>
    </i>
    <i>
      <x v="12"/>
    </i>
    <i r="1">
      <x v="18"/>
    </i>
    <i t="grand">
      <x/>
    </i>
  </rowItems>
  <colItems count="1">
    <i/>
  </colItems>
  <dataFields count="1">
    <dataField name="Sum of Entered Amount" fld="8" baseField="0" baseItem="0" numFmtId="43"/>
  </dataFields>
  <formats count="33">
    <format dxfId="92">
      <pivotArea outline="0" collapsedLevelsAreSubtotals="1" fieldPosition="0"/>
    </format>
    <format dxfId="91">
      <pivotArea collapsedLevelsAreSubtotals="1" fieldPosition="0">
        <references count="2">
          <reference field="2" count="1">
            <x v="5"/>
          </reference>
          <reference field="3" count="1" selected="0">
            <x v="1"/>
          </reference>
        </references>
      </pivotArea>
    </format>
    <format dxfId="90">
      <pivotArea dataOnly="0" labelOnly="1" fieldPosition="0">
        <references count="2">
          <reference field="2" count="1">
            <x v="5"/>
          </reference>
          <reference field="3" count="1" selected="0">
            <x v="1"/>
          </reference>
        </references>
      </pivotArea>
    </format>
    <format dxfId="89">
      <pivotArea dataOnly="0" fieldPosition="0">
        <references count="1">
          <reference field="2" count="1">
            <x v="6"/>
          </reference>
        </references>
      </pivotArea>
    </format>
    <format dxfId="88">
      <pivotArea dataOnly="0" fieldPosition="0">
        <references count="1">
          <reference field="2" count="1">
            <x v="6"/>
          </reference>
        </references>
      </pivotArea>
    </format>
    <format dxfId="87">
      <pivotArea dataOnly="0" fieldPosition="0">
        <references count="1">
          <reference field="2" count="1">
            <x v="3"/>
          </reference>
        </references>
      </pivotArea>
    </format>
    <format dxfId="86">
      <pivotArea dataOnly="0" fieldPosition="0">
        <references count="1">
          <reference field="2" count="1">
            <x v="2"/>
          </reference>
        </references>
      </pivotArea>
    </format>
    <format dxfId="85">
      <pivotArea collapsedLevelsAreSubtotals="1" fieldPosition="0">
        <references count="2">
          <reference field="2" count="1">
            <x v="9"/>
          </reference>
          <reference field="3" count="1" selected="0">
            <x v="9"/>
          </reference>
        </references>
      </pivotArea>
    </format>
    <format dxfId="84">
      <pivotArea dataOnly="0" labelOnly="1" fieldPosition="0">
        <references count="2">
          <reference field="2" count="1">
            <x v="9"/>
          </reference>
          <reference field="3" count="1" selected="0">
            <x v="9"/>
          </reference>
        </references>
      </pivotArea>
    </format>
    <format dxfId="83">
      <pivotArea dataOnly="0" fieldPosition="0">
        <references count="1">
          <reference field="2" count="1">
            <x v="9"/>
          </reference>
        </references>
      </pivotArea>
    </format>
    <format dxfId="82">
      <pivotArea dataOnly="0" fieldPosition="0">
        <references count="1">
          <reference field="2" count="1">
            <x v="8"/>
          </reference>
        </references>
      </pivotArea>
    </format>
    <format dxfId="81">
      <pivotArea collapsedLevelsAreSubtotals="1" fieldPosition="0">
        <references count="2">
          <reference field="2" count="1">
            <x v="9"/>
          </reference>
          <reference field="3" count="1" selected="0">
            <x v="0"/>
          </reference>
        </references>
      </pivotArea>
    </format>
    <format dxfId="80">
      <pivotArea dataOnly="0" labelOnly="1" fieldPosition="0">
        <references count="2">
          <reference field="2" count="1">
            <x v="9"/>
          </reference>
          <reference field="3" count="1" selected="0">
            <x v="0"/>
          </reference>
        </references>
      </pivotArea>
    </format>
    <format dxfId="79">
      <pivotArea collapsedLevelsAreSubtotals="1" fieldPosition="0">
        <references count="2">
          <reference field="2" count="1">
            <x v="0"/>
          </reference>
          <reference field="3" count="1" selected="0">
            <x v="3"/>
          </reference>
        </references>
      </pivotArea>
    </format>
    <format dxfId="78">
      <pivotArea dataOnly="0" labelOnly="1" fieldPosition="0">
        <references count="2">
          <reference field="2" count="1">
            <x v="0"/>
          </reference>
          <reference field="3" count="1" selected="0">
            <x v="3"/>
          </reference>
        </references>
      </pivotArea>
    </format>
    <format dxfId="77">
      <pivotArea collapsedLevelsAreSubtotals="1" fieldPosition="0">
        <references count="2">
          <reference field="2" count="1">
            <x v="10"/>
          </reference>
          <reference field="3" count="1" selected="0">
            <x v="7"/>
          </reference>
        </references>
      </pivotArea>
    </format>
    <format dxfId="76">
      <pivotArea dataOnly="0" labelOnly="1" fieldPosition="0">
        <references count="2">
          <reference field="2" count="1">
            <x v="10"/>
          </reference>
          <reference field="3" count="1" selected="0">
            <x v="7"/>
          </reference>
        </references>
      </pivotArea>
    </format>
    <format dxfId="75">
      <pivotArea collapsedLevelsAreSubtotals="1" fieldPosition="0">
        <references count="2">
          <reference field="2" count="1">
            <x v="7"/>
          </reference>
          <reference field="3" count="1" selected="0">
            <x v="5"/>
          </reference>
        </references>
      </pivotArea>
    </format>
    <format dxfId="74">
      <pivotArea dataOnly="0" labelOnly="1" fieldPosition="0">
        <references count="2">
          <reference field="2" count="1">
            <x v="7"/>
          </reference>
          <reference field="3" count="1" selected="0">
            <x v="5"/>
          </reference>
        </references>
      </pivotArea>
    </format>
    <format dxfId="73">
      <pivotArea collapsedLevelsAreSubtotals="1" fieldPosition="0">
        <references count="2">
          <reference field="2" count="1">
            <x v="17"/>
          </reference>
          <reference field="3" count="1" selected="0">
            <x v="0"/>
          </reference>
        </references>
      </pivotArea>
    </format>
    <format dxfId="72">
      <pivotArea dataOnly="0" labelOnly="1" fieldPosition="0">
        <references count="2">
          <reference field="2" count="1">
            <x v="17"/>
          </reference>
          <reference field="3" count="1" selected="0">
            <x v="0"/>
          </reference>
        </references>
      </pivotArea>
    </format>
    <format dxfId="71">
      <pivotArea collapsedLevelsAreSubtotals="1" fieldPosition="0">
        <references count="2">
          <reference field="2" count="1">
            <x v="15"/>
          </reference>
          <reference field="3" count="1" selected="0">
            <x v="6"/>
          </reference>
        </references>
      </pivotArea>
    </format>
    <format dxfId="70">
      <pivotArea dataOnly="0" labelOnly="1" fieldPosition="0">
        <references count="2">
          <reference field="2" count="1">
            <x v="15"/>
          </reference>
          <reference field="3" count="1" selected="0">
            <x v="6"/>
          </reference>
        </references>
      </pivotArea>
    </format>
    <format dxfId="69">
      <pivotArea collapsedLevelsAreSubtotals="1" fieldPosition="0">
        <references count="2">
          <reference field="2" count="1">
            <x v="14"/>
          </reference>
          <reference field="3" count="1" selected="0">
            <x v="5"/>
          </reference>
        </references>
      </pivotArea>
    </format>
    <format dxfId="68">
      <pivotArea dataOnly="0" labelOnly="1" fieldPosition="0">
        <references count="2">
          <reference field="2" count="1">
            <x v="14"/>
          </reference>
          <reference field="3" count="1" selected="0">
            <x v="5"/>
          </reference>
        </references>
      </pivotArea>
    </format>
    <format dxfId="67">
      <pivotArea collapsedLevelsAreSubtotals="1" fieldPosition="0">
        <references count="2">
          <reference field="2" count="1">
            <x v="16"/>
          </reference>
          <reference field="3" count="1" selected="0">
            <x v="7"/>
          </reference>
        </references>
      </pivotArea>
    </format>
    <format dxfId="66">
      <pivotArea dataOnly="0" labelOnly="1" fieldPosition="0">
        <references count="2">
          <reference field="2" count="1">
            <x v="16"/>
          </reference>
          <reference field="3" count="1" selected="0">
            <x v="7"/>
          </reference>
        </references>
      </pivotArea>
    </format>
    <format dxfId="65">
      <pivotArea dataOnly="0" fieldPosition="0">
        <references count="1">
          <reference field="2" count="1">
            <x v="18"/>
          </reference>
        </references>
      </pivotArea>
    </format>
    <format dxfId="64">
      <pivotArea dataOnly="0" fieldPosition="0">
        <references count="1">
          <reference field="2" count="1">
            <x v="14"/>
          </reference>
        </references>
      </pivotArea>
    </format>
    <format dxfId="63">
      <pivotArea collapsedLevelsAreSubtotals="1" fieldPosition="0">
        <references count="2">
          <reference field="2" count="1">
            <x v="12"/>
          </reference>
          <reference field="3" count="1" selected="0">
            <x v="3"/>
          </reference>
        </references>
      </pivotArea>
    </format>
    <format dxfId="62">
      <pivotArea dataOnly="0" labelOnly="1" fieldPosition="0">
        <references count="2">
          <reference field="2" count="1">
            <x v="12"/>
          </reference>
          <reference field="3" count="1" selected="0">
            <x v="3"/>
          </reference>
        </references>
      </pivotArea>
    </format>
    <format dxfId="61">
      <pivotArea collapsedLevelsAreSubtotals="1" fieldPosition="0">
        <references count="2">
          <reference field="2" count="1">
            <x v="13"/>
          </reference>
          <reference field="3" count="1" selected="0">
            <x v="2"/>
          </reference>
        </references>
      </pivotArea>
    </format>
    <format dxfId="60">
      <pivotArea dataOnly="0" labelOnly="1" fieldPosition="0">
        <references count="2">
          <reference field="2" count="1">
            <x v="13"/>
          </reference>
          <reference field="3" count="1" selected="0">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37">
    <pivotField numFmtId="1" showAll="0"/>
    <pivotField showAll="0"/>
    <pivotField axis="axisRow" showAll="0">
      <items count="16">
        <item x="13"/>
        <item x="4"/>
        <item x="2"/>
        <item x="9"/>
        <item x="3"/>
        <item x="7"/>
        <item x="8"/>
        <item x="0"/>
        <item x="6"/>
        <item x="5"/>
        <item x="10"/>
        <item x="1"/>
        <item x="14"/>
        <item x="11"/>
        <item x="12"/>
        <item t="default"/>
      </items>
    </pivotField>
    <pivotField axis="axisRow" showAll="0">
      <items count="13">
        <item x="9"/>
        <item x="4"/>
        <item x="2"/>
        <item x="11"/>
        <item x="0"/>
        <item x="1"/>
        <item x="6"/>
        <item x="3"/>
        <item x="5"/>
        <item x="10"/>
        <item x="8"/>
        <item x="7"/>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29">
    <i>
      <x/>
    </i>
    <i r="1">
      <x v="10"/>
    </i>
    <i>
      <x v="1"/>
    </i>
    <i r="1">
      <x v="9"/>
    </i>
    <i>
      <x v="2"/>
    </i>
    <i r="1">
      <x/>
    </i>
    <i r="1">
      <x v="2"/>
    </i>
    <i>
      <x v="3"/>
    </i>
    <i r="1">
      <x v="12"/>
    </i>
    <i>
      <x v="4"/>
    </i>
    <i r="1">
      <x v="7"/>
    </i>
    <i r="1">
      <x v="14"/>
    </i>
    <i>
      <x v="5"/>
    </i>
    <i r="1">
      <x v="1"/>
    </i>
    <i r="1">
      <x v="11"/>
    </i>
    <i>
      <x v="6"/>
    </i>
    <i r="1">
      <x v="5"/>
    </i>
    <i>
      <x v="7"/>
    </i>
    <i r="1">
      <x v="4"/>
    </i>
    <i>
      <x v="8"/>
    </i>
    <i r="1">
      <x v="8"/>
    </i>
    <i>
      <x v="9"/>
    </i>
    <i r="1">
      <x v="3"/>
    </i>
    <i>
      <x v="10"/>
    </i>
    <i r="1">
      <x v="3"/>
    </i>
    <i>
      <x v="11"/>
    </i>
    <i r="1">
      <x v="6"/>
    </i>
    <i r="1">
      <x v="13"/>
    </i>
    <i t="grand">
      <x/>
    </i>
  </rowItems>
  <colItems count="1">
    <i/>
  </colItems>
  <dataFields count="1">
    <dataField name="Sum of Entered Amount" fld="8" baseField="0" baseItem="0"/>
  </dataFields>
  <formats count="7">
    <format dxfId="59">
      <pivotArea dataOnly="0" fieldPosition="0">
        <references count="1">
          <reference field="2" count="1">
            <x v="12"/>
          </reference>
        </references>
      </pivotArea>
    </format>
    <format dxfId="58">
      <pivotArea dataOnly="0" fieldPosition="0">
        <references count="1">
          <reference field="2" count="1">
            <x v="0"/>
          </reference>
        </references>
      </pivotArea>
    </format>
    <format dxfId="57">
      <pivotArea dataOnly="0" fieldPosition="0">
        <references count="1">
          <reference field="2" count="1">
            <x v="10"/>
          </reference>
        </references>
      </pivotArea>
    </format>
    <format dxfId="56">
      <pivotArea dataOnly="0" fieldPosition="0">
        <references count="1">
          <reference field="2" count="1">
            <x v="7"/>
          </reference>
        </references>
      </pivotArea>
    </format>
    <format dxfId="55">
      <pivotArea dataOnly="0" fieldPosition="0">
        <references count="1">
          <reference field="2" count="1">
            <x v="5"/>
          </reference>
        </references>
      </pivotArea>
    </format>
    <format dxfId="54">
      <pivotArea dataOnly="0" fieldPosition="0">
        <references count="1">
          <reference field="2" count="1">
            <x v="5"/>
          </reference>
        </references>
      </pivotArea>
    </format>
    <format dxfId="53">
      <pivotArea dataOnly="0" fieldPosition="0">
        <references count="1">
          <reference field="2" count="1">
            <x v="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37">
    <pivotField numFmtId="1" showAll="0"/>
    <pivotField showAll="0"/>
    <pivotField axis="axisRow" showAll="0">
      <items count="17">
        <item x="11"/>
        <item x="14"/>
        <item x="15"/>
        <item x="3"/>
        <item x="1"/>
        <item x="7"/>
        <item x="2"/>
        <item x="5"/>
        <item x="6"/>
        <item x="12"/>
        <item x="13"/>
        <item x="4"/>
        <item x="8"/>
        <item x="0"/>
        <item x="9"/>
        <item x="10"/>
        <item t="default"/>
      </items>
    </pivotField>
    <pivotField axis="axisRow" showAll="0">
      <items count="13">
        <item x="7"/>
        <item x="10"/>
        <item x="3"/>
        <item x="1"/>
        <item x="11"/>
        <item x="9"/>
        <item x="0"/>
        <item x="4"/>
        <item x="2"/>
        <item x="8"/>
        <item x="6"/>
        <item x="5"/>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1">
    <i>
      <x/>
    </i>
    <i r="1">
      <x v="12"/>
    </i>
    <i>
      <x v="1"/>
    </i>
    <i r="1">
      <x v="5"/>
    </i>
    <i>
      <x v="2"/>
    </i>
    <i r="1">
      <x v="11"/>
    </i>
    <i>
      <x v="3"/>
    </i>
    <i r="1">
      <x/>
    </i>
    <i r="1">
      <x v="4"/>
    </i>
    <i>
      <x v="4"/>
    </i>
    <i r="1">
      <x v="1"/>
    </i>
    <i>
      <x v="5"/>
    </i>
    <i r="1">
      <x v="2"/>
    </i>
    <i r="1">
      <x v="10"/>
    </i>
    <i r="1">
      <x v="15"/>
    </i>
    <i>
      <x v="6"/>
    </i>
    <i r="1">
      <x v="3"/>
    </i>
    <i r="1">
      <x v="9"/>
    </i>
    <i r="1">
      <x v="13"/>
    </i>
    <i>
      <x v="7"/>
    </i>
    <i r="1">
      <x v="7"/>
    </i>
    <i>
      <x v="8"/>
    </i>
    <i r="1">
      <x v="6"/>
    </i>
    <i>
      <x v="9"/>
    </i>
    <i r="1">
      <x v="5"/>
    </i>
    <i>
      <x v="10"/>
    </i>
    <i r="1">
      <x v="5"/>
    </i>
    <i>
      <x v="11"/>
    </i>
    <i r="1">
      <x v="8"/>
    </i>
    <i r="1">
      <x v="14"/>
    </i>
    <i t="grand">
      <x/>
    </i>
  </rowItems>
  <colItems count="1">
    <i/>
  </colItems>
  <dataFields count="1">
    <dataField name="Sum of Entered Amount" fld="8" baseField="0" baseItem="0" numFmtId="43"/>
  </dataFields>
  <formats count="9">
    <format dxfId="52">
      <pivotArea outline="0" collapsedLevelsAreSubtotals="1" fieldPosition="0"/>
    </format>
    <format dxfId="51">
      <pivotArea dataOnly="0" fieldPosition="0">
        <references count="1">
          <reference field="2" count="1">
            <x v="12"/>
          </reference>
        </references>
      </pivotArea>
    </format>
    <format dxfId="50">
      <pivotArea dataOnly="0" fieldPosition="0">
        <references count="1">
          <reference field="2" count="1">
            <x v="5"/>
          </reference>
        </references>
      </pivotArea>
    </format>
    <format dxfId="49">
      <pivotArea dataOnly="0" fieldPosition="0">
        <references count="1">
          <reference field="2" count="1">
            <x v="10"/>
          </reference>
        </references>
      </pivotArea>
    </format>
    <format dxfId="48">
      <pivotArea dataOnly="0" fieldPosition="0">
        <references count="1">
          <reference field="2" count="1">
            <x v="14"/>
          </reference>
        </references>
      </pivotArea>
    </format>
    <format dxfId="47">
      <pivotArea dataOnly="0" fieldPosition="0">
        <references count="1">
          <reference field="2" count="1">
            <x v="0"/>
          </reference>
        </references>
      </pivotArea>
    </format>
    <format dxfId="46">
      <pivotArea dataOnly="0" fieldPosition="0">
        <references count="1">
          <reference field="2" count="1">
            <x v="11"/>
          </reference>
        </references>
      </pivotArea>
    </format>
    <format dxfId="45">
      <pivotArea dataOnly="0" labelOnly="1" fieldPosition="0">
        <references count="2">
          <reference field="2" count="1">
            <x v="6"/>
          </reference>
          <reference field="3" count="1" selected="0">
            <x v="8"/>
          </reference>
        </references>
      </pivotArea>
    </format>
    <format dxfId="44">
      <pivotArea collapsedLevelsAreSubtotals="1" fieldPosition="0">
        <references count="2">
          <reference field="2" count="1">
            <x v="6"/>
          </reference>
          <reference field="3" count="1" selected="0">
            <x v="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A000000}"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4" firstHeaderRow="1" firstDataRow="1" firstDataCol="1"/>
  <pivotFields count="37">
    <pivotField numFmtId="1" showAll="0"/>
    <pivotField showAll="0"/>
    <pivotField axis="axisRow" showAll="0">
      <items count="17">
        <item x="8"/>
        <item x="3"/>
        <item x="1"/>
        <item x="2"/>
        <item x="5"/>
        <item x="4"/>
        <item x="6"/>
        <item x="0"/>
        <item x="7"/>
        <item x="9"/>
        <item x="10"/>
        <item x="11"/>
        <item x="12"/>
        <item x="13"/>
        <item x="14"/>
        <item x="15"/>
        <item t="default"/>
      </items>
    </pivotField>
    <pivotField axis="axisRow" showAll="0">
      <items count="13">
        <item x="5"/>
        <item x="10"/>
        <item x="3"/>
        <item x="1"/>
        <item x="7"/>
        <item x="6"/>
        <item x="0"/>
        <item x="2"/>
        <item x="4"/>
        <item x="8"/>
        <item x="9"/>
        <item x="11"/>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0">
    <i>
      <x/>
    </i>
    <i r="1">
      <x v="6"/>
    </i>
    <i>
      <x v="1"/>
    </i>
    <i r="1">
      <x v="14"/>
    </i>
    <i>
      <x v="2"/>
    </i>
    <i r="1">
      <x v="5"/>
    </i>
    <i>
      <x v="3"/>
    </i>
    <i r="1">
      <x/>
    </i>
    <i r="1">
      <x v="2"/>
    </i>
    <i>
      <x v="4"/>
    </i>
    <i r="1">
      <x v="9"/>
    </i>
    <i>
      <x v="5"/>
    </i>
    <i r="1">
      <x v="8"/>
    </i>
    <i r="1">
      <x v="12"/>
    </i>
    <i>
      <x v="6"/>
    </i>
    <i r="1">
      <x v="1"/>
    </i>
    <i r="1">
      <x v="7"/>
    </i>
    <i>
      <x v="7"/>
    </i>
    <i r="1">
      <x v="3"/>
    </i>
    <i>
      <x v="8"/>
    </i>
    <i r="1">
      <x v="4"/>
    </i>
    <i r="1">
      <x v="10"/>
    </i>
    <i>
      <x v="9"/>
    </i>
    <i r="1">
      <x v="4"/>
    </i>
    <i r="1">
      <x v="11"/>
    </i>
    <i>
      <x v="10"/>
    </i>
    <i r="1">
      <x v="13"/>
    </i>
    <i>
      <x v="11"/>
    </i>
    <i r="1">
      <x v="15"/>
    </i>
    <i t="grand">
      <x/>
    </i>
  </rowItems>
  <colItems count="1">
    <i/>
  </colItems>
  <dataFields count="1">
    <dataField name="Sum of Entered Amount" fld="8" baseField="0" baseItem="0" numFmtId="43"/>
  </dataFields>
  <formats count="6">
    <format dxfId="43">
      <pivotArea outline="0" collapsedLevelsAreSubtotals="1" fieldPosition="0"/>
    </format>
    <format dxfId="42">
      <pivotArea dataOnly="0" fieldPosition="0">
        <references count="1">
          <reference field="2" count="1">
            <x v="6"/>
          </reference>
        </references>
      </pivotArea>
    </format>
    <format dxfId="41">
      <pivotArea dataOnly="0" fieldPosition="0">
        <references count="1">
          <reference field="2" count="1">
            <x v="0"/>
          </reference>
        </references>
      </pivotArea>
    </format>
    <format dxfId="40">
      <pivotArea dataOnly="0" fieldPosition="0">
        <references count="1">
          <reference field="2" count="1">
            <x v="5"/>
          </reference>
        </references>
      </pivotArea>
    </format>
    <format dxfId="39">
      <pivotArea dataOnly="0" labelOnly="1" fieldPosition="0">
        <references count="2">
          <reference field="2" count="1">
            <x v="3"/>
          </reference>
          <reference field="3" count="1" selected="0">
            <x v="7"/>
          </reference>
        </references>
      </pivotArea>
    </format>
    <format dxfId="38">
      <pivotArea collapsedLevelsAreSubtotals="1" fieldPosition="0">
        <references count="2">
          <reference field="2" count="1">
            <x v="3"/>
          </reference>
          <reference field="3" count="1" selected="0">
            <x v="7"/>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B000000}"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43" firstHeaderRow="1" firstDataRow="1" firstDataCol="1"/>
  <pivotFields count="37">
    <pivotField numFmtId="1" showAll="0"/>
    <pivotField showAll="0"/>
    <pivotField axis="axisRow" showAll="0">
      <items count="21">
        <item x="8"/>
        <item x="3"/>
        <item x="1"/>
        <item x="2"/>
        <item x="5"/>
        <item x="4"/>
        <item x="6"/>
        <item x="0"/>
        <item x="7"/>
        <item x="9"/>
        <item x="10"/>
        <item x="11"/>
        <item x="12"/>
        <item x="13"/>
        <item x="14"/>
        <item x="15"/>
        <item x="16"/>
        <item x="17"/>
        <item x="18"/>
        <item x="19"/>
        <item t="default"/>
      </items>
    </pivotField>
    <pivotField axis="axisRow" showAll="0">
      <items count="17">
        <item x="5"/>
        <item x="10"/>
        <item x="3"/>
        <item x="1"/>
        <item x="7"/>
        <item x="6"/>
        <item x="0"/>
        <item x="2"/>
        <item x="4"/>
        <item x="8"/>
        <item x="9"/>
        <item x="11"/>
        <item x="12"/>
        <item x="13"/>
        <item x="14"/>
        <item x="15"/>
        <item t="default"/>
      </items>
    </pivotField>
    <pivotField showAll="0"/>
    <pivotField showAll="0"/>
    <pivotField showAll="0"/>
    <pivotField showAll="0"/>
    <pivotField dataField="1"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9">
    <i>
      <x/>
    </i>
    <i r="1">
      <x v="6"/>
    </i>
    <i>
      <x v="1"/>
    </i>
    <i r="1">
      <x v="13"/>
    </i>
    <i>
      <x v="2"/>
    </i>
    <i r="1">
      <x v="5"/>
    </i>
    <i>
      <x v="3"/>
    </i>
    <i r="1">
      <x/>
    </i>
    <i r="1">
      <x v="2"/>
    </i>
    <i>
      <x v="4"/>
    </i>
    <i r="1">
      <x v="9"/>
    </i>
    <i>
      <x v="5"/>
    </i>
    <i r="1">
      <x v="8"/>
    </i>
    <i>
      <x v="6"/>
    </i>
    <i r="1">
      <x v="1"/>
    </i>
    <i r="1">
      <x v="7"/>
    </i>
    <i r="1">
      <x v="19"/>
    </i>
    <i>
      <x v="7"/>
    </i>
    <i r="1">
      <x v="3"/>
    </i>
    <i r="1">
      <x v="15"/>
    </i>
    <i>
      <x v="8"/>
    </i>
    <i r="1">
      <x v="4"/>
    </i>
    <i r="1">
      <x v="10"/>
    </i>
    <i>
      <x v="9"/>
    </i>
    <i r="1">
      <x v="4"/>
    </i>
    <i r="1">
      <x v="11"/>
    </i>
    <i>
      <x v="10"/>
    </i>
    <i r="1">
      <x v="12"/>
    </i>
    <i>
      <x v="11"/>
    </i>
    <i r="1">
      <x v="14"/>
    </i>
    <i>
      <x v="12"/>
    </i>
    <i r="1">
      <x v="16"/>
    </i>
    <i>
      <x v="13"/>
    </i>
    <i r="1">
      <x v="17"/>
    </i>
    <i>
      <x v="14"/>
    </i>
    <i r="1">
      <x v="12"/>
    </i>
    <i>
      <x v="15"/>
    </i>
    <i r="1">
      <x v="18"/>
    </i>
    <i t="grand">
      <x/>
    </i>
  </rowItems>
  <colItems count="1">
    <i/>
  </colItems>
  <dataFields count="1">
    <dataField name="Sum of Entered Amount" fld="8" baseField="0" baseItem="0" numFmtId="43"/>
  </dataFields>
  <formats count="6">
    <format dxfId="37">
      <pivotArea outline="0" collapsedLevelsAreSubtotals="1" fieldPosition="0"/>
    </format>
    <format dxfId="36">
      <pivotArea dataOnly="0" fieldPosition="0">
        <references count="1">
          <reference field="2" count="1">
            <x v="6"/>
          </reference>
        </references>
      </pivotArea>
    </format>
    <format dxfId="35">
      <pivotArea dataOnly="0" fieldPosition="0">
        <references count="1">
          <reference field="2" count="1">
            <x v="0"/>
          </reference>
        </references>
      </pivotArea>
    </format>
    <format dxfId="34">
      <pivotArea dataOnly="0" fieldPosition="0">
        <references count="1">
          <reference field="2" count="1">
            <x v="5"/>
          </reference>
        </references>
      </pivotArea>
    </format>
    <format dxfId="33">
      <pivotArea dataOnly="0" labelOnly="1" fieldPosition="0">
        <references count="2">
          <reference field="2" count="1">
            <x v="3"/>
          </reference>
          <reference field="3" count="1" selected="0">
            <x v="7"/>
          </reference>
        </references>
      </pivotArea>
    </format>
    <format dxfId="32">
      <pivotArea collapsedLevelsAreSubtotals="1" fieldPosition="0">
        <references count="2">
          <reference field="2" count="1">
            <x v="3"/>
          </reference>
          <reference field="3" count="1" selected="0">
            <x v="7"/>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D00-00000C000000}"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43" firstHeaderRow="0" firstDataRow="1" firstDataCol="1"/>
  <pivotFields count="37">
    <pivotField numFmtId="1" showAll="0"/>
    <pivotField showAll="0"/>
    <pivotField showAll="0"/>
    <pivotField axis="axisRow" showAll="0">
      <items count="15">
        <item m="1" x="13"/>
        <item x="7"/>
        <item x="2"/>
        <item x="1"/>
        <item x="5"/>
        <item x="12"/>
        <item x="0"/>
        <item x="8"/>
        <item x="3"/>
        <item x="6"/>
        <item x="9"/>
        <item x="10"/>
        <item x="11"/>
        <item x="4"/>
        <item t="default"/>
      </items>
    </pivotField>
    <pivotField showAll="0">
      <items count="24">
        <item x="0"/>
        <item x="7"/>
        <item x="10"/>
        <item x="9"/>
        <item x="11"/>
        <item x="8"/>
        <item x="13"/>
        <item x="14"/>
        <item x="12"/>
        <item x="15"/>
        <item x="2"/>
        <item x="3"/>
        <item x="22"/>
        <item x="4"/>
        <item x="1"/>
        <item x="5"/>
        <item x="6"/>
        <item x="16"/>
        <item x="20"/>
        <item x="18"/>
        <item x="19"/>
        <item x="17"/>
        <item x="21"/>
        <item t="default"/>
      </items>
    </pivotField>
    <pivotField showAll="0"/>
    <pivotField axis="axisRow" showAll="0">
      <items count="11">
        <item x="7"/>
        <item x="4"/>
        <item x="3"/>
        <item x="2"/>
        <item m="1" x="9"/>
        <item x="1"/>
        <item x="8"/>
        <item x="5"/>
        <item x="6"/>
        <item x="0"/>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6"/>
  </rowFields>
  <rowItems count="36">
    <i>
      <x v="1"/>
    </i>
    <i r="1">
      <x v="2"/>
    </i>
    <i>
      <x v="2"/>
    </i>
    <i r="1">
      <x v="2"/>
    </i>
    <i>
      <x v="3"/>
    </i>
    <i r="1">
      <x v="1"/>
    </i>
    <i r="1">
      <x v="5"/>
    </i>
    <i>
      <x v="4"/>
    </i>
    <i r="1">
      <x v="6"/>
    </i>
    <i r="1">
      <x v="7"/>
    </i>
    <i>
      <x v="5"/>
    </i>
    <i r="1">
      <x v="2"/>
    </i>
    <i>
      <x v="6"/>
    </i>
    <i r="1">
      <x v="1"/>
    </i>
    <i r="1">
      <x v="3"/>
    </i>
    <i r="1">
      <x v="9"/>
    </i>
    <i>
      <x v="7"/>
    </i>
    <i r="1">
      <x v="2"/>
    </i>
    <i r="1">
      <x v="8"/>
    </i>
    <i>
      <x v="8"/>
    </i>
    <i r="1">
      <x v="2"/>
    </i>
    <i r="1">
      <x v="3"/>
    </i>
    <i>
      <x v="9"/>
    </i>
    <i r="1">
      <x v="2"/>
    </i>
    <i r="1">
      <x v="5"/>
    </i>
    <i>
      <x v="10"/>
    </i>
    <i r="1">
      <x/>
    </i>
    <i r="1">
      <x v="1"/>
    </i>
    <i>
      <x v="11"/>
    </i>
    <i r="1">
      <x v="2"/>
    </i>
    <i r="1">
      <x v="8"/>
    </i>
    <i>
      <x v="12"/>
    </i>
    <i r="1">
      <x v="2"/>
    </i>
    <i>
      <x v="13"/>
    </i>
    <i r="1">
      <x v="1"/>
    </i>
    <i t="grand">
      <x/>
    </i>
  </rowItems>
  <colFields count="1">
    <field x="-2"/>
  </colFields>
  <colItems count="2">
    <i>
      <x/>
    </i>
    <i i="1">
      <x v="1"/>
    </i>
  </colItems>
  <dataFields count="2">
    <dataField name="Sum of Functional Amount" fld="9" baseField="0" baseItem="0"/>
    <dataField name="Sum of Global Amount" fld="10" baseField="0" baseItem="0"/>
  </dataFields>
  <formats count="2">
    <format dxfId="31">
      <pivotArea outline="0" collapsedLevelsAreSubtotals="1" fieldPosition="0"/>
    </format>
    <format dxfId="30">
      <pivotArea dataOnly="0" labelOnly="1" fieldPosition="0">
        <references count="1">
          <reference field="3" count="11">
            <x v="1"/>
            <x v="2"/>
            <x v="3"/>
            <x v="4"/>
            <x v="5"/>
            <x v="6"/>
            <x v="7"/>
            <x v="8"/>
            <x v="9"/>
            <x v="10"/>
            <x v="1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D000000}"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26" firstHeaderRow="0" firstDataRow="1" firstDataCol="1"/>
  <pivotFields count="38">
    <pivotField numFmtId="1" showAll="0"/>
    <pivotField showAll="0"/>
    <pivotField showAll="0"/>
    <pivotField showAll="0"/>
    <pivotField axis="axisRow" showAll="0">
      <items count="14">
        <item m="1" x="11"/>
        <item x="0"/>
        <item m="1" x="9"/>
        <item x="1"/>
        <item x="3"/>
        <item x="2"/>
        <item x="7"/>
        <item m="1" x="8"/>
        <item x="4"/>
        <item x="6"/>
        <item x="5"/>
        <item m="1" x="10"/>
        <item m="1" x="12"/>
        <item t="default"/>
      </items>
    </pivotField>
    <pivotField showAll="0"/>
    <pivotField showAll="0"/>
    <pivotField axis="axisRow" showAll="0">
      <items count="7">
        <item m="1" x="5"/>
        <item m="1" x="4"/>
        <item x="1"/>
        <item x="0"/>
        <item x="2"/>
        <item x="3"/>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19">
    <i>
      <x v="1"/>
    </i>
    <i r="1">
      <x v="3"/>
    </i>
    <i>
      <x v="3"/>
    </i>
    <i r="1">
      <x v="2"/>
    </i>
    <i r="1">
      <x v="4"/>
    </i>
    <i>
      <x v="4"/>
    </i>
    <i r="1">
      <x v="2"/>
    </i>
    <i r="1">
      <x v="4"/>
    </i>
    <i>
      <x v="5"/>
    </i>
    <i r="1">
      <x v="2"/>
    </i>
    <i>
      <x v="6"/>
    </i>
    <i r="1">
      <x v="5"/>
    </i>
    <i>
      <x v="8"/>
    </i>
    <i r="1">
      <x v="2"/>
    </i>
    <i>
      <x v="9"/>
    </i>
    <i r="1">
      <x v="2"/>
    </i>
    <i>
      <x v="10"/>
    </i>
    <i r="1">
      <x v="3"/>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29">
      <pivotArea outline="0" collapsedLevelsAreSubtotals="1" fieldPosition="0"/>
    </format>
    <format dxfId="28">
      <pivotArea dataOnly="0" labelOnly="1" fieldPosition="0">
        <references count="1">
          <reference field="4" count="9">
            <x v="0"/>
            <x v="1"/>
            <x v="2"/>
            <x v="3"/>
            <x v="4"/>
            <x v="5"/>
            <x v="6"/>
            <x v="7"/>
            <x v="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F00-00000E000000}"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41" firstHeaderRow="0" firstDataRow="1" firstDataCol="1"/>
  <pivotFields count="38">
    <pivotField numFmtId="1" showAll="0"/>
    <pivotField showAll="0"/>
    <pivotField showAll="0"/>
    <pivotField showAll="0"/>
    <pivotField axis="axisRow" showAll="0">
      <items count="14">
        <item x="10"/>
        <item x="0"/>
        <item x="9"/>
        <item x="1"/>
        <item x="3"/>
        <item x="2"/>
        <item x="7"/>
        <item x="8"/>
        <item x="4"/>
        <item x="6"/>
        <item x="5"/>
        <item x="11"/>
        <item x="12"/>
        <item t="default"/>
      </items>
    </pivotField>
    <pivotField showAll="0"/>
    <pivotField showAll="0"/>
    <pivotField axis="axisRow" showAll="0">
      <items count="8">
        <item x="6"/>
        <item x="1"/>
        <item x="0"/>
        <item x="2"/>
        <item x="3"/>
        <item x="4"/>
        <item x="5"/>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4">
    <i>
      <x/>
    </i>
    <i r="1">
      <x v="1"/>
    </i>
    <i>
      <x v="1"/>
    </i>
    <i r="1">
      <x v="2"/>
    </i>
    <i>
      <x v="2"/>
    </i>
    <i r="1">
      <x v="1"/>
    </i>
    <i>
      <x v="3"/>
    </i>
    <i r="1">
      <x v="1"/>
    </i>
    <i r="1">
      <x v="3"/>
    </i>
    <i r="1">
      <x v="4"/>
    </i>
    <i r="1">
      <x v="5"/>
    </i>
    <i>
      <x v="4"/>
    </i>
    <i r="1">
      <x v="1"/>
    </i>
    <i r="1">
      <x v="3"/>
    </i>
    <i>
      <x v="5"/>
    </i>
    <i r="1">
      <x v="1"/>
    </i>
    <i>
      <x v="6"/>
    </i>
    <i r="1">
      <x v="4"/>
    </i>
    <i r="1">
      <x v="6"/>
    </i>
    <i>
      <x v="7"/>
    </i>
    <i r="1">
      <x/>
    </i>
    <i>
      <x v="8"/>
    </i>
    <i r="1">
      <x v="1"/>
    </i>
    <i>
      <x v="9"/>
    </i>
    <i r="1">
      <x v="1"/>
    </i>
    <i>
      <x v="10"/>
    </i>
    <i r="1">
      <x v="1"/>
    </i>
    <i r="1">
      <x v="2"/>
    </i>
    <i r="1">
      <x v="5"/>
    </i>
    <i>
      <x v="11"/>
    </i>
    <i r="1">
      <x v="3"/>
    </i>
    <i>
      <x v="12"/>
    </i>
    <i r="1">
      <x v="5"/>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27">
      <pivotArea outline="0" collapsedLevelsAreSubtotals="1" fieldPosition="0"/>
    </format>
    <format dxfId="26">
      <pivotArea dataOnly="0" labelOnly="1" fieldPosition="0">
        <references count="1">
          <reference field="4" count="9">
            <x v="0"/>
            <x v="1"/>
            <x v="2"/>
            <x v="3"/>
            <x v="4"/>
            <x v="5"/>
            <x v="6"/>
            <x v="7"/>
            <x v="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000-00000F000000}"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37" firstHeaderRow="0" firstDataRow="1" firstDataCol="1"/>
  <pivotFields count="38">
    <pivotField numFmtId="1" showAll="0"/>
    <pivotField showAll="0"/>
    <pivotField showAll="0"/>
    <pivotField showAll="0"/>
    <pivotField axis="axisRow" showAll="0">
      <items count="12">
        <item x="8"/>
        <item x="0"/>
        <item x="2"/>
        <item x="1"/>
        <item x="6"/>
        <item x="7"/>
        <item x="3"/>
        <item x="4"/>
        <item x="5"/>
        <item x="9"/>
        <item x="10"/>
        <item t="default"/>
      </items>
    </pivotField>
    <pivotField showAll="0"/>
    <pivotField showAll="0"/>
    <pivotField axis="axisRow" showAll="0">
      <items count="8">
        <item x="4"/>
        <item x="0"/>
        <item x="2"/>
        <item x="1"/>
        <item x="6"/>
        <item x="5"/>
        <item x="3"/>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0">
    <i>
      <x/>
    </i>
    <i r="1">
      <x v="1"/>
    </i>
    <i>
      <x v="1"/>
    </i>
    <i r="1">
      <x/>
    </i>
    <i r="1">
      <x v="1"/>
    </i>
    <i>
      <x v="2"/>
    </i>
    <i r="1">
      <x v="1"/>
    </i>
    <i r="1">
      <x v="3"/>
    </i>
    <i>
      <x v="3"/>
    </i>
    <i r="1">
      <x v="1"/>
    </i>
    <i r="1">
      <x v="4"/>
    </i>
    <i>
      <x v="4"/>
    </i>
    <i r="1">
      <x v="6"/>
    </i>
    <i>
      <x v="5"/>
    </i>
    <i r="1">
      <x/>
    </i>
    <i>
      <x v="6"/>
    </i>
    <i r="1">
      <x v="1"/>
    </i>
    <i>
      <x v="7"/>
    </i>
    <i r="1">
      <x v="1"/>
    </i>
    <i>
      <x v="8"/>
    </i>
    <i r="1">
      <x v="1"/>
    </i>
    <i r="1">
      <x v="2"/>
    </i>
    <i r="1">
      <x v="4"/>
    </i>
    <i r="1">
      <x v="5"/>
    </i>
    <i>
      <x v="9"/>
    </i>
    <i r="1">
      <x v="3"/>
    </i>
    <i r="1">
      <x v="4"/>
    </i>
    <i>
      <x v="10"/>
    </i>
    <i r="1">
      <x v="5"/>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25">
      <pivotArea outline="0" collapsedLevelsAreSubtotals="1" fieldPosition="0"/>
    </format>
    <format dxfId="24">
      <pivotArea dataOnly="0" labelOnly="1" fieldPosition="0">
        <references count="1">
          <reference field="4" count="7">
            <x v="0"/>
            <x v="1"/>
            <x v="2"/>
            <x v="3"/>
            <x v="4"/>
            <x v="5"/>
            <x v="6"/>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100-000010000000}"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41" firstHeaderRow="0" firstDataRow="1" firstDataCol="1"/>
  <pivotFields count="38">
    <pivotField numFmtId="1" showAll="0"/>
    <pivotField showAll="0"/>
    <pivotField showAll="0"/>
    <pivotField showAll="0"/>
    <pivotField axis="axisRow" showAll="0">
      <items count="13">
        <item x="6"/>
        <item x="0"/>
        <item x="2"/>
        <item x="1"/>
        <item x="3"/>
        <item x="4"/>
        <item x="5"/>
        <item x="7"/>
        <item x="8"/>
        <item x="9"/>
        <item x="10"/>
        <item x="11"/>
        <item t="default"/>
      </items>
    </pivotField>
    <pivotField showAll="0"/>
    <pivotField showAll="0"/>
    <pivotField axis="axisRow" showAll="0">
      <items count="9">
        <item x="4"/>
        <item x="0"/>
        <item x="2"/>
        <item x="1"/>
        <item x="5"/>
        <item x="3"/>
        <item x="6"/>
        <item x="7"/>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4">
    <i>
      <x/>
    </i>
    <i r="1">
      <x v="1"/>
    </i>
    <i>
      <x v="1"/>
    </i>
    <i r="1">
      <x/>
    </i>
    <i r="1">
      <x v="1"/>
    </i>
    <i r="1">
      <x v="4"/>
    </i>
    <i>
      <x v="2"/>
    </i>
    <i r="1">
      <x v="1"/>
    </i>
    <i r="1">
      <x v="3"/>
    </i>
    <i>
      <x v="3"/>
    </i>
    <i r="1">
      <x v="1"/>
    </i>
    <i r="1">
      <x v="4"/>
    </i>
    <i r="1">
      <x v="6"/>
    </i>
    <i>
      <x v="4"/>
    </i>
    <i r="1">
      <x v="1"/>
    </i>
    <i>
      <x v="5"/>
    </i>
    <i r="1">
      <x v="1"/>
    </i>
    <i r="1">
      <x v="4"/>
    </i>
    <i>
      <x v="6"/>
    </i>
    <i r="1">
      <x v="1"/>
    </i>
    <i r="1">
      <x v="2"/>
    </i>
    <i r="1">
      <x v="5"/>
    </i>
    <i>
      <x v="7"/>
    </i>
    <i r="1">
      <x v="4"/>
    </i>
    <i>
      <x v="8"/>
    </i>
    <i r="1">
      <x v="6"/>
    </i>
    <i>
      <x v="9"/>
    </i>
    <i r="1">
      <x v="1"/>
    </i>
    <i r="1">
      <x v="7"/>
    </i>
    <i>
      <x v="10"/>
    </i>
    <i r="1">
      <x v="6"/>
    </i>
    <i>
      <x v="11"/>
    </i>
    <i r="1">
      <x v="1"/>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23">
      <pivotArea outline="0" collapsedLevelsAreSubtotals="1" fieldPosition="0"/>
    </format>
    <format dxfId="22">
      <pivotArea dataOnly="0" labelOnly="1" fieldPosition="0">
        <references count="1">
          <reference field="4" count="5">
            <x v="0"/>
            <x v="1"/>
            <x v="2"/>
            <x v="3"/>
            <x v="4"/>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200-000011000000}"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36" firstHeaderRow="0" firstDataRow="1" firstDataCol="1"/>
  <pivotFields count="38">
    <pivotField numFmtId="1" showAll="0"/>
    <pivotField showAll="0"/>
    <pivotField showAll="0"/>
    <pivotField showAll="0"/>
    <pivotField axis="axisRow" showAll="0">
      <items count="13">
        <item x="1"/>
        <item x="3"/>
        <item x="5"/>
        <item x="0"/>
        <item x="2"/>
        <item x="10"/>
        <item x="4"/>
        <item x="8"/>
        <item x="9"/>
        <item x="11"/>
        <item x="6"/>
        <item x="7"/>
        <item t="default"/>
      </items>
    </pivotField>
    <pivotField showAll="0"/>
    <pivotField showAll="0"/>
    <pivotField axis="axisRow" showAll="0">
      <items count="9">
        <item x="2"/>
        <item x="0"/>
        <item x="6"/>
        <item x="3"/>
        <item x="1"/>
        <item x="5"/>
        <item x="4"/>
        <item x="7"/>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29">
    <i>
      <x/>
    </i>
    <i r="1">
      <x v="1"/>
    </i>
    <i>
      <x v="1"/>
    </i>
    <i r="1">
      <x/>
    </i>
    <i r="1">
      <x v="2"/>
    </i>
    <i>
      <x v="2"/>
    </i>
    <i r="1">
      <x v="1"/>
    </i>
    <i r="1">
      <x v="6"/>
    </i>
    <i>
      <x v="3"/>
    </i>
    <i r="1">
      <x v="1"/>
    </i>
    <i r="1">
      <x v="3"/>
    </i>
    <i>
      <x v="4"/>
    </i>
    <i r="1">
      <x v="4"/>
    </i>
    <i>
      <x v="5"/>
    </i>
    <i r="1">
      <x/>
    </i>
    <i>
      <x v="6"/>
    </i>
    <i r="1">
      <x v="6"/>
    </i>
    <i r="1">
      <x v="7"/>
    </i>
    <i>
      <x v="7"/>
    </i>
    <i r="1">
      <x v="3"/>
    </i>
    <i>
      <x v="8"/>
    </i>
    <i r="1">
      <x v="7"/>
    </i>
    <i>
      <x v="9"/>
    </i>
    <i r="1">
      <x v="7"/>
    </i>
    <i>
      <x v="10"/>
    </i>
    <i r="1">
      <x v="1"/>
    </i>
    <i>
      <x v="11"/>
    </i>
    <i r="1">
      <x v="5"/>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21">
      <pivotArea outline="0" collapsedLevelsAreSubtotals="1" fieldPosition="0"/>
    </format>
    <format dxfId="20">
      <pivotArea dataOnly="0" labelOnly="1" fieldPosition="0">
        <references count="1">
          <reference field="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300-000012000000}"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28" firstHeaderRow="0" firstDataRow="1" firstDataCol="1"/>
  <pivotFields count="38">
    <pivotField numFmtId="1" showAll="0"/>
    <pivotField showAll="0"/>
    <pivotField showAll="0"/>
    <pivotField showAll="0"/>
    <pivotField axis="axisRow" showAll="0">
      <items count="13">
        <item x="1"/>
        <item x="2"/>
        <item x="4"/>
        <item x="0"/>
        <item m="1" x="9"/>
        <item x="3"/>
        <item m="1" x="11"/>
        <item x="5"/>
        <item m="1" x="10"/>
        <item x="6"/>
        <item x="7"/>
        <item x="8"/>
        <item t="default"/>
      </items>
    </pivotField>
    <pivotField showAll="0"/>
    <pivotField showAll="0"/>
    <pivotField axis="axisRow" showAll="0">
      <items count="8">
        <item x="1"/>
        <item x="0"/>
        <item x="4"/>
        <item x="2"/>
        <item m="1" x="6"/>
        <item x="3"/>
        <item x="5"/>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21">
    <i>
      <x/>
    </i>
    <i r="1">
      <x v="1"/>
    </i>
    <i>
      <x v="1"/>
    </i>
    <i r="1">
      <x/>
    </i>
    <i r="1">
      <x v="2"/>
    </i>
    <i>
      <x v="2"/>
    </i>
    <i r="1">
      <x v="5"/>
    </i>
    <i>
      <x v="3"/>
    </i>
    <i r="1">
      <x v="1"/>
    </i>
    <i r="1">
      <x v="3"/>
    </i>
    <i>
      <x v="5"/>
    </i>
    <i r="1">
      <x v="5"/>
    </i>
    <i>
      <x v="7"/>
    </i>
    <i r="1">
      <x v="6"/>
    </i>
    <i>
      <x v="9"/>
    </i>
    <i r="1">
      <x v="6"/>
    </i>
    <i>
      <x v="10"/>
    </i>
    <i r="1">
      <x v="3"/>
    </i>
    <i>
      <x v="11"/>
    </i>
    <i r="1">
      <x v="3"/>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19">
      <pivotArea outline="0" collapsedLevelsAreSubtotals="1" fieldPosition="0"/>
    </format>
    <format dxfId="18">
      <pivotArea dataOnly="0" labelOnly="1" fieldPosition="0">
        <references count="1">
          <reference field="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1400-000013000000}"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36" firstHeaderRow="0" firstDataRow="1" firstDataCol="1"/>
  <pivotFields count="38">
    <pivotField numFmtId="1" showAll="0"/>
    <pivotField showAll="0"/>
    <pivotField showAll="0"/>
    <pivotField showAll="0"/>
    <pivotField axis="axisRow" showAll="0">
      <items count="13">
        <item x="1"/>
        <item x="2"/>
        <item x="4"/>
        <item x="0"/>
        <item x="10"/>
        <item x="3"/>
        <item x="11"/>
        <item x="5"/>
        <item x="6"/>
        <item x="7"/>
        <item x="8"/>
        <item x="9"/>
        <item t="default"/>
      </items>
    </pivotField>
    <pivotField showAll="0"/>
    <pivotField showAll="0"/>
    <pivotField axis="axisRow" showAll="0">
      <items count="8">
        <item x="1"/>
        <item x="0"/>
        <item x="4"/>
        <item x="2"/>
        <item x="3"/>
        <item x="5"/>
        <item x="6"/>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29">
    <i>
      <x/>
    </i>
    <i r="1">
      <x v="1"/>
    </i>
    <i>
      <x v="1"/>
    </i>
    <i r="1">
      <x/>
    </i>
    <i r="1">
      <x v="2"/>
    </i>
    <i>
      <x v="2"/>
    </i>
    <i r="1">
      <x v="1"/>
    </i>
    <i r="1">
      <x v="4"/>
    </i>
    <i>
      <x v="3"/>
    </i>
    <i r="1">
      <x v="1"/>
    </i>
    <i r="1">
      <x v="3"/>
    </i>
    <i>
      <x v="4"/>
    </i>
    <i r="1">
      <x v="2"/>
    </i>
    <i>
      <x v="5"/>
    </i>
    <i r="1">
      <x v="1"/>
    </i>
    <i r="1">
      <x v="4"/>
    </i>
    <i>
      <x v="6"/>
    </i>
    <i r="1">
      <x v="1"/>
    </i>
    <i>
      <x v="7"/>
    </i>
    <i r="1">
      <x v="5"/>
    </i>
    <i>
      <x v="8"/>
    </i>
    <i r="1">
      <x v="5"/>
    </i>
    <i>
      <x v="9"/>
    </i>
    <i r="1">
      <x v="3"/>
    </i>
    <i>
      <x v="10"/>
    </i>
    <i r="1">
      <x v="3"/>
    </i>
    <i>
      <x v="11"/>
    </i>
    <i r="1">
      <x v="6"/>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17">
      <pivotArea outline="0" collapsedLevelsAreSubtotals="1" fieldPosition="0"/>
    </format>
    <format dxfId="16">
      <pivotArea dataOnly="0" labelOnly="1" fieldPosition="0">
        <references count="1">
          <reference field="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500-000014000000}"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25" firstHeaderRow="0" firstDataRow="1" firstDataCol="1"/>
  <pivotFields count="38">
    <pivotField numFmtId="1" showAll="0"/>
    <pivotField showAll="0"/>
    <pivotField showAll="0"/>
    <pivotField showAll="0"/>
    <pivotField axis="axisRow" showAll="0">
      <items count="13">
        <item m="1" x="7"/>
        <item m="1" x="8"/>
        <item x="2"/>
        <item x="0"/>
        <item x="1"/>
        <item x="3"/>
        <item m="1" x="11"/>
        <item x="4"/>
        <item x="5"/>
        <item m="1" x="9"/>
        <item x="6"/>
        <item m="1" x="10"/>
        <item t="default"/>
      </items>
    </pivotField>
    <pivotField showAll="0"/>
    <pivotField showAll="0"/>
    <pivotField axis="axisRow" showAll="0">
      <items count="7">
        <item m="1" x="4"/>
        <item x="0"/>
        <item m="1" x="5"/>
        <item x="1"/>
        <item x="2"/>
        <item x="3"/>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18">
    <i>
      <x v="2"/>
    </i>
    <i r="1">
      <x v="1"/>
    </i>
    <i r="1">
      <x v="4"/>
    </i>
    <i>
      <x v="3"/>
    </i>
    <i r="1">
      <x v="1"/>
    </i>
    <i r="1">
      <x v="3"/>
    </i>
    <i>
      <x v="4"/>
    </i>
    <i r="1">
      <x v="1"/>
    </i>
    <i r="1">
      <x v="4"/>
    </i>
    <i>
      <x v="5"/>
    </i>
    <i r="1">
      <x v="5"/>
    </i>
    <i>
      <x v="7"/>
    </i>
    <i r="1">
      <x v="3"/>
    </i>
    <i>
      <x v="8"/>
    </i>
    <i r="1">
      <x v="3"/>
    </i>
    <i>
      <x v="10"/>
    </i>
    <i r="1">
      <x v="1"/>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15">
      <pivotArea outline="0" collapsedLevelsAreSubtotals="1" fieldPosition="0"/>
    </format>
    <format dxfId="14">
      <pivotArea dataOnly="0" labelOnly="1" fieldPosition="0">
        <references count="1">
          <reference field="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1800-000015000000}"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39" firstHeaderRow="0" firstDataRow="1" firstDataCol="1"/>
  <pivotFields count="38">
    <pivotField numFmtId="1" showAll="0"/>
    <pivotField showAll="0"/>
    <pivotField showAll="0"/>
    <pivotField showAll="0"/>
    <pivotField axis="axisRow" showAll="0">
      <items count="15">
        <item x="2"/>
        <item x="0"/>
        <item x="1"/>
        <item x="3"/>
        <item x="7"/>
        <item x="4"/>
        <item x="5"/>
        <item x="6"/>
        <item x="9"/>
        <item m="1" x="12"/>
        <item m="1" x="13"/>
        <item x="8"/>
        <item x="11"/>
        <item x="10"/>
        <item t="default"/>
      </items>
    </pivotField>
    <pivotField showAll="0"/>
    <pivotField showAll="0"/>
    <pivotField axis="axisRow" showAll="0">
      <items count="9">
        <item x="0"/>
        <item x="4"/>
        <item x="1"/>
        <item x="2"/>
        <item x="3"/>
        <item x="5"/>
        <item m="1" x="7"/>
        <item x="6"/>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2">
    <i>
      <x/>
    </i>
    <i r="1">
      <x/>
    </i>
    <i r="1">
      <x v="3"/>
    </i>
    <i>
      <x v="1"/>
    </i>
    <i r="1">
      <x/>
    </i>
    <i r="1">
      <x v="2"/>
    </i>
    <i r="1">
      <x v="5"/>
    </i>
    <i>
      <x v="2"/>
    </i>
    <i r="1">
      <x/>
    </i>
    <i r="1">
      <x v="3"/>
    </i>
    <i>
      <x v="3"/>
    </i>
    <i r="1">
      <x/>
    </i>
    <i r="1">
      <x v="4"/>
    </i>
    <i>
      <x v="4"/>
    </i>
    <i r="1">
      <x/>
    </i>
    <i r="1">
      <x v="1"/>
    </i>
    <i>
      <x v="5"/>
    </i>
    <i r="1">
      <x v="2"/>
    </i>
    <i>
      <x v="6"/>
    </i>
    <i r="1">
      <x/>
    </i>
    <i r="1">
      <x v="2"/>
    </i>
    <i>
      <x v="7"/>
    </i>
    <i r="1">
      <x/>
    </i>
    <i>
      <x v="8"/>
    </i>
    <i r="1">
      <x v="4"/>
    </i>
    <i>
      <x v="11"/>
    </i>
    <i r="1">
      <x/>
    </i>
    <i>
      <x v="12"/>
    </i>
    <i r="1">
      <x v="7"/>
    </i>
    <i>
      <x v="13"/>
    </i>
    <i r="1">
      <x v="1"/>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13">
      <pivotArea outline="0" collapsedLevelsAreSubtotals="1" fieldPosition="0"/>
    </format>
    <format dxfId="12">
      <pivotArea dataOnly="0" labelOnly="1" fieldPosition="0">
        <references count="1">
          <reference field="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900-000016000000}"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41" firstHeaderRow="0" firstDataRow="1" firstDataCol="1"/>
  <pivotFields count="38">
    <pivotField numFmtId="1" showAll="0"/>
    <pivotField showAll="0"/>
    <pivotField showAll="0"/>
    <pivotField showAll="0"/>
    <pivotField axis="axisRow" showAll="0">
      <items count="14">
        <item x="2"/>
        <item x="0"/>
        <item x="1"/>
        <item x="3"/>
        <item x="7"/>
        <item x="4"/>
        <item x="5"/>
        <item x="6"/>
        <item x="9"/>
        <item x="8"/>
        <item x="10"/>
        <item x="11"/>
        <item x="12"/>
        <item t="default"/>
      </items>
    </pivotField>
    <pivotField showAll="0"/>
    <pivotField showAll="0"/>
    <pivotField axis="axisRow" showAll="0">
      <items count="6">
        <item x="0"/>
        <item x="4"/>
        <item x="1"/>
        <item x="2"/>
        <item x="3"/>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4">
    <i>
      <x/>
    </i>
    <i r="1">
      <x/>
    </i>
    <i r="1">
      <x v="3"/>
    </i>
    <i>
      <x v="1"/>
    </i>
    <i r="1">
      <x/>
    </i>
    <i r="1">
      <x v="2"/>
    </i>
    <i>
      <x v="2"/>
    </i>
    <i r="1">
      <x/>
    </i>
    <i r="1">
      <x v="1"/>
    </i>
    <i r="1">
      <x v="3"/>
    </i>
    <i>
      <x v="3"/>
    </i>
    <i r="1">
      <x/>
    </i>
    <i r="1">
      <x v="4"/>
    </i>
    <i>
      <x v="4"/>
    </i>
    <i r="1">
      <x/>
    </i>
    <i r="1">
      <x v="1"/>
    </i>
    <i>
      <x v="5"/>
    </i>
    <i r="1">
      <x v="2"/>
    </i>
    <i>
      <x v="6"/>
    </i>
    <i r="1">
      <x/>
    </i>
    <i r="1">
      <x v="2"/>
    </i>
    <i>
      <x v="7"/>
    </i>
    <i r="1">
      <x/>
    </i>
    <i>
      <x v="8"/>
    </i>
    <i r="1">
      <x v="4"/>
    </i>
    <i>
      <x v="9"/>
    </i>
    <i r="1">
      <x/>
    </i>
    <i>
      <x v="10"/>
    </i>
    <i r="1">
      <x v="1"/>
    </i>
    <i>
      <x v="11"/>
    </i>
    <i r="1">
      <x v="1"/>
    </i>
    <i>
      <x v="12"/>
    </i>
    <i r="1">
      <x/>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11">
      <pivotArea outline="0" collapsedLevelsAreSubtotals="1" fieldPosition="0"/>
    </format>
    <format dxfId="10">
      <pivotArea dataOnly="0" labelOnly="1" fieldPosition="0">
        <references count="1">
          <reference field="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1A00-000017000000}"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24" firstHeaderRow="0" firstDataRow="1" firstDataCol="1"/>
  <pivotFields count="38">
    <pivotField numFmtId="1" showAll="0"/>
    <pivotField showAll="0"/>
    <pivotField showAll="0"/>
    <pivotField showAll="0"/>
    <pivotField axis="axisRow" showAll="0">
      <items count="14">
        <item x="1"/>
        <item m="1" x="10"/>
        <item x="0"/>
        <item x="2"/>
        <item m="1" x="8"/>
        <item m="1" x="7"/>
        <item x="3"/>
        <item x="4"/>
        <item x="6"/>
        <item x="5"/>
        <item m="1" x="9"/>
        <item m="1" x="11"/>
        <item m="1" x="12"/>
        <item t="default"/>
      </items>
    </pivotField>
    <pivotField showAll="0"/>
    <pivotField showAll="0"/>
    <pivotField axis="axisRow" showAll="0">
      <items count="9">
        <item x="3"/>
        <item x="4"/>
        <item x="2"/>
        <item x="0"/>
        <item x="1"/>
        <item x="5"/>
        <item m="1" x="6"/>
        <item m="1" x="7"/>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17">
    <i>
      <x/>
    </i>
    <i r="1">
      <x v="3"/>
    </i>
    <i>
      <x v="2"/>
    </i>
    <i r="1">
      <x v="1"/>
    </i>
    <i r="1">
      <x v="3"/>
    </i>
    <i>
      <x v="3"/>
    </i>
    <i r="1">
      <x v="4"/>
    </i>
    <i>
      <x v="6"/>
    </i>
    <i r="1">
      <x/>
    </i>
    <i r="1">
      <x v="2"/>
    </i>
    <i>
      <x v="7"/>
    </i>
    <i r="1">
      <x/>
    </i>
    <i>
      <x v="8"/>
    </i>
    <i r="1">
      <x v="4"/>
    </i>
    <i>
      <x v="9"/>
    </i>
    <i r="1">
      <x v="5"/>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9">
      <pivotArea outline="0" collapsedLevelsAreSubtotals="1" fieldPosition="0"/>
    </format>
    <format dxfId="8">
      <pivotArea dataOnly="0" labelOnly="1" fieldPosition="0">
        <references count="1">
          <reference field="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1B00-000018000000}"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46" firstHeaderRow="0" firstDataRow="1" firstDataCol="1"/>
  <pivotFields count="38">
    <pivotField numFmtId="1" showAll="0"/>
    <pivotField showAll="0"/>
    <pivotField showAll="0"/>
    <pivotField showAll="0"/>
    <pivotField axis="axisRow" showAll="0">
      <items count="17">
        <item x="1"/>
        <item x="0"/>
        <item x="2"/>
        <item x="3"/>
        <item x="4"/>
        <item x="6"/>
        <item x="5"/>
        <item x="14"/>
        <item x="7"/>
        <item x="8"/>
        <item x="9"/>
        <item x="10"/>
        <item x="11"/>
        <item x="12"/>
        <item x="13"/>
        <item x="15"/>
        <item t="default"/>
      </items>
    </pivotField>
    <pivotField showAll="0"/>
    <pivotField showAll="0"/>
    <pivotField axis="axisRow" showAll="0">
      <items count="10">
        <item x="3"/>
        <item x="4"/>
        <item x="2"/>
        <item x="0"/>
        <item x="1"/>
        <item x="5"/>
        <item x="6"/>
        <item x="7"/>
        <item x="8"/>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9">
    <i>
      <x/>
    </i>
    <i r="1">
      <x v="3"/>
    </i>
    <i>
      <x v="1"/>
    </i>
    <i r="1">
      <x/>
    </i>
    <i r="1">
      <x v="1"/>
    </i>
    <i r="1">
      <x v="3"/>
    </i>
    <i>
      <x v="2"/>
    </i>
    <i r="1">
      <x v="4"/>
    </i>
    <i>
      <x v="3"/>
    </i>
    <i r="1">
      <x/>
    </i>
    <i r="1">
      <x v="2"/>
    </i>
    <i>
      <x v="4"/>
    </i>
    <i r="1">
      <x/>
    </i>
    <i>
      <x v="5"/>
    </i>
    <i r="1">
      <x v="4"/>
    </i>
    <i r="1">
      <x v="8"/>
    </i>
    <i>
      <x v="6"/>
    </i>
    <i r="1">
      <x v="5"/>
    </i>
    <i>
      <x v="7"/>
    </i>
    <i r="1">
      <x/>
    </i>
    <i>
      <x v="8"/>
    </i>
    <i r="1">
      <x v="1"/>
    </i>
    <i>
      <x v="9"/>
    </i>
    <i r="1">
      <x/>
    </i>
    <i r="1">
      <x v="6"/>
    </i>
    <i r="1">
      <x v="8"/>
    </i>
    <i>
      <x v="10"/>
    </i>
    <i r="1">
      <x/>
    </i>
    <i>
      <x v="11"/>
    </i>
    <i r="1">
      <x/>
    </i>
    <i>
      <x v="12"/>
    </i>
    <i r="1">
      <x/>
    </i>
    <i>
      <x v="13"/>
    </i>
    <i r="1">
      <x v="7"/>
    </i>
    <i>
      <x v="14"/>
    </i>
    <i r="1">
      <x v="4"/>
    </i>
    <i>
      <x v="15"/>
    </i>
    <i r="1">
      <x/>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7">
      <pivotArea outline="0" collapsedLevelsAreSubtotals="1" fieldPosition="0"/>
    </format>
    <format dxfId="6">
      <pivotArea dataOnly="0" labelOnly="1" fieldPosition="0">
        <references count="1">
          <reference field="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1C00-000019000000}"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46" firstHeaderRow="0" firstDataRow="1" firstDataCol="1"/>
  <pivotFields count="38">
    <pivotField numFmtId="1" showAll="0"/>
    <pivotField showAll="0"/>
    <pivotField showAll="0"/>
    <pivotField showAll="0"/>
    <pivotField axis="axisRow" showAll="0">
      <items count="17">
        <item x="1"/>
        <item x="0"/>
        <item x="2"/>
        <item x="3"/>
        <item x="4"/>
        <item x="6"/>
        <item x="5"/>
        <item x="7"/>
        <item x="8"/>
        <item x="9"/>
        <item x="10"/>
        <item x="11"/>
        <item x="12"/>
        <item x="15"/>
        <item x="13"/>
        <item x="14"/>
        <item t="default"/>
      </items>
    </pivotField>
    <pivotField showAll="0"/>
    <pivotField showAll="0"/>
    <pivotField axis="axisRow" showAll="0">
      <items count="10">
        <item x="3"/>
        <item x="4"/>
        <item x="2"/>
        <item x="0"/>
        <item x="1"/>
        <item x="5"/>
        <item x="6"/>
        <item x="7"/>
        <item x="8"/>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39">
    <i>
      <x/>
    </i>
    <i r="1">
      <x v="3"/>
    </i>
    <i>
      <x v="1"/>
    </i>
    <i r="1">
      <x/>
    </i>
    <i r="1">
      <x v="1"/>
    </i>
    <i r="1">
      <x v="3"/>
    </i>
    <i>
      <x v="2"/>
    </i>
    <i r="1">
      <x v="4"/>
    </i>
    <i>
      <x v="3"/>
    </i>
    <i r="1">
      <x/>
    </i>
    <i r="1">
      <x v="2"/>
    </i>
    <i>
      <x v="4"/>
    </i>
    <i r="1">
      <x/>
    </i>
    <i>
      <x v="5"/>
    </i>
    <i r="1">
      <x v="4"/>
    </i>
    <i r="1">
      <x v="8"/>
    </i>
    <i>
      <x v="6"/>
    </i>
    <i r="1">
      <x v="5"/>
    </i>
    <i>
      <x v="7"/>
    </i>
    <i r="1">
      <x v="1"/>
    </i>
    <i>
      <x v="8"/>
    </i>
    <i r="1">
      <x/>
    </i>
    <i r="1">
      <x v="6"/>
    </i>
    <i r="1">
      <x v="8"/>
    </i>
    <i>
      <x v="9"/>
    </i>
    <i r="1">
      <x/>
    </i>
    <i>
      <x v="10"/>
    </i>
    <i r="1">
      <x/>
    </i>
    <i>
      <x v="11"/>
    </i>
    <i r="1">
      <x/>
    </i>
    <i>
      <x v="12"/>
    </i>
    <i r="1">
      <x v="7"/>
    </i>
    <i>
      <x v="13"/>
    </i>
    <i r="1">
      <x/>
    </i>
    <i>
      <x v="14"/>
    </i>
    <i r="1">
      <x/>
    </i>
    <i>
      <x v="15"/>
    </i>
    <i r="1">
      <x/>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5">
      <pivotArea outline="0" collapsedLevelsAreSubtotals="1" fieldPosition="0"/>
    </format>
    <format dxfId="4">
      <pivotArea dataOnly="0" labelOnly="1" fieldPosition="0">
        <references count="1">
          <reference field="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1D00-00001A000000}"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53" firstHeaderRow="0" firstDataRow="1" firstDataCol="1"/>
  <pivotFields count="38">
    <pivotField numFmtId="1" showAll="0"/>
    <pivotField showAll="0"/>
    <pivotField showAll="0"/>
    <pivotField showAll="0"/>
    <pivotField axis="axisRow" showAll="0">
      <items count="19">
        <item x="1"/>
        <item x="0"/>
        <item x="2"/>
        <item x="3"/>
        <item x="4"/>
        <item x="6"/>
        <item x="5"/>
        <item x="7"/>
        <item x="8"/>
        <item x="9"/>
        <item x="10"/>
        <item x="11"/>
        <item x="12"/>
        <item x="15"/>
        <item x="13"/>
        <item x="14"/>
        <item x="16"/>
        <item x="17"/>
        <item t="default"/>
      </items>
    </pivotField>
    <pivotField showAll="0"/>
    <pivotField showAll="0"/>
    <pivotField axis="axisRow" showAll="0">
      <items count="11">
        <item x="3"/>
        <item x="4"/>
        <item x="2"/>
        <item x="0"/>
        <item x="1"/>
        <item x="5"/>
        <item x="6"/>
        <item x="7"/>
        <item x="8"/>
        <item x="9"/>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7"/>
  </rowFields>
  <rowItems count="46">
    <i>
      <x/>
    </i>
    <i r="1">
      <x v="3"/>
    </i>
    <i>
      <x v="1"/>
    </i>
    <i r="1">
      <x/>
    </i>
    <i r="1">
      <x v="1"/>
    </i>
    <i r="1">
      <x v="3"/>
    </i>
    <i>
      <x v="2"/>
    </i>
    <i r="1">
      <x/>
    </i>
    <i r="1">
      <x v="4"/>
    </i>
    <i>
      <x v="3"/>
    </i>
    <i r="1">
      <x/>
    </i>
    <i r="1">
      <x v="2"/>
    </i>
    <i r="1">
      <x v="9"/>
    </i>
    <i>
      <x v="4"/>
    </i>
    <i r="1">
      <x/>
    </i>
    <i>
      <x v="5"/>
    </i>
    <i r="1">
      <x v="4"/>
    </i>
    <i r="1">
      <x v="8"/>
    </i>
    <i>
      <x v="6"/>
    </i>
    <i r="1">
      <x v="5"/>
    </i>
    <i>
      <x v="7"/>
    </i>
    <i r="1">
      <x v="1"/>
    </i>
    <i>
      <x v="8"/>
    </i>
    <i r="1">
      <x/>
    </i>
    <i r="1">
      <x v="6"/>
    </i>
    <i r="1">
      <x v="8"/>
    </i>
    <i>
      <x v="9"/>
    </i>
    <i r="1">
      <x/>
    </i>
    <i>
      <x v="10"/>
    </i>
    <i r="1">
      <x/>
    </i>
    <i>
      <x v="11"/>
    </i>
    <i r="1">
      <x/>
    </i>
    <i>
      <x v="12"/>
    </i>
    <i r="1">
      <x v="7"/>
    </i>
    <i>
      <x v="13"/>
    </i>
    <i r="1">
      <x/>
    </i>
    <i>
      <x v="14"/>
    </i>
    <i r="1">
      <x/>
    </i>
    <i>
      <x v="15"/>
    </i>
    <i r="1">
      <x/>
    </i>
    <i>
      <x v="16"/>
    </i>
    <i r="1">
      <x v="6"/>
    </i>
    <i r="1">
      <x v="7"/>
    </i>
    <i>
      <x v="17"/>
    </i>
    <i r="1">
      <x/>
    </i>
    <i t="grand">
      <x/>
    </i>
  </rowItems>
  <colFields count="1">
    <field x="-2"/>
  </colFields>
  <colItems count="2">
    <i>
      <x/>
    </i>
    <i i="1">
      <x v="1"/>
    </i>
  </colItems>
  <dataFields count="2">
    <dataField name="Sum of Functional Amount" fld="10" baseField="0" baseItem="0"/>
    <dataField name="Sum of Global Amount" fld="11" baseField="0" baseItem="0"/>
  </dataFields>
  <formats count="2">
    <format dxfId="3">
      <pivotArea outline="0" collapsedLevelsAreSubtotals="1" fieldPosition="0"/>
    </format>
    <format dxfId="2">
      <pivotArea dataOnly="0" labelOnly="1" fieldPosition="0">
        <references count="1">
          <reference field="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1E00-00001B000000}" name="PivotTable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58" firstHeaderRow="0" firstDataRow="1" firstDataCol="1"/>
  <pivotFields count="39">
    <pivotField numFmtId="1" showAll="0"/>
    <pivotField showAll="0"/>
    <pivotField showAll="0"/>
    <pivotField showAll="0"/>
    <pivotField showAll="0"/>
    <pivotField axis="axisRow" showAll="0">
      <items count="19">
        <item x="1"/>
        <item x="0"/>
        <item x="2"/>
        <item x="3"/>
        <item x="4"/>
        <item x="6"/>
        <item x="5"/>
        <item x="7"/>
        <item x="8"/>
        <item x="9"/>
        <item x="10"/>
        <item x="11"/>
        <item x="12"/>
        <item x="14"/>
        <item x="15"/>
        <item x="13"/>
        <item x="16"/>
        <item x="17"/>
        <item t="default"/>
      </items>
    </pivotField>
    <pivotField showAll="0"/>
    <pivotField showAll="0"/>
    <pivotField axis="axisRow" showAll="0">
      <items count="15">
        <item x="3"/>
        <item x="4"/>
        <item x="2"/>
        <item x="0"/>
        <item x="1"/>
        <item x="5"/>
        <item x="6"/>
        <item x="7"/>
        <item x="8"/>
        <item x="9"/>
        <item x="10"/>
        <item x="11"/>
        <item x="12"/>
        <item x="13"/>
        <item t="default"/>
      </items>
    </pivotField>
    <pivotField showAll="0"/>
    <pivotField numFmtId="43" showAll="0"/>
    <pivotField dataField="1"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8"/>
  </rowFields>
  <rowItems count="51">
    <i>
      <x/>
    </i>
    <i r="1">
      <x v="3"/>
    </i>
    <i>
      <x v="1"/>
    </i>
    <i r="1">
      <x v="1"/>
    </i>
    <i r="1">
      <x v="3"/>
    </i>
    <i r="1">
      <x v="5"/>
    </i>
    <i>
      <x v="2"/>
    </i>
    <i r="1">
      <x/>
    </i>
    <i r="1">
      <x v="4"/>
    </i>
    <i>
      <x v="3"/>
    </i>
    <i r="1">
      <x/>
    </i>
    <i r="1">
      <x v="2"/>
    </i>
    <i r="1">
      <x v="9"/>
    </i>
    <i r="1">
      <x v="10"/>
    </i>
    <i>
      <x v="4"/>
    </i>
    <i r="1">
      <x/>
    </i>
    <i>
      <x v="5"/>
    </i>
    <i r="1">
      <x v="4"/>
    </i>
    <i r="1">
      <x v="8"/>
    </i>
    <i>
      <x v="6"/>
    </i>
    <i r="1">
      <x v="4"/>
    </i>
    <i r="1">
      <x v="5"/>
    </i>
    <i r="1">
      <x v="6"/>
    </i>
    <i>
      <x v="7"/>
    </i>
    <i r="1">
      <x v="1"/>
    </i>
    <i r="1">
      <x v="11"/>
    </i>
    <i>
      <x v="8"/>
    </i>
    <i r="1">
      <x/>
    </i>
    <i r="1">
      <x v="1"/>
    </i>
    <i r="1">
      <x v="6"/>
    </i>
    <i r="1">
      <x v="8"/>
    </i>
    <i r="1">
      <x v="12"/>
    </i>
    <i>
      <x v="9"/>
    </i>
    <i r="1">
      <x/>
    </i>
    <i>
      <x v="10"/>
    </i>
    <i r="1">
      <x/>
    </i>
    <i>
      <x v="11"/>
    </i>
    <i r="1">
      <x/>
    </i>
    <i>
      <x v="12"/>
    </i>
    <i r="1">
      <x v="7"/>
    </i>
    <i>
      <x v="13"/>
    </i>
    <i r="1">
      <x/>
    </i>
    <i>
      <x v="14"/>
    </i>
    <i r="1">
      <x/>
    </i>
    <i>
      <x v="15"/>
    </i>
    <i r="1">
      <x v="7"/>
    </i>
    <i>
      <x v="16"/>
    </i>
    <i r="1">
      <x v="6"/>
    </i>
    <i>
      <x v="17"/>
    </i>
    <i r="1">
      <x v="13"/>
    </i>
    <i t="grand">
      <x/>
    </i>
  </rowItems>
  <colFields count="1">
    <field x="-2"/>
  </colFields>
  <colItems count="2">
    <i>
      <x/>
    </i>
    <i i="1">
      <x v="1"/>
    </i>
  </colItems>
  <dataFields count="2">
    <dataField name="Sum of Functional Amount" fld="11" baseField="0" baseItem="0"/>
    <dataField name="Sum of Global Amount" fld="12" baseField="0" baseItem="0"/>
  </dataFields>
  <formats count="2">
    <format dxfId="1">
      <pivotArea outline="0" collapsedLevelsAreSubtotals="1" fieldPosition="0"/>
    </format>
    <format dxfId="0">
      <pivotArea dataOnly="0" labelOnly="1" fieldPosition="0">
        <references count="1">
          <reference field="5"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B8575"/>
  <sheetViews>
    <sheetView workbookViewId="0">
      <pane ySplit="5" topLeftCell="A6" activePane="bottomLeft" state="frozen"/>
      <selection pane="bottomLeft" activeCell="B3" sqref="B3"/>
    </sheetView>
  </sheetViews>
  <sheetFormatPr defaultRowHeight="12.75" x14ac:dyDescent="0.2"/>
  <cols>
    <col min="1" max="1" width="21" bestFit="1" customWidth="1"/>
    <col min="2" max="2" width="10.140625" bestFit="1" customWidth="1"/>
  </cols>
  <sheetData>
    <row r="2" spans="1:2" x14ac:dyDescent="0.2">
      <c r="A2" s="6" t="s">
        <v>42</v>
      </c>
      <c r="B2" s="7">
        <f ca="1">TODAY()</f>
        <v>46251</v>
      </c>
    </row>
    <row r="4" spans="1:2" x14ac:dyDescent="0.2">
      <c r="A4" s="202" t="s">
        <v>43</v>
      </c>
      <c r="B4" s="200"/>
    </row>
    <row r="5" spans="1:2" x14ac:dyDescent="0.2">
      <c r="A5" s="8" t="s">
        <v>44</v>
      </c>
      <c r="B5" s="6" t="s">
        <v>45</v>
      </c>
    </row>
    <row r="6" spans="1:2" x14ac:dyDescent="0.2">
      <c r="A6">
        <v>0</v>
      </c>
      <c r="B6" s="85" t="s">
        <v>46</v>
      </c>
    </row>
    <row r="7" spans="1:2" x14ac:dyDescent="0.2">
      <c r="A7">
        <v>1</v>
      </c>
      <c r="B7" s="85" t="s">
        <v>46</v>
      </c>
    </row>
    <row r="8" spans="1:2" x14ac:dyDescent="0.2">
      <c r="A8">
        <v>2</v>
      </c>
      <c r="B8" s="85" t="s">
        <v>46</v>
      </c>
    </row>
    <row r="9" spans="1:2" x14ac:dyDescent="0.2">
      <c r="A9">
        <v>3</v>
      </c>
      <c r="B9" s="85" t="s">
        <v>46</v>
      </c>
    </row>
    <row r="10" spans="1:2" x14ac:dyDescent="0.2">
      <c r="A10">
        <v>4</v>
      </c>
      <c r="B10" s="85" t="s">
        <v>46</v>
      </c>
    </row>
    <row r="11" spans="1:2" x14ac:dyDescent="0.2">
      <c r="A11">
        <v>5</v>
      </c>
      <c r="B11" s="85" t="s">
        <v>46</v>
      </c>
    </row>
    <row r="12" spans="1:2" x14ac:dyDescent="0.2">
      <c r="A12">
        <v>6</v>
      </c>
      <c r="B12" s="85" t="s">
        <v>46</v>
      </c>
    </row>
    <row r="13" spans="1:2" x14ac:dyDescent="0.2">
      <c r="A13">
        <v>7</v>
      </c>
      <c r="B13" s="85" t="s">
        <v>46</v>
      </c>
    </row>
    <row r="14" spans="1:2" x14ac:dyDescent="0.2">
      <c r="A14">
        <v>8</v>
      </c>
      <c r="B14" s="85" t="s">
        <v>46</v>
      </c>
    </row>
    <row r="15" spans="1:2" x14ac:dyDescent="0.2">
      <c r="A15">
        <v>9</v>
      </c>
      <c r="B15" s="85" t="s">
        <v>46</v>
      </c>
    </row>
    <row r="16" spans="1:2" x14ac:dyDescent="0.2">
      <c r="A16">
        <v>10</v>
      </c>
      <c r="B16" s="85" t="s">
        <v>46</v>
      </c>
    </row>
    <row r="17" spans="1:2" x14ac:dyDescent="0.2">
      <c r="A17">
        <v>11</v>
      </c>
      <c r="B17" s="85" t="s">
        <v>46</v>
      </c>
    </row>
    <row r="18" spans="1:2" x14ac:dyDescent="0.2">
      <c r="A18">
        <v>12</v>
      </c>
      <c r="B18" s="85" t="s">
        <v>46</v>
      </c>
    </row>
    <row r="19" spans="1:2" x14ac:dyDescent="0.2">
      <c r="A19">
        <v>13</v>
      </c>
      <c r="B19" s="85" t="s">
        <v>46</v>
      </c>
    </row>
    <row r="20" spans="1:2" x14ac:dyDescent="0.2">
      <c r="A20">
        <v>14</v>
      </c>
      <c r="B20" s="85" t="s">
        <v>46</v>
      </c>
    </row>
    <row r="21" spans="1:2" x14ac:dyDescent="0.2">
      <c r="A21">
        <v>15</v>
      </c>
      <c r="B21" s="85" t="s">
        <v>46</v>
      </c>
    </row>
    <row r="22" spans="1:2" x14ac:dyDescent="0.2">
      <c r="A22">
        <v>16</v>
      </c>
      <c r="B22" s="85" t="s">
        <v>46</v>
      </c>
    </row>
    <row r="23" spans="1:2" x14ac:dyDescent="0.2">
      <c r="A23">
        <v>17</v>
      </c>
      <c r="B23" s="85" t="s">
        <v>46</v>
      </c>
    </row>
    <row r="24" spans="1:2" x14ac:dyDescent="0.2">
      <c r="A24">
        <v>18</v>
      </c>
      <c r="B24" s="85" t="s">
        <v>46</v>
      </c>
    </row>
    <row r="25" spans="1:2" x14ac:dyDescent="0.2">
      <c r="A25">
        <v>19</v>
      </c>
      <c r="B25" s="85" t="s">
        <v>46</v>
      </c>
    </row>
    <row r="26" spans="1:2" x14ac:dyDescent="0.2">
      <c r="A26">
        <v>20</v>
      </c>
      <c r="B26" s="85" t="s">
        <v>46</v>
      </c>
    </row>
    <row r="27" spans="1:2" x14ac:dyDescent="0.2">
      <c r="A27">
        <v>21</v>
      </c>
      <c r="B27" s="85" t="s">
        <v>46</v>
      </c>
    </row>
    <row r="28" spans="1:2" x14ac:dyDescent="0.2">
      <c r="A28">
        <v>22</v>
      </c>
      <c r="B28" s="85" t="s">
        <v>46</v>
      </c>
    </row>
    <row r="29" spans="1:2" x14ac:dyDescent="0.2">
      <c r="A29">
        <v>23</v>
      </c>
      <c r="B29" s="85" t="s">
        <v>46</v>
      </c>
    </row>
    <row r="30" spans="1:2" x14ac:dyDescent="0.2">
      <c r="A30">
        <v>24</v>
      </c>
      <c r="B30" s="85" t="s">
        <v>46</v>
      </c>
    </row>
    <row r="31" spans="1:2" x14ac:dyDescent="0.2">
      <c r="A31">
        <v>25</v>
      </c>
      <c r="B31" s="85" t="s">
        <v>46</v>
      </c>
    </row>
    <row r="32" spans="1:2" x14ac:dyDescent="0.2">
      <c r="A32">
        <v>26</v>
      </c>
      <c r="B32" s="85" t="s">
        <v>46</v>
      </c>
    </row>
    <row r="33" spans="1:2" x14ac:dyDescent="0.2">
      <c r="A33">
        <v>27</v>
      </c>
      <c r="B33" s="85" t="s">
        <v>46</v>
      </c>
    </row>
    <row r="34" spans="1:2" x14ac:dyDescent="0.2">
      <c r="A34">
        <v>28</v>
      </c>
      <c r="B34" s="85" t="s">
        <v>46</v>
      </c>
    </row>
    <row r="35" spans="1:2" x14ac:dyDescent="0.2">
      <c r="A35">
        <v>29</v>
      </c>
      <c r="B35" s="85" t="s">
        <v>46</v>
      </c>
    </row>
    <row r="36" spans="1:2" x14ac:dyDescent="0.2">
      <c r="A36">
        <v>30</v>
      </c>
      <c r="B36" s="85" t="s">
        <v>46</v>
      </c>
    </row>
    <row r="37" spans="1:2" x14ac:dyDescent="0.2">
      <c r="A37">
        <v>31</v>
      </c>
      <c r="B37" s="85" t="s">
        <v>47</v>
      </c>
    </row>
    <row r="38" spans="1:2" x14ac:dyDescent="0.2">
      <c r="A38">
        <v>32</v>
      </c>
      <c r="B38" s="85" t="s">
        <v>47</v>
      </c>
    </row>
    <row r="39" spans="1:2" x14ac:dyDescent="0.2">
      <c r="A39">
        <v>33</v>
      </c>
      <c r="B39" s="85" t="s">
        <v>47</v>
      </c>
    </row>
    <row r="40" spans="1:2" x14ac:dyDescent="0.2">
      <c r="A40">
        <v>34</v>
      </c>
      <c r="B40" s="85" t="s">
        <v>47</v>
      </c>
    </row>
    <row r="41" spans="1:2" x14ac:dyDescent="0.2">
      <c r="A41">
        <v>35</v>
      </c>
      <c r="B41" s="85" t="s">
        <v>47</v>
      </c>
    </row>
    <row r="42" spans="1:2" x14ac:dyDescent="0.2">
      <c r="A42">
        <v>36</v>
      </c>
      <c r="B42" s="85" t="s">
        <v>47</v>
      </c>
    </row>
    <row r="43" spans="1:2" x14ac:dyDescent="0.2">
      <c r="A43">
        <v>37</v>
      </c>
      <c r="B43" s="85" t="s">
        <v>47</v>
      </c>
    </row>
    <row r="44" spans="1:2" x14ac:dyDescent="0.2">
      <c r="A44">
        <v>38</v>
      </c>
      <c r="B44" s="85" t="s">
        <v>47</v>
      </c>
    </row>
    <row r="45" spans="1:2" x14ac:dyDescent="0.2">
      <c r="A45">
        <v>39</v>
      </c>
      <c r="B45" s="85" t="s">
        <v>47</v>
      </c>
    </row>
    <row r="46" spans="1:2" x14ac:dyDescent="0.2">
      <c r="A46">
        <v>40</v>
      </c>
      <c r="B46" s="85" t="s">
        <v>47</v>
      </c>
    </row>
    <row r="47" spans="1:2" x14ac:dyDescent="0.2">
      <c r="A47">
        <v>41</v>
      </c>
      <c r="B47" s="85" t="s">
        <v>47</v>
      </c>
    </row>
    <row r="48" spans="1:2" x14ac:dyDescent="0.2">
      <c r="A48">
        <v>42</v>
      </c>
      <c r="B48" s="85" t="s">
        <v>47</v>
      </c>
    </row>
    <row r="49" spans="1:2" x14ac:dyDescent="0.2">
      <c r="A49">
        <v>43</v>
      </c>
      <c r="B49" s="85" t="s">
        <v>47</v>
      </c>
    </row>
    <row r="50" spans="1:2" x14ac:dyDescent="0.2">
      <c r="A50">
        <v>44</v>
      </c>
      <c r="B50" s="85" t="s">
        <v>47</v>
      </c>
    </row>
    <row r="51" spans="1:2" x14ac:dyDescent="0.2">
      <c r="A51">
        <v>45</v>
      </c>
      <c r="B51" s="85" t="s">
        <v>47</v>
      </c>
    </row>
    <row r="52" spans="1:2" x14ac:dyDescent="0.2">
      <c r="A52">
        <v>46</v>
      </c>
      <c r="B52" s="85" t="s">
        <v>47</v>
      </c>
    </row>
    <row r="53" spans="1:2" x14ac:dyDescent="0.2">
      <c r="A53">
        <v>47</v>
      </c>
      <c r="B53" s="85" t="s">
        <v>47</v>
      </c>
    </row>
    <row r="54" spans="1:2" x14ac:dyDescent="0.2">
      <c r="A54">
        <v>48</v>
      </c>
      <c r="B54" s="85" t="s">
        <v>47</v>
      </c>
    </row>
    <row r="55" spans="1:2" x14ac:dyDescent="0.2">
      <c r="A55">
        <v>49</v>
      </c>
      <c r="B55" s="85" t="s">
        <v>47</v>
      </c>
    </row>
    <row r="56" spans="1:2" x14ac:dyDescent="0.2">
      <c r="A56">
        <v>50</v>
      </c>
      <c r="B56" s="85" t="s">
        <v>47</v>
      </c>
    </row>
    <row r="57" spans="1:2" x14ac:dyDescent="0.2">
      <c r="A57">
        <v>51</v>
      </c>
      <c r="B57" s="85" t="s">
        <v>47</v>
      </c>
    </row>
    <row r="58" spans="1:2" x14ac:dyDescent="0.2">
      <c r="A58">
        <v>52</v>
      </c>
      <c r="B58" s="85" t="s">
        <v>47</v>
      </c>
    </row>
    <row r="59" spans="1:2" x14ac:dyDescent="0.2">
      <c r="A59">
        <v>53</v>
      </c>
      <c r="B59" s="85" t="s">
        <v>47</v>
      </c>
    </row>
    <row r="60" spans="1:2" x14ac:dyDescent="0.2">
      <c r="A60">
        <v>54</v>
      </c>
      <c r="B60" s="85" t="s">
        <v>47</v>
      </c>
    </row>
    <row r="61" spans="1:2" x14ac:dyDescent="0.2">
      <c r="A61">
        <v>55</v>
      </c>
      <c r="B61" s="85" t="s">
        <v>47</v>
      </c>
    </row>
    <row r="62" spans="1:2" x14ac:dyDescent="0.2">
      <c r="A62">
        <v>56</v>
      </c>
      <c r="B62" s="85" t="s">
        <v>47</v>
      </c>
    </row>
    <row r="63" spans="1:2" x14ac:dyDescent="0.2">
      <c r="A63">
        <v>57</v>
      </c>
      <c r="B63" s="85" t="s">
        <v>47</v>
      </c>
    </row>
    <row r="64" spans="1:2" x14ac:dyDescent="0.2">
      <c r="A64">
        <v>58</v>
      </c>
      <c r="B64" s="85" t="s">
        <v>47</v>
      </c>
    </row>
    <row r="65" spans="1:2" x14ac:dyDescent="0.2">
      <c r="A65">
        <v>59</v>
      </c>
      <c r="B65" s="85" t="s">
        <v>47</v>
      </c>
    </row>
    <row r="66" spans="1:2" x14ac:dyDescent="0.2">
      <c r="A66">
        <v>60</v>
      </c>
      <c r="B66" s="85" t="s">
        <v>47</v>
      </c>
    </row>
    <row r="67" spans="1:2" x14ac:dyDescent="0.2">
      <c r="A67">
        <v>61</v>
      </c>
      <c r="B67" s="85" t="s">
        <v>48</v>
      </c>
    </row>
    <row r="68" spans="1:2" x14ac:dyDescent="0.2">
      <c r="A68">
        <v>62</v>
      </c>
      <c r="B68" s="85" t="s">
        <v>48</v>
      </c>
    </row>
    <row r="69" spans="1:2" x14ac:dyDescent="0.2">
      <c r="A69">
        <v>63</v>
      </c>
      <c r="B69" s="85" t="s">
        <v>48</v>
      </c>
    </row>
    <row r="70" spans="1:2" x14ac:dyDescent="0.2">
      <c r="A70">
        <v>64</v>
      </c>
      <c r="B70" s="85" t="s">
        <v>48</v>
      </c>
    </row>
    <row r="71" spans="1:2" x14ac:dyDescent="0.2">
      <c r="A71">
        <v>65</v>
      </c>
      <c r="B71" s="85" t="s">
        <v>48</v>
      </c>
    </row>
    <row r="72" spans="1:2" x14ac:dyDescent="0.2">
      <c r="A72">
        <v>66</v>
      </c>
      <c r="B72" s="85" t="s">
        <v>48</v>
      </c>
    </row>
    <row r="73" spans="1:2" x14ac:dyDescent="0.2">
      <c r="A73">
        <v>67</v>
      </c>
      <c r="B73" s="85" t="s">
        <v>48</v>
      </c>
    </row>
    <row r="74" spans="1:2" x14ac:dyDescent="0.2">
      <c r="A74">
        <v>68</v>
      </c>
      <c r="B74" s="85" t="s">
        <v>48</v>
      </c>
    </row>
    <row r="75" spans="1:2" x14ac:dyDescent="0.2">
      <c r="A75">
        <v>69</v>
      </c>
      <c r="B75" s="85" t="s">
        <v>48</v>
      </c>
    </row>
    <row r="76" spans="1:2" x14ac:dyDescent="0.2">
      <c r="A76">
        <v>70</v>
      </c>
      <c r="B76" s="85" t="s">
        <v>48</v>
      </c>
    </row>
    <row r="77" spans="1:2" x14ac:dyDescent="0.2">
      <c r="A77">
        <v>71</v>
      </c>
      <c r="B77" s="85" t="s">
        <v>48</v>
      </c>
    </row>
    <row r="78" spans="1:2" x14ac:dyDescent="0.2">
      <c r="A78">
        <v>72</v>
      </c>
      <c r="B78" s="85" t="s">
        <v>48</v>
      </c>
    </row>
    <row r="79" spans="1:2" x14ac:dyDescent="0.2">
      <c r="A79">
        <v>73</v>
      </c>
      <c r="B79" s="85" t="s">
        <v>48</v>
      </c>
    </row>
    <row r="80" spans="1:2" x14ac:dyDescent="0.2">
      <c r="A80">
        <v>74</v>
      </c>
      <c r="B80" s="85" t="s">
        <v>48</v>
      </c>
    </row>
    <row r="81" spans="1:2" x14ac:dyDescent="0.2">
      <c r="A81">
        <v>75</v>
      </c>
      <c r="B81" s="85" t="s">
        <v>48</v>
      </c>
    </row>
    <row r="82" spans="1:2" x14ac:dyDescent="0.2">
      <c r="A82">
        <v>76</v>
      </c>
      <c r="B82" s="85" t="s">
        <v>48</v>
      </c>
    </row>
    <row r="83" spans="1:2" x14ac:dyDescent="0.2">
      <c r="A83">
        <v>77</v>
      </c>
      <c r="B83" s="85" t="s">
        <v>48</v>
      </c>
    </row>
    <row r="84" spans="1:2" x14ac:dyDescent="0.2">
      <c r="A84">
        <v>78</v>
      </c>
      <c r="B84" s="85" t="s">
        <v>48</v>
      </c>
    </row>
    <row r="85" spans="1:2" x14ac:dyDescent="0.2">
      <c r="A85">
        <v>79</v>
      </c>
      <c r="B85" s="85" t="s">
        <v>48</v>
      </c>
    </row>
    <row r="86" spans="1:2" x14ac:dyDescent="0.2">
      <c r="A86">
        <v>80</v>
      </c>
      <c r="B86" s="85" t="s">
        <v>48</v>
      </c>
    </row>
    <row r="87" spans="1:2" x14ac:dyDescent="0.2">
      <c r="A87">
        <v>81</v>
      </c>
      <c r="B87" s="85" t="s">
        <v>48</v>
      </c>
    </row>
    <row r="88" spans="1:2" x14ac:dyDescent="0.2">
      <c r="A88">
        <v>82</v>
      </c>
      <c r="B88" s="85" t="s">
        <v>48</v>
      </c>
    </row>
    <row r="89" spans="1:2" x14ac:dyDescent="0.2">
      <c r="A89">
        <v>83</v>
      </c>
      <c r="B89" s="85" t="s">
        <v>48</v>
      </c>
    </row>
    <row r="90" spans="1:2" x14ac:dyDescent="0.2">
      <c r="A90">
        <v>84</v>
      </c>
      <c r="B90" s="85" t="s">
        <v>48</v>
      </c>
    </row>
    <row r="91" spans="1:2" x14ac:dyDescent="0.2">
      <c r="A91">
        <v>85</v>
      </c>
      <c r="B91" s="85" t="s">
        <v>48</v>
      </c>
    </row>
    <row r="92" spans="1:2" x14ac:dyDescent="0.2">
      <c r="A92">
        <v>86</v>
      </c>
      <c r="B92" s="85" t="s">
        <v>48</v>
      </c>
    </row>
    <row r="93" spans="1:2" x14ac:dyDescent="0.2">
      <c r="A93">
        <v>87</v>
      </c>
      <c r="B93" s="85" t="s">
        <v>48</v>
      </c>
    </row>
    <row r="94" spans="1:2" x14ac:dyDescent="0.2">
      <c r="A94">
        <v>88</v>
      </c>
      <c r="B94" s="85" t="s">
        <v>48</v>
      </c>
    </row>
    <row r="95" spans="1:2" x14ac:dyDescent="0.2">
      <c r="A95">
        <v>89</v>
      </c>
      <c r="B95" s="85" t="s">
        <v>48</v>
      </c>
    </row>
    <row r="96" spans="1:2" x14ac:dyDescent="0.2">
      <c r="A96">
        <v>90</v>
      </c>
      <c r="B96" s="85" t="s">
        <v>48</v>
      </c>
    </row>
    <row r="97" spans="1:2" x14ac:dyDescent="0.2">
      <c r="A97">
        <v>91</v>
      </c>
      <c r="B97" s="85" t="s">
        <v>49</v>
      </c>
    </row>
    <row r="98" spans="1:2" x14ac:dyDescent="0.2">
      <c r="A98">
        <v>92</v>
      </c>
      <c r="B98" s="85" t="s">
        <v>49</v>
      </c>
    </row>
    <row r="99" spans="1:2" x14ac:dyDescent="0.2">
      <c r="A99">
        <v>93</v>
      </c>
      <c r="B99" s="85" t="s">
        <v>49</v>
      </c>
    </row>
    <row r="100" spans="1:2" x14ac:dyDescent="0.2">
      <c r="A100">
        <v>94</v>
      </c>
      <c r="B100" s="85" t="s">
        <v>49</v>
      </c>
    </row>
    <row r="101" spans="1:2" x14ac:dyDescent="0.2">
      <c r="A101">
        <v>95</v>
      </c>
      <c r="B101" s="85" t="s">
        <v>49</v>
      </c>
    </row>
    <row r="102" spans="1:2" x14ac:dyDescent="0.2">
      <c r="A102">
        <v>96</v>
      </c>
      <c r="B102" s="85" t="s">
        <v>49</v>
      </c>
    </row>
    <row r="103" spans="1:2" x14ac:dyDescent="0.2">
      <c r="A103">
        <v>97</v>
      </c>
      <c r="B103" s="85" t="s">
        <v>49</v>
      </c>
    </row>
    <row r="104" spans="1:2" x14ac:dyDescent="0.2">
      <c r="A104">
        <v>98</v>
      </c>
      <c r="B104" s="85" t="s">
        <v>49</v>
      </c>
    </row>
    <row r="105" spans="1:2" x14ac:dyDescent="0.2">
      <c r="A105">
        <v>99</v>
      </c>
      <c r="B105" s="85" t="s">
        <v>49</v>
      </c>
    </row>
    <row r="106" spans="1:2" x14ac:dyDescent="0.2">
      <c r="A106">
        <v>100</v>
      </c>
      <c r="B106" s="85" t="s">
        <v>49</v>
      </c>
    </row>
    <row r="107" spans="1:2" x14ac:dyDescent="0.2">
      <c r="A107">
        <v>101</v>
      </c>
      <c r="B107" s="85" t="s">
        <v>49</v>
      </c>
    </row>
    <row r="108" spans="1:2" x14ac:dyDescent="0.2">
      <c r="A108">
        <v>102</v>
      </c>
      <c r="B108" s="85" t="s">
        <v>49</v>
      </c>
    </row>
    <row r="109" spans="1:2" x14ac:dyDescent="0.2">
      <c r="A109">
        <v>103</v>
      </c>
      <c r="B109" s="85" t="s">
        <v>49</v>
      </c>
    </row>
    <row r="110" spans="1:2" x14ac:dyDescent="0.2">
      <c r="A110">
        <v>104</v>
      </c>
      <c r="B110" s="85" t="s">
        <v>49</v>
      </c>
    </row>
    <row r="111" spans="1:2" x14ac:dyDescent="0.2">
      <c r="A111">
        <v>105</v>
      </c>
      <c r="B111" s="85" t="s">
        <v>49</v>
      </c>
    </row>
    <row r="112" spans="1:2" x14ac:dyDescent="0.2">
      <c r="A112">
        <v>106</v>
      </c>
      <c r="B112" s="85" t="s">
        <v>49</v>
      </c>
    </row>
    <row r="113" spans="1:2" x14ac:dyDescent="0.2">
      <c r="A113">
        <v>107</v>
      </c>
      <c r="B113" s="85" t="s">
        <v>49</v>
      </c>
    </row>
    <row r="114" spans="1:2" x14ac:dyDescent="0.2">
      <c r="A114">
        <v>108</v>
      </c>
      <c r="B114" s="85" t="s">
        <v>49</v>
      </c>
    </row>
    <row r="115" spans="1:2" x14ac:dyDescent="0.2">
      <c r="A115">
        <v>109</v>
      </c>
      <c r="B115" s="85" t="s">
        <v>49</v>
      </c>
    </row>
    <row r="116" spans="1:2" x14ac:dyDescent="0.2">
      <c r="A116">
        <v>110</v>
      </c>
      <c r="B116" s="85" t="s">
        <v>49</v>
      </c>
    </row>
    <row r="117" spans="1:2" x14ac:dyDescent="0.2">
      <c r="A117">
        <v>111</v>
      </c>
      <c r="B117" s="85" t="s">
        <v>49</v>
      </c>
    </row>
    <row r="118" spans="1:2" x14ac:dyDescent="0.2">
      <c r="A118">
        <v>112</v>
      </c>
      <c r="B118" s="85" t="s">
        <v>49</v>
      </c>
    </row>
    <row r="119" spans="1:2" x14ac:dyDescent="0.2">
      <c r="A119">
        <v>113</v>
      </c>
      <c r="B119" s="85" t="s">
        <v>49</v>
      </c>
    </row>
    <row r="120" spans="1:2" x14ac:dyDescent="0.2">
      <c r="A120">
        <v>114</v>
      </c>
      <c r="B120" s="85" t="s">
        <v>49</v>
      </c>
    </row>
    <row r="121" spans="1:2" x14ac:dyDescent="0.2">
      <c r="A121">
        <v>115</v>
      </c>
      <c r="B121" s="85" t="s">
        <v>49</v>
      </c>
    </row>
    <row r="122" spans="1:2" x14ac:dyDescent="0.2">
      <c r="A122">
        <v>116</v>
      </c>
      <c r="B122" s="85" t="s">
        <v>49</v>
      </c>
    </row>
    <row r="123" spans="1:2" x14ac:dyDescent="0.2">
      <c r="A123">
        <v>117</v>
      </c>
      <c r="B123" s="85" t="s">
        <v>49</v>
      </c>
    </row>
    <row r="124" spans="1:2" x14ac:dyDescent="0.2">
      <c r="A124">
        <v>118</v>
      </c>
      <c r="B124" s="85" t="s">
        <v>49</v>
      </c>
    </row>
    <row r="125" spans="1:2" x14ac:dyDescent="0.2">
      <c r="A125">
        <v>119</v>
      </c>
      <c r="B125" s="85" t="s">
        <v>49</v>
      </c>
    </row>
    <row r="126" spans="1:2" x14ac:dyDescent="0.2">
      <c r="A126">
        <v>120</v>
      </c>
      <c r="B126" s="85" t="s">
        <v>49</v>
      </c>
    </row>
    <row r="127" spans="1:2" x14ac:dyDescent="0.2">
      <c r="A127">
        <v>121</v>
      </c>
      <c r="B127" s="85" t="s">
        <v>50</v>
      </c>
    </row>
    <row r="128" spans="1:2" x14ac:dyDescent="0.2">
      <c r="A128">
        <v>122</v>
      </c>
      <c r="B128" s="85" t="s">
        <v>50</v>
      </c>
    </row>
    <row r="129" spans="1:2" x14ac:dyDescent="0.2">
      <c r="A129">
        <v>123</v>
      </c>
      <c r="B129" s="85" t="s">
        <v>50</v>
      </c>
    </row>
    <row r="130" spans="1:2" x14ac:dyDescent="0.2">
      <c r="A130">
        <v>124</v>
      </c>
      <c r="B130" s="85" t="s">
        <v>50</v>
      </c>
    </row>
    <row r="131" spans="1:2" x14ac:dyDescent="0.2">
      <c r="A131">
        <v>125</v>
      </c>
      <c r="B131" s="85" t="s">
        <v>50</v>
      </c>
    </row>
    <row r="132" spans="1:2" x14ac:dyDescent="0.2">
      <c r="A132">
        <v>126</v>
      </c>
      <c r="B132" s="85" t="s">
        <v>50</v>
      </c>
    </row>
    <row r="133" spans="1:2" x14ac:dyDescent="0.2">
      <c r="A133">
        <v>127</v>
      </c>
      <c r="B133" s="85" t="s">
        <v>50</v>
      </c>
    </row>
    <row r="134" spans="1:2" x14ac:dyDescent="0.2">
      <c r="A134">
        <v>128</v>
      </c>
      <c r="B134" s="85" t="s">
        <v>50</v>
      </c>
    </row>
    <row r="135" spans="1:2" x14ac:dyDescent="0.2">
      <c r="A135">
        <v>129</v>
      </c>
      <c r="B135" s="85" t="s">
        <v>50</v>
      </c>
    </row>
    <row r="136" spans="1:2" x14ac:dyDescent="0.2">
      <c r="A136">
        <v>130</v>
      </c>
      <c r="B136" s="85" t="s">
        <v>50</v>
      </c>
    </row>
    <row r="137" spans="1:2" x14ac:dyDescent="0.2">
      <c r="A137">
        <v>131</v>
      </c>
      <c r="B137" s="85" t="s">
        <v>50</v>
      </c>
    </row>
    <row r="138" spans="1:2" x14ac:dyDescent="0.2">
      <c r="A138">
        <v>132</v>
      </c>
      <c r="B138" s="85" t="s">
        <v>50</v>
      </c>
    </row>
    <row r="139" spans="1:2" x14ac:dyDescent="0.2">
      <c r="A139">
        <v>133</v>
      </c>
      <c r="B139" s="85" t="s">
        <v>50</v>
      </c>
    </row>
    <row r="140" spans="1:2" x14ac:dyDescent="0.2">
      <c r="A140">
        <v>134</v>
      </c>
      <c r="B140" s="85" t="s">
        <v>50</v>
      </c>
    </row>
    <row r="141" spans="1:2" x14ac:dyDescent="0.2">
      <c r="A141">
        <v>135</v>
      </c>
      <c r="B141" s="85" t="s">
        <v>50</v>
      </c>
    </row>
    <row r="142" spans="1:2" x14ac:dyDescent="0.2">
      <c r="A142">
        <v>136</v>
      </c>
      <c r="B142" s="85" t="s">
        <v>50</v>
      </c>
    </row>
    <row r="143" spans="1:2" x14ac:dyDescent="0.2">
      <c r="A143">
        <v>137</v>
      </c>
      <c r="B143" s="85" t="s">
        <v>50</v>
      </c>
    </row>
    <row r="144" spans="1:2" x14ac:dyDescent="0.2">
      <c r="A144">
        <v>138</v>
      </c>
      <c r="B144" s="85" t="s">
        <v>50</v>
      </c>
    </row>
    <row r="145" spans="1:2" x14ac:dyDescent="0.2">
      <c r="A145">
        <v>139</v>
      </c>
      <c r="B145" s="85" t="s">
        <v>50</v>
      </c>
    </row>
    <row r="146" spans="1:2" x14ac:dyDescent="0.2">
      <c r="A146">
        <v>140</v>
      </c>
      <c r="B146" s="85" t="s">
        <v>50</v>
      </c>
    </row>
    <row r="147" spans="1:2" x14ac:dyDescent="0.2">
      <c r="A147">
        <v>141</v>
      </c>
      <c r="B147" s="85" t="s">
        <v>50</v>
      </c>
    </row>
    <row r="148" spans="1:2" x14ac:dyDescent="0.2">
      <c r="A148">
        <v>142</v>
      </c>
      <c r="B148" s="85" t="s">
        <v>50</v>
      </c>
    </row>
    <row r="149" spans="1:2" x14ac:dyDescent="0.2">
      <c r="A149">
        <v>143</v>
      </c>
      <c r="B149" s="85" t="s">
        <v>50</v>
      </c>
    </row>
    <row r="150" spans="1:2" x14ac:dyDescent="0.2">
      <c r="A150">
        <v>144</v>
      </c>
      <c r="B150" s="85" t="s">
        <v>50</v>
      </c>
    </row>
    <row r="151" spans="1:2" x14ac:dyDescent="0.2">
      <c r="A151">
        <v>145</v>
      </c>
      <c r="B151" s="85" t="s">
        <v>50</v>
      </c>
    </row>
    <row r="152" spans="1:2" x14ac:dyDescent="0.2">
      <c r="A152">
        <v>146</v>
      </c>
      <c r="B152" s="85" t="s">
        <v>50</v>
      </c>
    </row>
    <row r="153" spans="1:2" x14ac:dyDescent="0.2">
      <c r="A153">
        <v>147</v>
      </c>
      <c r="B153" s="85" t="s">
        <v>50</v>
      </c>
    </row>
    <row r="154" spans="1:2" x14ac:dyDescent="0.2">
      <c r="A154">
        <v>148</v>
      </c>
      <c r="B154" s="85" t="s">
        <v>50</v>
      </c>
    </row>
    <row r="155" spans="1:2" x14ac:dyDescent="0.2">
      <c r="A155">
        <v>149</v>
      </c>
      <c r="B155" s="85" t="s">
        <v>50</v>
      </c>
    </row>
    <row r="156" spans="1:2" x14ac:dyDescent="0.2">
      <c r="A156">
        <v>150</v>
      </c>
      <c r="B156" s="85" t="s">
        <v>50</v>
      </c>
    </row>
    <row r="157" spans="1:2" x14ac:dyDescent="0.2">
      <c r="A157">
        <v>151</v>
      </c>
      <c r="B157" s="85" t="s">
        <v>51</v>
      </c>
    </row>
    <row r="158" spans="1:2" x14ac:dyDescent="0.2">
      <c r="A158">
        <v>152</v>
      </c>
      <c r="B158" s="85" t="s">
        <v>51</v>
      </c>
    </row>
    <row r="159" spans="1:2" x14ac:dyDescent="0.2">
      <c r="A159">
        <v>153</v>
      </c>
      <c r="B159" s="85" t="s">
        <v>51</v>
      </c>
    </row>
    <row r="160" spans="1:2" x14ac:dyDescent="0.2">
      <c r="A160">
        <v>154</v>
      </c>
      <c r="B160" s="85" t="s">
        <v>51</v>
      </c>
    </row>
    <row r="161" spans="1:2" x14ac:dyDescent="0.2">
      <c r="A161">
        <v>155</v>
      </c>
      <c r="B161" s="85" t="s">
        <v>51</v>
      </c>
    </row>
    <row r="162" spans="1:2" x14ac:dyDescent="0.2">
      <c r="A162">
        <v>156</v>
      </c>
      <c r="B162" s="85" t="s">
        <v>51</v>
      </c>
    </row>
    <row r="163" spans="1:2" x14ac:dyDescent="0.2">
      <c r="A163">
        <v>157</v>
      </c>
      <c r="B163" s="85" t="s">
        <v>51</v>
      </c>
    </row>
    <row r="164" spans="1:2" x14ac:dyDescent="0.2">
      <c r="A164">
        <v>158</v>
      </c>
      <c r="B164" s="85" t="s">
        <v>51</v>
      </c>
    </row>
    <row r="165" spans="1:2" x14ac:dyDescent="0.2">
      <c r="A165">
        <v>159</v>
      </c>
      <c r="B165" s="85" t="s">
        <v>51</v>
      </c>
    </row>
    <row r="166" spans="1:2" x14ac:dyDescent="0.2">
      <c r="A166">
        <v>160</v>
      </c>
      <c r="B166" s="85" t="s">
        <v>51</v>
      </c>
    </row>
    <row r="167" spans="1:2" x14ac:dyDescent="0.2">
      <c r="A167">
        <v>161</v>
      </c>
      <c r="B167" s="85" t="s">
        <v>51</v>
      </c>
    </row>
    <row r="168" spans="1:2" x14ac:dyDescent="0.2">
      <c r="A168">
        <v>162</v>
      </c>
      <c r="B168" s="85" t="s">
        <v>51</v>
      </c>
    </row>
    <row r="169" spans="1:2" x14ac:dyDescent="0.2">
      <c r="A169">
        <v>163</v>
      </c>
      <c r="B169" s="85" t="s">
        <v>51</v>
      </c>
    </row>
    <row r="170" spans="1:2" x14ac:dyDescent="0.2">
      <c r="A170">
        <v>164</v>
      </c>
      <c r="B170" s="85" t="s">
        <v>51</v>
      </c>
    </row>
    <row r="171" spans="1:2" x14ac:dyDescent="0.2">
      <c r="A171">
        <v>165</v>
      </c>
      <c r="B171" s="85" t="s">
        <v>51</v>
      </c>
    </row>
    <row r="172" spans="1:2" x14ac:dyDescent="0.2">
      <c r="A172">
        <v>166</v>
      </c>
      <c r="B172" s="85" t="s">
        <v>51</v>
      </c>
    </row>
    <row r="173" spans="1:2" x14ac:dyDescent="0.2">
      <c r="A173">
        <v>167</v>
      </c>
      <c r="B173" s="85" t="s">
        <v>51</v>
      </c>
    </row>
    <row r="174" spans="1:2" x14ac:dyDescent="0.2">
      <c r="A174">
        <v>168</v>
      </c>
      <c r="B174" s="85" t="s">
        <v>51</v>
      </c>
    </row>
    <row r="175" spans="1:2" x14ac:dyDescent="0.2">
      <c r="A175">
        <v>169</v>
      </c>
      <c r="B175" s="85" t="s">
        <v>51</v>
      </c>
    </row>
    <row r="176" spans="1:2" x14ac:dyDescent="0.2">
      <c r="A176">
        <v>170</v>
      </c>
      <c r="B176" s="85" t="s">
        <v>51</v>
      </c>
    </row>
    <row r="177" spans="1:2" x14ac:dyDescent="0.2">
      <c r="A177">
        <v>171</v>
      </c>
      <c r="B177" s="85" t="s">
        <v>51</v>
      </c>
    </row>
    <row r="178" spans="1:2" x14ac:dyDescent="0.2">
      <c r="A178">
        <v>172</v>
      </c>
      <c r="B178" s="85" t="s">
        <v>51</v>
      </c>
    </row>
    <row r="179" spans="1:2" x14ac:dyDescent="0.2">
      <c r="A179">
        <v>173</v>
      </c>
      <c r="B179" s="85" t="s">
        <v>51</v>
      </c>
    </row>
    <row r="180" spans="1:2" x14ac:dyDescent="0.2">
      <c r="A180">
        <v>174</v>
      </c>
      <c r="B180" s="85" t="s">
        <v>51</v>
      </c>
    </row>
    <row r="181" spans="1:2" x14ac:dyDescent="0.2">
      <c r="A181">
        <v>175</v>
      </c>
      <c r="B181" s="85" t="s">
        <v>51</v>
      </c>
    </row>
    <row r="182" spans="1:2" x14ac:dyDescent="0.2">
      <c r="A182">
        <v>176</v>
      </c>
      <c r="B182" s="85" t="s">
        <v>51</v>
      </c>
    </row>
    <row r="183" spans="1:2" x14ac:dyDescent="0.2">
      <c r="A183">
        <v>177</v>
      </c>
      <c r="B183" s="85" t="s">
        <v>51</v>
      </c>
    </row>
    <row r="184" spans="1:2" x14ac:dyDescent="0.2">
      <c r="A184">
        <v>178</v>
      </c>
      <c r="B184" s="85" t="s">
        <v>51</v>
      </c>
    </row>
    <row r="185" spans="1:2" x14ac:dyDescent="0.2">
      <c r="A185">
        <v>179</v>
      </c>
      <c r="B185" s="85" t="s">
        <v>51</v>
      </c>
    </row>
    <row r="186" spans="1:2" x14ac:dyDescent="0.2">
      <c r="A186">
        <v>180</v>
      </c>
      <c r="B186" s="85" t="s">
        <v>51</v>
      </c>
    </row>
    <row r="187" spans="1:2" x14ac:dyDescent="0.2">
      <c r="A187">
        <v>181</v>
      </c>
      <c r="B187" s="85" t="s">
        <v>51</v>
      </c>
    </row>
    <row r="188" spans="1:2" x14ac:dyDescent="0.2">
      <c r="A188">
        <v>182</v>
      </c>
      <c r="B188" s="85" t="s">
        <v>51</v>
      </c>
    </row>
    <row r="189" spans="1:2" x14ac:dyDescent="0.2">
      <c r="A189">
        <v>183</v>
      </c>
      <c r="B189" s="85" t="s">
        <v>51</v>
      </c>
    </row>
    <row r="190" spans="1:2" x14ac:dyDescent="0.2">
      <c r="A190">
        <v>184</v>
      </c>
      <c r="B190" s="85" t="s">
        <v>51</v>
      </c>
    </row>
    <row r="191" spans="1:2" x14ac:dyDescent="0.2">
      <c r="A191">
        <v>185</v>
      </c>
      <c r="B191" s="85" t="s">
        <v>51</v>
      </c>
    </row>
    <row r="192" spans="1:2" x14ac:dyDescent="0.2">
      <c r="A192">
        <v>186</v>
      </c>
      <c r="B192" s="85" t="s">
        <v>51</v>
      </c>
    </row>
    <row r="193" spans="1:2" x14ac:dyDescent="0.2">
      <c r="A193">
        <v>187</v>
      </c>
      <c r="B193" s="85" t="s">
        <v>51</v>
      </c>
    </row>
    <row r="194" spans="1:2" x14ac:dyDescent="0.2">
      <c r="A194">
        <v>188</v>
      </c>
      <c r="B194" s="85" t="s">
        <v>51</v>
      </c>
    </row>
    <row r="195" spans="1:2" x14ac:dyDescent="0.2">
      <c r="A195">
        <v>189</v>
      </c>
      <c r="B195" s="85" t="s">
        <v>51</v>
      </c>
    </row>
    <row r="196" spans="1:2" x14ac:dyDescent="0.2">
      <c r="A196">
        <v>190</v>
      </c>
      <c r="B196" s="85" t="s">
        <v>51</v>
      </c>
    </row>
    <row r="197" spans="1:2" x14ac:dyDescent="0.2">
      <c r="A197">
        <v>191</v>
      </c>
      <c r="B197" s="85" t="s">
        <v>51</v>
      </c>
    </row>
    <row r="198" spans="1:2" x14ac:dyDescent="0.2">
      <c r="A198">
        <v>192</v>
      </c>
      <c r="B198" s="85" t="s">
        <v>51</v>
      </c>
    </row>
    <row r="199" spans="1:2" x14ac:dyDescent="0.2">
      <c r="A199">
        <v>193</v>
      </c>
      <c r="B199" s="85" t="s">
        <v>51</v>
      </c>
    </row>
    <row r="200" spans="1:2" x14ac:dyDescent="0.2">
      <c r="A200">
        <v>194</v>
      </c>
      <c r="B200" s="85" t="s">
        <v>51</v>
      </c>
    </row>
    <row r="201" spans="1:2" x14ac:dyDescent="0.2">
      <c r="A201">
        <v>195</v>
      </c>
      <c r="B201" s="85" t="s">
        <v>51</v>
      </c>
    </row>
    <row r="202" spans="1:2" x14ac:dyDescent="0.2">
      <c r="A202">
        <v>196</v>
      </c>
      <c r="B202" s="85" t="s">
        <v>51</v>
      </c>
    </row>
    <row r="203" spans="1:2" x14ac:dyDescent="0.2">
      <c r="A203">
        <v>197</v>
      </c>
      <c r="B203" s="85" t="s">
        <v>51</v>
      </c>
    </row>
    <row r="204" spans="1:2" x14ac:dyDescent="0.2">
      <c r="A204">
        <v>198</v>
      </c>
      <c r="B204" s="85" t="s">
        <v>51</v>
      </c>
    </row>
    <row r="205" spans="1:2" x14ac:dyDescent="0.2">
      <c r="A205">
        <v>199</v>
      </c>
      <c r="B205" s="85" t="s">
        <v>51</v>
      </c>
    </row>
    <row r="206" spans="1:2" x14ac:dyDescent="0.2">
      <c r="A206">
        <v>200</v>
      </c>
      <c r="B206" s="85" t="s">
        <v>51</v>
      </c>
    </row>
    <row r="207" spans="1:2" x14ac:dyDescent="0.2">
      <c r="A207">
        <v>201</v>
      </c>
      <c r="B207" s="85" t="s">
        <v>51</v>
      </c>
    </row>
    <row r="208" spans="1:2" x14ac:dyDescent="0.2">
      <c r="A208">
        <v>202</v>
      </c>
      <c r="B208" s="85" t="s">
        <v>51</v>
      </c>
    </row>
    <row r="209" spans="1:2" x14ac:dyDescent="0.2">
      <c r="A209">
        <v>203</v>
      </c>
      <c r="B209" s="85" t="s">
        <v>51</v>
      </c>
    </row>
    <row r="210" spans="1:2" x14ac:dyDescent="0.2">
      <c r="A210">
        <v>204</v>
      </c>
      <c r="B210" s="85" t="s">
        <v>51</v>
      </c>
    </row>
    <row r="211" spans="1:2" x14ac:dyDescent="0.2">
      <c r="A211">
        <v>205</v>
      </c>
      <c r="B211" s="85" t="s">
        <v>51</v>
      </c>
    </row>
    <row r="212" spans="1:2" x14ac:dyDescent="0.2">
      <c r="A212">
        <v>206</v>
      </c>
      <c r="B212" s="85" t="s">
        <v>51</v>
      </c>
    </row>
    <row r="213" spans="1:2" x14ac:dyDescent="0.2">
      <c r="A213">
        <v>207</v>
      </c>
      <c r="B213" s="85" t="s">
        <v>51</v>
      </c>
    </row>
    <row r="214" spans="1:2" x14ac:dyDescent="0.2">
      <c r="A214">
        <v>208</v>
      </c>
      <c r="B214" s="85" t="s">
        <v>51</v>
      </c>
    </row>
    <row r="215" spans="1:2" x14ac:dyDescent="0.2">
      <c r="A215">
        <v>209</v>
      </c>
      <c r="B215" s="85" t="s">
        <v>51</v>
      </c>
    </row>
    <row r="216" spans="1:2" x14ac:dyDescent="0.2">
      <c r="A216">
        <v>210</v>
      </c>
      <c r="B216" s="85" t="s">
        <v>51</v>
      </c>
    </row>
    <row r="217" spans="1:2" x14ac:dyDescent="0.2">
      <c r="A217">
        <v>211</v>
      </c>
      <c r="B217" s="85" t="s">
        <v>51</v>
      </c>
    </row>
    <row r="218" spans="1:2" x14ac:dyDescent="0.2">
      <c r="A218">
        <v>212</v>
      </c>
      <c r="B218" s="85" t="s">
        <v>51</v>
      </c>
    </row>
    <row r="219" spans="1:2" x14ac:dyDescent="0.2">
      <c r="A219">
        <v>213</v>
      </c>
      <c r="B219" s="85" t="s">
        <v>51</v>
      </c>
    </row>
    <row r="220" spans="1:2" x14ac:dyDescent="0.2">
      <c r="A220">
        <v>214</v>
      </c>
      <c r="B220" s="85" t="s">
        <v>51</v>
      </c>
    </row>
    <row r="221" spans="1:2" x14ac:dyDescent="0.2">
      <c r="A221">
        <v>215</v>
      </c>
      <c r="B221" s="85" t="s">
        <v>51</v>
      </c>
    </row>
    <row r="222" spans="1:2" x14ac:dyDescent="0.2">
      <c r="A222">
        <v>216</v>
      </c>
      <c r="B222" s="85" t="s">
        <v>51</v>
      </c>
    </row>
    <row r="223" spans="1:2" x14ac:dyDescent="0.2">
      <c r="A223">
        <v>217</v>
      </c>
      <c r="B223" s="85" t="s">
        <v>51</v>
      </c>
    </row>
    <row r="224" spans="1:2" x14ac:dyDescent="0.2">
      <c r="A224">
        <v>218</v>
      </c>
      <c r="B224" s="85" t="s">
        <v>51</v>
      </c>
    </row>
    <row r="225" spans="1:2" x14ac:dyDescent="0.2">
      <c r="A225">
        <v>219</v>
      </c>
      <c r="B225" s="85" t="s">
        <v>51</v>
      </c>
    </row>
    <row r="226" spans="1:2" x14ac:dyDescent="0.2">
      <c r="A226">
        <v>220</v>
      </c>
      <c r="B226" s="85" t="s">
        <v>51</v>
      </c>
    </row>
    <row r="227" spans="1:2" x14ac:dyDescent="0.2">
      <c r="A227">
        <v>221</v>
      </c>
      <c r="B227" s="85" t="s">
        <v>51</v>
      </c>
    </row>
    <row r="228" spans="1:2" x14ac:dyDescent="0.2">
      <c r="A228">
        <v>222</v>
      </c>
      <c r="B228" s="85" t="s">
        <v>51</v>
      </c>
    </row>
    <row r="229" spans="1:2" x14ac:dyDescent="0.2">
      <c r="A229">
        <v>223</v>
      </c>
      <c r="B229" s="85" t="s">
        <v>51</v>
      </c>
    </row>
    <row r="230" spans="1:2" x14ac:dyDescent="0.2">
      <c r="A230">
        <v>224</v>
      </c>
      <c r="B230" s="85" t="s">
        <v>51</v>
      </c>
    </row>
    <row r="231" spans="1:2" x14ac:dyDescent="0.2">
      <c r="A231">
        <v>225</v>
      </c>
      <c r="B231" s="85" t="s">
        <v>51</v>
      </c>
    </row>
    <row r="232" spans="1:2" x14ac:dyDescent="0.2">
      <c r="A232">
        <v>226</v>
      </c>
      <c r="B232" s="85" t="s">
        <v>51</v>
      </c>
    </row>
    <row r="233" spans="1:2" x14ac:dyDescent="0.2">
      <c r="A233">
        <v>227</v>
      </c>
      <c r="B233" s="85" t="s">
        <v>51</v>
      </c>
    </row>
    <row r="234" spans="1:2" x14ac:dyDescent="0.2">
      <c r="A234">
        <v>228</v>
      </c>
      <c r="B234" s="85" t="s">
        <v>51</v>
      </c>
    </row>
    <row r="235" spans="1:2" x14ac:dyDescent="0.2">
      <c r="A235">
        <v>229</v>
      </c>
      <c r="B235" s="85" t="s">
        <v>51</v>
      </c>
    </row>
    <row r="236" spans="1:2" x14ac:dyDescent="0.2">
      <c r="A236">
        <v>230</v>
      </c>
      <c r="B236" s="85" t="s">
        <v>51</v>
      </c>
    </row>
    <row r="237" spans="1:2" x14ac:dyDescent="0.2">
      <c r="A237">
        <v>231</v>
      </c>
      <c r="B237" s="85" t="s">
        <v>51</v>
      </c>
    </row>
    <row r="238" spans="1:2" x14ac:dyDescent="0.2">
      <c r="A238">
        <v>232</v>
      </c>
      <c r="B238" s="85" t="s">
        <v>51</v>
      </c>
    </row>
    <row r="239" spans="1:2" x14ac:dyDescent="0.2">
      <c r="A239">
        <v>233</v>
      </c>
      <c r="B239" s="85" t="s">
        <v>51</v>
      </c>
    </row>
    <row r="240" spans="1:2" x14ac:dyDescent="0.2">
      <c r="A240">
        <v>234</v>
      </c>
      <c r="B240" s="85" t="s">
        <v>51</v>
      </c>
    </row>
    <row r="241" spans="1:2" x14ac:dyDescent="0.2">
      <c r="A241">
        <v>235</v>
      </c>
      <c r="B241" s="85" t="s">
        <v>51</v>
      </c>
    </row>
    <row r="242" spans="1:2" x14ac:dyDescent="0.2">
      <c r="A242">
        <v>236</v>
      </c>
      <c r="B242" s="85" t="s">
        <v>51</v>
      </c>
    </row>
    <row r="243" spans="1:2" x14ac:dyDescent="0.2">
      <c r="A243">
        <v>237</v>
      </c>
      <c r="B243" s="85" t="s">
        <v>51</v>
      </c>
    </row>
    <row r="244" spans="1:2" x14ac:dyDescent="0.2">
      <c r="A244">
        <v>238</v>
      </c>
      <c r="B244" s="85" t="s">
        <v>51</v>
      </c>
    </row>
    <row r="245" spans="1:2" x14ac:dyDescent="0.2">
      <c r="A245">
        <v>239</v>
      </c>
      <c r="B245" s="85" t="s">
        <v>51</v>
      </c>
    </row>
    <row r="246" spans="1:2" x14ac:dyDescent="0.2">
      <c r="A246">
        <v>240</v>
      </c>
      <c r="B246" s="85" t="s">
        <v>51</v>
      </c>
    </row>
    <row r="247" spans="1:2" x14ac:dyDescent="0.2">
      <c r="A247">
        <v>241</v>
      </c>
      <c r="B247" s="85" t="s">
        <v>51</v>
      </c>
    </row>
    <row r="248" spans="1:2" x14ac:dyDescent="0.2">
      <c r="A248">
        <v>242</v>
      </c>
      <c r="B248" s="85" t="s">
        <v>51</v>
      </c>
    </row>
    <row r="249" spans="1:2" x14ac:dyDescent="0.2">
      <c r="A249">
        <v>243</v>
      </c>
      <c r="B249" s="85" t="s">
        <v>51</v>
      </c>
    </row>
    <row r="250" spans="1:2" x14ac:dyDescent="0.2">
      <c r="A250">
        <v>244</v>
      </c>
      <c r="B250" s="85" t="s">
        <v>51</v>
      </c>
    </row>
    <row r="251" spans="1:2" x14ac:dyDescent="0.2">
      <c r="A251">
        <v>245</v>
      </c>
      <c r="B251" s="85" t="s">
        <v>51</v>
      </c>
    </row>
    <row r="252" spans="1:2" x14ac:dyDescent="0.2">
      <c r="A252">
        <v>246</v>
      </c>
      <c r="B252" s="85" t="s">
        <v>51</v>
      </c>
    </row>
    <row r="253" spans="1:2" x14ac:dyDescent="0.2">
      <c r="A253">
        <v>247</v>
      </c>
      <c r="B253" s="85" t="s">
        <v>51</v>
      </c>
    </row>
    <row r="254" spans="1:2" x14ac:dyDescent="0.2">
      <c r="A254">
        <v>248</v>
      </c>
      <c r="B254" s="85" t="s">
        <v>51</v>
      </c>
    </row>
    <row r="255" spans="1:2" x14ac:dyDescent="0.2">
      <c r="A255">
        <v>249</v>
      </c>
      <c r="B255" s="85" t="s">
        <v>51</v>
      </c>
    </row>
    <row r="256" spans="1:2" x14ac:dyDescent="0.2">
      <c r="A256">
        <v>250</v>
      </c>
      <c r="B256" s="85" t="s">
        <v>51</v>
      </c>
    </row>
    <row r="257" spans="1:2" x14ac:dyDescent="0.2">
      <c r="A257">
        <v>251</v>
      </c>
      <c r="B257" s="85" t="s">
        <v>51</v>
      </c>
    </row>
    <row r="258" spans="1:2" x14ac:dyDescent="0.2">
      <c r="A258">
        <v>252</v>
      </c>
      <c r="B258" s="85" t="s">
        <v>51</v>
      </c>
    </row>
    <row r="259" spans="1:2" x14ac:dyDescent="0.2">
      <c r="A259">
        <v>253</v>
      </c>
      <c r="B259" s="85" t="s">
        <v>51</v>
      </c>
    </row>
    <row r="260" spans="1:2" x14ac:dyDescent="0.2">
      <c r="A260">
        <v>254</v>
      </c>
      <c r="B260" s="85" t="s">
        <v>51</v>
      </c>
    </row>
    <row r="261" spans="1:2" x14ac:dyDescent="0.2">
      <c r="A261">
        <v>255</v>
      </c>
      <c r="B261" s="85" t="s">
        <v>51</v>
      </c>
    </row>
    <row r="262" spans="1:2" x14ac:dyDescent="0.2">
      <c r="A262">
        <v>256</v>
      </c>
      <c r="B262" s="85" t="s">
        <v>51</v>
      </c>
    </row>
    <row r="263" spans="1:2" x14ac:dyDescent="0.2">
      <c r="A263">
        <v>257</v>
      </c>
      <c r="B263" s="85" t="s">
        <v>51</v>
      </c>
    </row>
    <row r="264" spans="1:2" x14ac:dyDescent="0.2">
      <c r="A264">
        <v>258</v>
      </c>
      <c r="B264" s="85" t="s">
        <v>51</v>
      </c>
    </row>
    <row r="265" spans="1:2" x14ac:dyDescent="0.2">
      <c r="A265">
        <v>259</v>
      </c>
      <c r="B265" s="85" t="s">
        <v>51</v>
      </c>
    </row>
    <row r="266" spans="1:2" x14ac:dyDescent="0.2">
      <c r="A266">
        <v>260</v>
      </c>
      <c r="B266" s="85" t="s">
        <v>51</v>
      </c>
    </row>
    <row r="267" spans="1:2" x14ac:dyDescent="0.2">
      <c r="A267">
        <v>261</v>
      </c>
      <c r="B267" s="85" t="s">
        <v>51</v>
      </c>
    </row>
    <row r="268" spans="1:2" x14ac:dyDescent="0.2">
      <c r="A268">
        <v>262</v>
      </c>
      <c r="B268" s="85" t="s">
        <v>51</v>
      </c>
    </row>
    <row r="269" spans="1:2" x14ac:dyDescent="0.2">
      <c r="A269">
        <v>263</v>
      </c>
      <c r="B269" s="85" t="s">
        <v>51</v>
      </c>
    </row>
    <row r="270" spans="1:2" x14ac:dyDescent="0.2">
      <c r="A270">
        <v>264</v>
      </c>
      <c r="B270" s="85" t="s">
        <v>51</v>
      </c>
    </row>
    <row r="271" spans="1:2" x14ac:dyDescent="0.2">
      <c r="A271">
        <v>265</v>
      </c>
      <c r="B271" s="85" t="s">
        <v>51</v>
      </c>
    </row>
    <row r="272" spans="1:2" x14ac:dyDescent="0.2">
      <c r="A272">
        <v>266</v>
      </c>
      <c r="B272" s="85" t="s">
        <v>51</v>
      </c>
    </row>
    <row r="273" spans="1:2" x14ac:dyDescent="0.2">
      <c r="A273">
        <v>267</v>
      </c>
      <c r="B273" s="85" t="s">
        <v>51</v>
      </c>
    </row>
    <row r="274" spans="1:2" x14ac:dyDescent="0.2">
      <c r="A274">
        <v>268</v>
      </c>
      <c r="B274" s="85" t="s">
        <v>51</v>
      </c>
    </row>
    <row r="275" spans="1:2" x14ac:dyDescent="0.2">
      <c r="A275">
        <v>269</v>
      </c>
      <c r="B275" s="85" t="s">
        <v>51</v>
      </c>
    </row>
    <row r="276" spans="1:2" x14ac:dyDescent="0.2">
      <c r="A276">
        <v>270</v>
      </c>
      <c r="B276" s="85" t="s">
        <v>51</v>
      </c>
    </row>
    <row r="277" spans="1:2" x14ac:dyDescent="0.2">
      <c r="A277">
        <v>271</v>
      </c>
      <c r="B277" s="85" t="s">
        <v>51</v>
      </c>
    </row>
    <row r="278" spans="1:2" x14ac:dyDescent="0.2">
      <c r="A278">
        <v>272</v>
      </c>
      <c r="B278" s="85" t="s">
        <v>51</v>
      </c>
    </row>
    <row r="279" spans="1:2" x14ac:dyDescent="0.2">
      <c r="A279">
        <v>273</v>
      </c>
      <c r="B279" s="85" t="s">
        <v>51</v>
      </c>
    </row>
    <row r="280" spans="1:2" x14ac:dyDescent="0.2">
      <c r="A280">
        <v>274</v>
      </c>
      <c r="B280" s="85" t="s">
        <v>51</v>
      </c>
    </row>
    <row r="281" spans="1:2" x14ac:dyDescent="0.2">
      <c r="A281">
        <v>275</v>
      </c>
      <c r="B281" s="85" t="s">
        <v>51</v>
      </c>
    </row>
    <row r="282" spans="1:2" x14ac:dyDescent="0.2">
      <c r="A282">
        <v>276</v>
      </c>
      <c r="B282" s="85" t="s">
        <v>51</v>
      </c>
    </row>
    <row r="283" spans="1:2" x14ac:dyDescent="0.2">
      <c r="A283">
        <v>277</v>
      </c>
      <c r="B283" s="85" t="s">
        <v>51</v>
      </c>
    </row>
    <row r="284" spans="1:2" x14ac:dyDescent="0.2">
      <c r="A284">
        <v>278</v>
      </c>
      <c r="B284" s="85" t="s">
        <v>51</v>
      </c>
    </row>
    <row r="285" spans="1:2" x14ac:dyDescent="0.2">
      <c r="A285">
        <v>279</v>
      </c>
      <c r="B285" s="85" t="s">
        <v>51</v>
      </c>
    </row>
    <row r="286" spans="1:2" x14ac:dyDescent="0.2">
      <c r="A286">
        <v>280</v>
      </c>
      <c r="B286" s="85" t="s">
        <v>51</v>
      </c>
    </row>
    <row r="287" spans="1:2" x14ac:dyDescent="0.2">
      <c r="A287">
        <v>281</v>
      </c>
      <c r="B287" s="85" t="s">
        <v>51</v>
      </c>
    </row>
    <row r="288" spans="1:2" x14ac:dyDescent="0.2">
      <c r="A288">
        <v>282</v>
      </c>
      <c r="B288" s="85" t="s">
        <v>51</v>
      </c>
    </row>
    <row r="289" spans="1:2" x14ac:dyDescent="0.2">
      <c r="A289">
        <v>283</v>
      </c>
      <c r="B289" s="85" t="s">
        <v>51</v>
      </c>
    </row>
    <row r="290" spans="1:2" x14ac:dyDescent="0.2">
      <c r="A290">
        <v>284</v>
      </c>
      <c r="B290" s="85" t="s">
        <v>51</v>
      </c>
    </row>
    <row r="291" spans="1:2" x14ac:dyDescent="0.2">
      <c r="A291">
        <v>285</v>
      </c>
      <c r="B291" s="85" t="s">
        <v>51</v>
      </c>
    </row>
    <row r="292" spans="1:2" x14ac:dyDescent="0.2">
      <c r="A292">
        <v>286</v>
      </c>
      <c r="B292" s="85" t="s">
        <v>51</v>
      </c>
    </row>
    <row r="293" spans="1:2" x14ac:dyDescent="0.2">
      <c r="A293">
        <v>287</v>
      </c>
      <c r="B293" s="85" t="s">
        <v>51</v>
      </c>
    </row>
    <row r="294" spans="1:2" x14ac:dyDescent="0.2">
      <c r="A294">
        <v>288</v>
      </c>
      <c r="B294" s="85" t="s">
        <v>51</v>
      </c>
    </row>
    <row r="295" spans="1:2" x14ac:dyDescent="0.2">
      <c r="A295">
        <v>289</v>
      </c>
      <c r="B295" s="85" t="s">
        <v>51</v>
      </c>
    </row>
    <row r="296" spans="1:2" x14ac:dyDescent="0.2">
      <c r="A296">
        <v>290</v>
      </c>
      <c r="B296" s="85" t="s">
        <v>51</v>
      </c>
    </row>
    <row r="297" spans="1:2" x14ac:dyDescent="0.2">
      <c r="A297">
        <v>291</v>
      </c>
      <c r="B297" s="85" t="s">
        <v>51</v>
      </c>
    </row>
    <row r="298" spans="1:2" x14ac:dyDescent="0.2">
      <c r="A298">
        <v>292</v>
      </c>
      <c r="B298" s="85" t="s">
        <v>51</v>
      </c>
    </row>
    <row r="299" spans="1:2" x14ac:dyDescent="0.2">
      <c r="A299">
        <v>293</v>
      </c>
      <c r="B299" s="85" t="s">
        <v>51</v>
      </c>
    </row>
    <row r="300" spans="1:2" x14ac:dyDescent="0.2">
      <c r="A300">
        <v>294</v>
      </c>
      <c r="B300" s="85" t="s">
        <v>51</v>
      </c>
    </row>
    <row r="301" spans="1:2" x14ac:dyDescent="0.2">
      <c r="A301">
        <v>295</v>
      </c>
      <c r="B301" s="85" t="s">
        <v>51</v>
      </c>
    </row>
    <row r="302" spans="1:2" x14ac:dyDescent="0.2">
      <c r="A302">
        <v>296</v>
      </c>
      <c r="B302" s="85" t="s">
        <v>51</v>
      </c>
    </row>
    <row r="303" spans="1:2" x14ac:dyDescent="0.2">
      <c r="A303">
        <v>297</v>
      </c>
      <c r="B303" s="85" t="s">
        <v>51</v>
      </c>
    </row>
    <row r="304" spans="1:2" x14ac:dyDescent="0.2">
      <c r="A304">
        <v>298</v>
      </c>
      <c r="B304" s="85" t="s">
        <v>51</v>
      </c>
    </row>
    <row r="305" spans="1:2" x14ac:dyDescent="0.2">
      <c r="A305">
        <v>299</v>
      </c>
      <c r="B305" s="85" t="s">
        <v>51</v>
      </c>
    </row>
    <row r="306" spans="1:2" x14ac:dyDescent="0.2">
      <c r="A306">
        <v>300</v>
      </c>
      <c r="B306" s="85" t="s">
        <v>51</v>
      </c>
    </row>
    <row r="307" spans="1:2" x14ac:dyDescent="0.2">
      <c r="A307">
        <v>301</v>
      </c>
      <c r="B307" s="85" t="s">
        <v>52</v>
      </c>
    </row>
    <row r="308" spans="1:2" x14ac:dyDescent="0.2">
      <c r="A308">
        <v>302</v>
      </c>
      <c r="B308" s="85" t="s">
        <v>52</v>
      </c>
    </row>
    <row r="309" spans="1:2" x14ac:dyDescent="0.2">
      <c r="A309">
        <v>303</v>
      </c>
      <c r="B309" s="85" t="s">
        <v>52</v>
      </c>
    </row>
    <row r="310" spans="1:2" x14ac:dyDescent="0.2">
      <c r="A310">
        <v>304</v>
      </c>
      <c r="B310" s="85" t="s">
        <v>52</v>
      </c>
    </row>
    <row r="311" spans="1:2" x14ac:dyDescent="0.2">
      <c r="A311">
        <v>305</v>
      </c>
      <c r="B311" s="85" t="s">
        <v>52</v>
      </c>
    </row>
    <row r="312" spans="1:2" x14ac:dyDescent="0.2">
      <c r="A312">
        <v>306</v>
      </c>
      <c r="B312" s="85" t="s">
        <v>52</v>
      </c>
    </row>
    <row r="313" spans="1:2" x14ac:dyDescent="0.2">
      <c r="A313">
        <v>307</v>
      </c>
      <c r="B313" s="85" t="s">
        <v>52</v>
      </c>
    </row>
    <row r="314" spans="1:2" x14ac:dyDescent="0.2">
      <c r="A314">
        <v>308</v>
      </c>
      <c r="B314" s="85" t="s">
        <v>52</v>
      </c>
    </row>
    <row r="315" spans="1:2" x14ac:dyDescent="0.2">
      <c r="A315">
        <v>309</v>
      </c>
      <c r="B315" s="85" t="s">
        <v>52</v>
      </c>
    </row>
    <row r="316" spans="1:2" x14ac:dyDescent="0.2">
      <c r="A316">
        <v>310</v>
      </c>
      <c r="B316" s="85" t="s">
        <v>52</v>
      </c>
    </row>
    <row r="317" spans="1:2" x14ac:dyDescent="0.2">
      <c r="A317">
        <v>311</v>
      </c>
      <c r="B317" s="85" t="s">
        <v>52</v>
      </c>
    </row>
    <row r="318" spans="1:2" x14ac:dyDescent="0.2">
      <c r="A318">
        <v>312</v>
      </c>
      <c r="B318" s="85" t="s">
        <v>52</v>
      </c>
    </row>
    <row r="319" spans="1:2" x14ac:dyDescent="0.2">
      <c r="A319">
        <v>313</v>
      </c>
      <c r="B319" s="85" t="s">
        <v>52</v>
      </c>
    </row>
    <row r="320" spans="1:2" x14ac:dyDescent="0.2">
      <c r="A320">
        <v>314</v>
      </c>
      <c r="B320" s="85" t="s">
        <v>52</v>
      </c>
    </row>
    <row r="321" spans="1:2" x14ac:dyDescent="0.2">
      <c r="A321">
        <v>315</v>
      </c>
      <c r="B321" s="85" t="s">
        <v>52</v>
      </c>
    </row>
    <row r="322" spans="1:2" x14ac:dyDescent="0.2">
      <c r="A322">
        <v>316</v>
      </c>
      <c r="B322" s="85" t="s">
        <v>52</v>
      </c>
    </row>
    <row r="323" spans="1:2" x14ac:dyDescent="0.2">
      <c r="A323">
        <v>317</v>
      </c>
      <c r="B323" s="85" t="s">
        <v>52</v>
      </c>
    </row>
    <row r="324" spans="1:2" x14ac:dyDescent="0.2">
      <c r="A324">
        <v>318</v>
      </c>
      <c r="B324" s="85" t="s">
        <v>52</v>
      </c>
    </row>
    <row r="325" spans="1:2" x14ac:dyDescent="0.2">
      <c r="A325">
        <v>319</v>
      </c>
      <c r="B325" s="85" t="s">
        <v>52</v>
      </c>
    </row>
    <row r="326" spans="1:2" x14ac:dyDescent="0.2">
      <c r="A326">
        <v>320</v>
      </c>
      <c r="B326" s="85" t="s">
        <v>52</v>
      </c>
    </row>
    <row r="327" spans="1:2" x14ac:dyDescent="0.2">
      <c r="A327">
        <v>321</v>
      </c>
      <c r="B327" s="85" t="s">
        <v>52</v>
      </c>
    </row>
    <row r="328" spans="1:2" x14ac:dyDescent="0.2">
      <c r="A328">
        <v>322</v>
      </c>
      <c r="B328" s="85" t="s">
        <v>52</v>
      </c>
    </row>
    <row r="329" spans="1:2" x14ac:dyDescent="0.2">
      <c r="A329">
        <v>323</v>
      </c>
      <c r="B329" s="85" t="s">
        <v>52</v>
      </c>
    </row>
    <row r="330" spans="1:2" x14ac:dyDescent="0.2">
      <c r="A330">
        <v>324</v>
      </c>
      <c r="B330" s="85" t="s">
        <v>52</v>
      </c>
    </row>
    <row r="331" spans="1:2" x14ac:dyDescent="0.2">
      <c r="A331">
        <v>325</v>
      </c>
      <c r="B331" s="85" t="s">
        <v>52</v>
      </c>
    </row>
    <row r="332" spans="1:2" x14ac:dyDescent="0.2">
      <c r="A332">
        <v>326</v>
      </c>
      <c r="B332" s="85" t="s">
        <v>52</v>
      </c>
    </row>
    <row r="333" spans="1:2" x14ac:dyDescent="0.2">
      <c r="A333">
        <v>327</v>
      </c>
      <c r="B333" s="85" t="s">
        <v>52</v>
      </c>
    </row>
    <row r="334" spans="1:2" x14ac:dyDescent="0.2">
      <c r="A334">
        <v>328</v>
      </c>
      <c r="B334" s="85" t="s">
        <v>52</v>
      </c>
    </row>
    <row r="335" spans="1:2" x14ac:dyDescent="0.2">
      <c r="A335">
        <v>329</v>
      </c>
      <c r="B335" s="85" t="s">
        <v>52</v>
      </c>
    </row>
    <row r="336" spans="1:2" x14ac:dyDescent="0.2">
      <c r="A336">
        <v>330</v>
      </c>
      <c r="B336" s="85" t="s">
        <v>52</v>
      </c>
    </row>
    <row r="337" spans="1:2" x14ac:dyDescent="0.2">
      <c r="A337">
        <v>331</v>
      </c>
      <c r="B337" s="85" t="s">
        <v>53</v>
      </c>
    </row>
    <row r="338" spans="1:2" x14ac:dyDescent="0.2">
      <c r="A338">
        <v>332</v>
      </c>
      <c r="B338" s="85" t="s">
        <v>53</v>
      </c>
    </row>
    <row r="339" spans="1:2" x14ac:dyDescent="0.2">
      <c r="A339">
        <v>333</v>
      </c>
      <c r="B339" s="85" t="s">
        <v>53</v>
      </c>
    </row>
    <row r="340" spans="1:2" x14ac:dyDescent="0.2">
      <c r="A340">
        <v>334</v>
      </c>
      <c r="B340" s="85" t="s">
        <v>53</v>
      </c>
    </row>
    <row r="341" spans="1:2" x14ac:dyDescent="0.2">
      <c r="A341">
        <v>335</v>
      </c>
      <c r="B341" s="85" t="s">
        <v>53</v>
      </c>
    </row>
    <row r="342" spans="1:2" x14ac:dyDescent="0.2">
      <c r="A342">
        <v>336</v>
      </c>
      <c r="B342" s="85" t="s">
        <v>53</v>
      </c>
    </row>
    <row r="343" spans="1:2" x14ac:dyDescent="0.2">
      <c r="A343">
        <v>337</v>
      </c>
      <c r="B343" s="85" t="s">
        <v>53</v>
      </c>
    </row>
    <row r="344" spans="1:2" x14ac:dyDescent="0.2">
      <c r="A344">
        <v>338</v>
      </c>
      <c r="B344" s="85" t="s">
        <v>53</v>
      </c>
    </row>
    <row r="345" spans="1:2" x14ac:dyDescent="0.2">
      <c r="A345">
        <v>339</v>
      </c>
      <c r="B345" s="85" t="s">
        <v>53</v>
      </c>
    </row>
    <row r="346" spans="1:2" x14ac:dyDescent="0.2">
      <c r="A346">
        <v>340</v>
      </c>
      <c r="B346" s="85" t="s">
        <v>53</v>
      </c>
    </row>
    <row r="347" spans="1:2" x14ac:dyDescent="0.2">
      <c r="A347">
        <v>341</v>
      </c>
      <c r="B347" s="85" t="s">
        <v>53</v>
      </c>
    </row>
    <row r="348" spans="1:2" x14ac:dyDescent="0.2">
      <c r="A348">
        <v>342</v>
      </c>
      <c r="B348" s="85" t="s">
        <v>53</v>
      </c>
    </row>
    <row r="349" spans="1:2" x14ac:dyDescent="0.2">
      <c r="A349">
        <v>343</v>
      </c>
      <c r="B349" s="85" t="s">
        <v>53</v>
      </c>
    </row>
    <row r="350" spans="1:2" x14ac:dyDescent="0.2">
      <c r="A350">
        <v>344</v>
      </c>
      <c r="B350" s="85" t="s">
        <v>53</v>
      </c>
    </row>
    <row r="351" spans="1:2" x14ac:dyDescent="0.2">
      <c r="A351">
        <v>345</v>
      </c>
      <c r="B351" s="85" t="s">
        <v>53</v>
      </c>
    </row>
    <row r="352" spans="1:2" x14ac:dyDescent="0.2">
      <c r="A352">
        <v>346</v>
      </c>
      <c r="B352" s="85" t="s">
        <v>53</v>
      </c>
    </row>
    <row r="353" spans="1:2" x14ac:dyDescent="0.2">
      <c r="A353">
        <v>347</v>
      </c>
      <c r="B353" s="85" t="s">
        <v>53</v>
      </c>
    </row>
    <row r="354" spans="1:2" x14ac:dyDescent="0.2">
      <c r="A354">
        <v>348</v>
      </c>
      <c r="B354" s="85" t="s">
        <v>53</v>
      </c>
    </row>
    <row r="355" spans="1:2" x14ac:dyDescent="0.2">
      <c r="A355">
        <v>349</v>
      </c>
      <c r="B355" s="85" t="s">
        <v>53</v>
      </c>
    </row>
    <row r="356" spans="1:2" x14ac:dyDescent="0.2">
      <c r="A356">
        <v>350</v>
      </c>
      <c r="B356" s="85" t="s">
        <v>53</v>
      </c>
    </row>
    <row r="357" spans="1:2" x14ac:dyDescent="0.2">
      <c r="A357">
        <v>351</v>
      </c>
      <c r="B357" s="85" t="s">
        <v>53</v>
      </c>
    </row>
    <row r="358" spans="1:2" x14ac:dyDescent="0.2">
      <c r="A358">
        <v>352</v>
      </c>
      <c r="B358" s="85" t="s">
        <v>53</v>
      </c>
    </row>
    <row r="359" spans="1:2" x14ac:dyDescent="0.2">
      <c r="A359">
        <v>353</v>
      </c>
      <c r="B359" s="85" t="s">
        <v>53</v>
      </c>
    </row>
    <row r="360" spans="1:2" x14ac:dyDescent="0.2">
      <c r="A360">
        <v>354</v>
      </c>
      <c r="B360" s="85" t="s">
        <v>53</v>
      </c>
    </row>
    <row r="361" spans="1:2" x14ac:dyDescent="0.2">
      <c r="A361">
        <v>355</v>
      </c>
      <c r="B361" s="85" t="s">
        <v>53</v>
      </c>
    </row>
    <row r="362" spans="1:2" x14ac:dyDescent="0.2">
      <c r="A362">
        <v>356</v>
      </c>
      <c r="B362" s="85" t="s">
        <v>53</v>
      </c>
    </row>
    <row r="363" spans="1:2" x14ac:dyDescent="0.2">
      <c r="A363">
        <v>357</v>
      </c>
      <c r="B363" s="85" t="s">
        <v>53</v>
      </c>
    </row>
    <row r="364" spans="1:2" x14ac:dyDescent="0.2">
      <c r="A364">
        <v>358</v>
      </c>
      <c r="B364" s="85" t="s">
        <v>53</v>
      </c>
    </row>
    <row r="365" spans="1:2" x14ac:dyDescent="0.2">
      <c r="A365">
        <v>359</v>
      </c>
      <c r="B365" s="85" t="s">
        <v>53</v>
      </c>
    </row>
    <row r="366" spans="1:2" x14ac:dyDescent="0.2">
      <c r="A366">
        <v>360</v>
      </c>
      <c r="B366" s="85" t="s">
        <v>53</v>
      </c>
    </row>
    <row r="367" spans="1:2" x14ac:dyDescent="0.2">
      <c r="A367">
        <v>361</v>
      </c>
      <c r="B367" s="85" t="s">
        <v>53</v>
      </c>
    </row>
    <row r="368" spans="1:2" x14ac:dyDescent="0.2">
      <c r="A368">
        <v>362</v>
      </c>
      <c r="B368" s="85" t="s">
        <v>53</v>
      </c>
    </row>
    <row r="369" spans="1:2" x14ac:dyDescent="0.2">
      <c r="A369">
        <v>363</v>
      </c>
      <c r="B369" s="85" t="s">
        <v>53</v>
      </c>
    </row>
    <row r="370" spans="1:2" x14ac:dyDescent="0.2">
      <c r="A370">
        <v>364</v>
      </c>
      <c r="B370" s="85" t="s">
        <v>53</v>
      </c>
    </row>
    <row r="371" spans="1:2" x14ac:dyDescent="0.2">
      <c r="A371">
        <v>365</v>
      </c>
      <c r="B371" s="85" t="s">
        <v>53</v>
      </c>
    </row>
    <row r="372" spans="1:2" x14ac:dyDescent="0.2">
      <c r="A372">
        <v>366</v>
      </c>
      <c r="B372" t="s">
        <v>54</v>
      </c>
    </row>
    <row r="373" spans="1:2" x14ac:dyDescent="0.2">
      <c r="A373">
        <v>367</v>
      </c>
      <c r="B373" t="s">
        <v>54</v>
      </c>
    </row>
    <row r="374" spans="1:2" x14ac:dyDescent="0.2">
      <c r="A374">
        <v>368</v>
      </c>
      <c r="B374" t="s">
        <v>54</v>
      </c>
    </row>
    <row r="375" spans="1:2" x14ac:dyDescent="0.2">
      <c r="A375">
        <v>369</v>
      </c>
      <c r="B375" t="s">
        <v>54</v>
      </c>
    </row>
    <row r="376" spans="1:2" x14ac:dyDescent="0.2">
      <c r="A376">
        <v>370</v>
      </c>
      <c r="B376" t="s">
        <v>54</v>
      </c>
    </row>
    <row r="377" spans="1:2" x14ac:dyDescent="0.2">
      <c r="A377">
        <v>371</v>
      </c>
      <c r="B377" t="s">
        <v>54</v>
      </c>
    </row>
    <row r="378" spans="1:2" x14ac:dyDescent="0.2">
      <c r="A378">
        <v>372</v>
      </c>
      <c r="B378" t="s">
        <v>54</v>
      </c>
    </row>
    <row r="379" spans="1:2" x14ac:dyDescent="0.2">
      <c r="A379">
        <v>373</v>
      </c>
      <c r="B379" t="s">
        <v>54</v>
      </c>
    </row>
    <row r="380" spans="1:2" x14ac:dyDescent="0.2">
      <c r="A380">
        <v>374</v>
      </c>
      <c r="B380" t="s">
        <v>54</v>
      </c>
    </row>
    <row r="381" spans="1:2" x14ac:dyDescent="0.2">
      <c r="A381">
        <v>375</v>
      </c>
      <c r="B381" t="s">
        <v>54</v>
      </c>
    </row>
    <row r="382" spans="1:2" x14ac:dyDescent="0.2">
      <c r="A382">
        <v>376</v>
      </c>
      <c r="B382" t="s">
        <v>54</v>
      </c>
    </row>
    <row r="383" spans="1:2" x14ac:dyDescent="0.2">
      <c r="A383">
        <v>377</v>
      </c>
      <c r="B383" t="s">
        <v>54</v>
      </c>
    </row>
    <row r="384" spans="1:2" x14ac:dyDescent="0.2">
      <c r="A384">
        <v>378</v>
      </c>
      <c r="B384" t="s">
        <v>54</v>
      </c>
    </row>
    <row r="385" spans="1:2" x14ac:dyDescent="0.2">
      <c r="A385">
        <v>379</v>
      </c>
      <c r="B385" t="s">
        <v>54</v>
      </c>
    </row>
    <row r="386" spans="1:2" x14ac:dyDescent="0.2">
      <c r="A386">
        <v>380</v>
      </c>
      <c r="B386" t="s">
        <v>54</v>
      </c>
    </row>
    <row r="387" spans="1:2" x14ac:dyDescent="0.2">
      <c r="A387">
        <v>381</v>
      </c>
      <c r="B387" t="s">
        <v>54</v>
      </c>
    </row>
    <row r="388" spans="1:2" x14ac:dyDescent="0.2">
      <c r="A388">
        <v>382</v>
      </c>
      <c r="B388" t="s">
        <v>54</v>
      </c>
    </row>
    <row r="389" spans="1:2" x14ac:dyDescent="0.2">
      <c r="A389">
        <v>383</v>
      </c>
      <c r="B389" t="s">
        <v>54</v>
      </c>
    </row>
    <row r="390" spans="1:2" x14ac:dyDescent="0.2">
      <c r="A390">
        <v>384</v>
      </c>
      <c r="B390" t="s">
        <v>54</v>
      </c>
    </row>
    <row r="391" spans="1:2" x14ac:dyDescent="0.2">
      <c r="A391">
        <v>385</v>
      </c>
      <c r="B391" t="s">
        <v>54</v>
      </c>
    </row>
    <row r="392" spans="1:2" x14ac:dyDescent="0.2">
      <c r="A392">
        <v>386</v>
      </c>
      <c r="B392" t="s">
        <v>54</v>
      </c>
    </row>
    <row r="393" spans="1:2" x14ac:dyDescent="0.2">
      <c r="A393">
        <v>387</v>
      </c>
      <c r="B393" t="s">
        <v>54</v>
      </c>
    </row>
    <row r="394" spans="1:2" x14ac:dyDescent="0.2">
      <c r="A394">
        <v>388</v>
      </c>
      <c r="B394" t="s">
        <v>54</v>
      </c>
    </row>
    <row r="395" spans="1:2" x14ac:dyDescent="0.2">
      <c r="A395">
        <v>389</v>
      </c>
      <c r="B395" t="s">
        <v>54</v>
      </c>
    </row>
    <row r="396" spans="1:2" x14ac:dyDescent="0.2">
      <c r="A396">
        <v>390</v>
      </c>
      <c r="B396" t="s">
        <v>54</v>
      </c>
    </row>
    <row r="397" spans="1:2" x14ac:dyDescent="0.2">
      <c r="A397">
        <v>391</v>
      </c>
      <c r="B397" t="s">
        <v>54</v>
      </c>
    </row>
    <row r="398" spans="1:2" x14ac:dyDescent="0.2">
      <c r="A398">
        <v>392</v>
      </c>
      <c r="B398" t="s">
        <v>54</v>
      </c>
    </row>
    <row r="399" spans="1:2" x14ac:dyDescent="0.2">
      <c r="A399">
        <v>393</v>
      </c>
      <c r="B399" t="s">
        <v>54</v>
      </c>
    </row>
    <row r="400" spans="1:2" x14ac:dyDescent="0.2">
      <c r="A400">
        <v>394</v>
      </c>
      <c r="B400" t="s">
        <v>54</v>
      </c>
    </row>
    <row r="401" spans="1:2" x14ac:dyDescent="0.2">
      <c r="A401">
        <v>395</v>
      </c>
      <c r="B401" t="s">
        <v>54</v>
      </c>
    </row>
    <row r="402" spans="1:2" x14ac:dyDescent="0.2">
      <c r="A402">
        <v>396</v>
      </c>
      <c r="B402" t="s">
        <v>54</v>
      </c>
    </row>
    <row r="403" spans="1:2" x14ac:dyDescent="0.2">
      <c r="A403">
        <v>397</v>
      </c>
      <c r="B403" t="s">
        <v>54</v>
      </c>
    </row>
    <row r="404" spans="1:2" x14ac:dyDescent="0.2">
      <c r="A404">
        <v>398</v>
      </c>
      <c r="B404" t="s">
        <v>54</v>
      </c>
    </row>
    <row r="405" spans="1:2" x14ac:dyDescent="0.2">
      <c r="A405">
        <v>399</v>
      </c>
      <c r="B405" t="s">
        <v>54</v>
      </c>
    </row>
    <row r="406" spans="1:2" x14ac:dyDescent="0.2">
      <c r="A406">
        <v>400</v>
      </c>
      <c r="B406" t="s">
        <v>54</v>
      </c>
    </row>
    <row r="407" spans="1:2" x14ac:dyDescent="0.2">
      <c r="A407">
        <v>401</v>
      </c>
      <c r="B407" t="s">
        <v>54</v>
      </c>
    </row>
    <row r="408" spans="1:2" x14ac:dyDescent="0.2">
      <c r="A408">
        <v>402</v>
      </c>
      <c r="B408" t="s">
        <v>54</v>
      </c>
    </row>
    <row r="409" spans="1:2" x14ac:dyDescent="0.2">
      <c r="A409">
        <v>403</v>
      </c>
      <c r="B409" t="s">
        <v>54</v>
      </c>
    </row>
    <row r="410" spans="1:2" x14ac:dyDescent="0.2">
      <c r="A410">
        <v>404</v>
      </c>
      <c r="B410" t="s">
        <v>54</v>
      </c>
    </row>
    <row r="411" spans="1:2" x14ac:dyDescent="0.2">
      <c r="A411">
        <v>405</v>
      </c>
      <c r="B411" t="s">
        <v>54</v>
      </c>
    </row>
    <row r="412" spans="1:2" x14ac:dyDescent="0.2">
      <c r="A412">
        <v>406</v>
      </c>
      <c r="B412" t="s">
        <v>54</v>
      </c>
    </row>
    <row r="413" spans="1:2" x14ac:dyDescent="0.2">
      <c r="A413">
        <v>407</v>
      </c>
      <c r="B413" t="s">
        <v>54</v>
      </c>
    </row>
    <row r="414" spans="1:2" x14ac:dyDescent="0.2">
      <c r="A414">
        <v>408</v>
      </c>
      <c r="B414" t="s">
        <v>54</v>
      </c>
    </row>
    <row r="415" spans="1:2" x14ac:dyDescent="0.2">
      <c r="A415">
        <v>409</v>
      </c>
      <c r="B415" t="s">
        <v>54</v>
      </c>
    </row>
    <row r="416" spans="1:2" x14ac:dyDescent="0.2">
      <c r="A416">
        <v>410</v>
      </c>
      <c r="B416" t="s">
        <v>54</v>
      </c>
    </row>
    <row r="417" spans="1:2" x14ac:dyDescent="0.2">
      <c r="A417">
        <v>411</v>
      </c>
      <c r="B417" t="s">
        <v>54</v>
      </c>
    </row>
    <row r="418" spans="1:2" x14ac:dyDescent="0.2">
      <c r="A418">
        <v>412</v>
      </c>
      <c r="B418" t="s">
        <v>54</v>
      </c>
    </row>
    <row r="419" spans="1:2" x14ac:dyDescent="0.2">
      <c r="A419">
        <v>413</v>
      </c>
      <c r="B419" t="s">
        <v>54</v>
      </c>
    </row>
    <row r="420" spans="1:2" x14ac:dyDescent="0.2">
      <c r="A420">
        <v>414</v>
      </c>
      <c r="B420" t="s">
        <v>54</v>
      </c>
    </row>
    <row r="421" spans="1:2" x14ac:dyDescent="0.2">
      <c r="A421">
        <v>415</v>
      </c>
      <c r="B421" t="s">
        <v>54</v>
      </c>
    </row>
    <row r="422" spans="1:2" x14ac:dyDescent="0.2">
      <c r="A422">
        <v>416</v>
      </c>
      <c r="B422" t="s">
        <v>54</v>
      </c>
    </row>
    <row r="423" spans="1:2" x14ac:dyDescent="0.2">
      <c r="A423">
        <v>417</v>
      </c>
      <c r="B423" t="s">
        <v>54</v>
      </c>
    </row>
    <row r="424" spans="1:2" x14ac:dyDescent="0.2">
      <c r="A424">
        <v>418</v>
      </c>
      <c r="B424" t="s">
        <v>54</v>
      </c>
    </row>
    <row r="425" spans="1:2" x14ac:dyDescent="0.2">
      <c r="A425">
        <v>419</v>
      </c>
      <c r="B425" t="s">
        <v>54</v>
      </c>
    </row>
    <row r="426" spans="1:2" x14ac:dyDescent="0.2">
      <c r="A426">
        <v>420</v>
      </c>
      <c r="B426" t="s">
        <v>54</v>
      </c>
    </row>
    <row r="427" spans="1:2" x14ac:dyDescent="0.2">
      <c r="A427">
        <v>421</v>
      </c>
      <c r="B427" t="s">
        <v>54</v>
      </c>
    </row>
    <row r="428" spans="1:2" x14ac:dyDescent="0.2">
      <c r="A428">
        <v>422</v>
      </c>
      <c r="B428" t="s">
        <v>54</v>
      </c>
    </row>
    <row r="429" spans="1:2" x14ac:dyDescent="0.2">
      <c r="A429">
        <v>423</v>
      </c>
      <c r="B429" t="s">
        <v>54</v>
      </c>
    </row>
    <row r="430" spans="1:2" x14ac:dyDescent="0.2">
      <c r="A430">
        <v>424</v>
      </c>
      <c r="B430" t="s">
        <v>54</v>
      </c>
    </row>
    <row r="431" spans="1:2" x14ac:dyDescent="0.2">
      <c r="A431">
        <v>425</v>
      </c>
      <c r="B431" t="s">
        <v>54</v>
      </c>
    </row>
    <row r="432" spans="1:2" x14ac:dyDescent="0.2">
      <c r="A432">
        <v>426</v>
      </c>
      <c r="B432" t="s">
        <v>54</v>
      </c>
    </row>
    <row r="433" spans="1:2" x14ac:dyDescent="0.2">
      <c r="A433">
        <v>427</v>
      </c>
      <c r="B433" t="s">
        <v>54</v>
      </c>
    </row>
    <row r="434" spans="1:2" x14ac:dyDescent="0.2">
      <c r="A434">
        <v>428</v>
      </c>
      <c r="B434" t="s">
        <v>54</v>
      </c>
    </row>
    <row r="435" spans="1:2" x14ac:dyDescent="0.2">
      <c r="A435">
        <v>429</v>
      </c>
      <c r="B435" t="s">
        <v>54</v>
      </c>
    </row>
    <row r="436" spans="1:2" x14ac:dyDescent="0.2">
      <c r="A436">
        <v>430</v>
      </c>
      <c r="B436" t="s">
        <v>54</v>
      </c>
    </row>
    <row r="437" spans="1:2" x14ac:dyDescent="0.2">
      <c r="A437">
        <v>431</v>
      </c>
      <c r="B437" t="s">
        <v>54</v>
      </c>
    </row>
    <row r="438" spans="1:2" x14ac:dyDescent="0.2">
      <c r="A438">
        <v>432</v>
      </c>
      <c r="B438" t="s">
        <v>54</v>
      </c>
    </row>
    <row r="439" spans="1:2" x14ac:dyDescent="0.2">
      <c r="A439">
        <v>433</v>
      </c>
      <c r="B439" t="s">
        <v>54</v>
      </c>
    </row>
    <row r="440" spans="1:2" x14ac:dyDescent="0.2">
      <c r="A440">
        <v>434</v>
      </c>
      <c r="B440" t="s">
        <v>54</v>
      </c>
    </row>
    <row r="441" spans="1:2" x14ac:dyDescent="0.2">
      <c r="A441">
        <v>435</v>
      </c>
      <c r="B441" t="s">
        <v>54</v>
      </c>
    </row>
    <row r="442" spans="1:2" x14ac:dyDescent="0.2">
      <c r="A442">
        <v>436</v>
      </c>
      <c r="B442" t="s">
        <v>54</v>
      </c>
    </row>
    <row r="443" spans="1:2" x14ac:dyDescent="0.2">
      <c r="A443">
        <v>437</v>
      </c>
      <c r="B443" t="s">
        <v>54</v>
      </c>
    </row>
    <row r="444" spans="1:2" x14ac:dyDescent="0.2">
      <c r="A444">
        <v>438</v>
      </c>
      <c r="B444" t="s">
        <v>54</v>
      </c>
    </row>
    <row r="445" spans="1:2" x14ac:dyDescent="0.2">
      <c r="A445">
        <v>439</v>
      </c>
      <c r="B445" t="s">
        <v>54</v>
      </c>
    </row>
    <row r="446" spans="1:2" x14ac:dyDescent="0.2">
      <c r="A446">
        <v>440</v>
      </c>
      <c r="B446" t="s">
        <v>54</v>
      </c>
    </row>
    <row r="447" spans="1:2" x14ac:dyDescent="0.2">
      <c r="A447">
        <v>441</v>
      </c>
      <c r="B447" t="s">
        <v>54</v>
      </c>
    </row>
    <row r="448" spans="1:2" x14ac:dyDescent="0.2">
      <c r="A448">
        <v>442</v>
      </c>
      <c r="B448" t="s">
        <v>54</v>
      </c>
    </row>
    <row r="449" spans="1:2" x14ac:dyDescent="0.2">
      <c r="A449">
        <v>443</v>
      </c>
      <c r="B449" t="s">
        <v>54</v>
      </c>
    </row>
    <row r="450" spans="1:2" x14ac:dyDescent="0.2">
      <c r="A450">
        <v>444</v>
      </c>
      <c r="B450" t="s">
        <v>54</v>
      </c>
    </row>
    <row r="451" spans="1:2" x14ac:dyDescent="0.2">
      <c r="A451">
        <v>445</v>
      </c>
      <c r="B451" t="s">
        <v>54</v>
      </c>
    </row>
    <row r="452" spans="1:2" x14ac:dyDescent="0.2">
      <c r="A452">
        <v>446</v>
      </c>
      <c r="B452" t="s">
        <v>54</v>
      </c>
    </row>
    <row r="453" spans="1:2" x14ac:dyDescent="0.2">
      <c r="A453">
        <v>447</v>
      </c>
      <c r="B453" t="s">
        <v>54</v>
      </c>
    </row>
    <row r="454" spans="1:2" x14ac:dyDescent="0.2">
      <c r="A454">
        <v>448</v>
      </c>
      <c r="B454" t="s">
        <v>54</v>
      </c>
    </row>
    <row r="455" spans="1:2" x14ac:dyDescent="0.2">
      <c r="A455">
        <v>449</v>
      </c>
      <c r="B455" t="s">
        <v>54</v>
      </c>
    </row>
    <row r="456" spans="1:2" x14ac:dyDescent="0.2">
      <c r="A456">
        <v>450</v>
      </c>
      <c r="B456" t="s">
        <v>54</v>
      </c>
    </row>
    <row r="457" spans="1:2" x14ac:dyDescent="0.2">
      <c r="A457">
        <v>451</v>
      </c>
      <c r="B457" t="s">
        <v>54</v>
      </c>
    </row>
    <row r="458" spans="1:2" x14ac:dyDescent="0.2">
      <c r="A458">
        <v>452</v>
      </c>
      <c r="B458" t="s">
        <v>54</v>
      </c>
    </row>
    <row r="459" spans="1:2" x14ac:dyDescent="0.2">
      <c r="A459">
        <v>453</v>
      </c>
      <c r="B459" t="s">
        <v>54</v>
      </c>
    </row>
    <row r="460" spans="1:2" x14ac:dyDescent="0.2">
      <c r="A460">
        <v>454</v>
      </c>
      <c r="B460" t="s">
        <v>54</v>
      </c>
    </row>
    <row r="461" spans="1:2" x14ac:dyDescent="0.2">
      <c r="A461">
        <v>455</v>
      </c>
      <c r="B461" t="s">
        <v>54</v>
      </c>
    </row>
    <row r="462" spans="1:2" x14ac:dyDescent="0.2">
      <c r="A462">
        <v>456</v>
      </c>
      <c r="B462" t="s">
        <v>54</v>
      </c>
    </row>
    <row r="463" spans="1:2" x14ac:dyDescent="0.2">
      <c r="A463">
        <v>457</v>
      </c>
      <c r="B463" t="s">
        <v>54</v>
      </c>
    </row>
    <row r="464" spans="1:2" x14ac:dyDescent="0.2">
      <c r="A464">
        <v>458</v>
      </c>
      <c r="B464" t="s">
        <v>54</v>
      </c>
    </row>
    <row r="465" spans="1:2" x14ac:dyDescent="0.2">
      <c r="A465">
        <v>459</v>
      </c>
      <c r="B465" t="s">
        <v>54</v>
      </c>
    </row>
    <row r="466" spans="1:2" x14ac:dyDescent="0.2">
      <c r="A466">
        <v>460</v>
      </c>
      <c r="B466" t="s">
        <v>54</v>
      </c>
    </row>
    <row r="467" spans="1:2" x14ac:dyDescent="0.2">
      <c r="A467">
        <v>461</v>
      </c>
      <c r="B467" t="s">
        <v>54</v>
      </c>
    </row>
    <row r="468" spans="1:2" x14ac:dyDescent="0.2">
      <c r="A468">
        <v>462</v>
      </c>
      <c r="B468" t="s">
        <v>54</v>
      </c>
    </row>
    <row r="469" spans="1:2" x14ac:dyDescent="0.2">
      <c r="A469">
        <v>463</v>
      </c>
      <c r="B469" t="s">
        <v>54</v>
      </c>
    </row>
    <row r="470" spans="1:2" x14ac:dyDescent="0.2">
      <c r="A470">
        <v>464</v>
      </c>
      <c r="B470" t="s">
        <v>54</v>
      </c>
    </row>
    <row r="471" spans="1:2" x14ac:dyDescent="0.2">
      <c r="A471">
        <v>465</v>
      </c>
      <c r="B471" t="s">
        <v>54</v>
      </c>
    </row>
    <row r="472" spans="1:2" x14ac:dyDescent="0.2">
      <c r="A472">
        <v>466</v>
      </c>
      <c r="B472" t="s">
        <v>54</v>
      </c>
    </row>
    <row r="473" spans="1:2" x14ac:dyDescent="0.2">
      <c r="A473">
        <v>467</v>
      </c>
      <c r="B473" t="s">
        <v>54</v>
      </c>
    </row>
    <row r="474" spans="1:2" x14ac:dyDescent="0.2">
      <c r="A474">
        <v>468</v>
      </c>
      <c r="B474" t="s">
        <v>54</v>
      </c>
    </row>
    <row r="475" spans="1:2" x14ac:dyDescent="0.2">
      <c r="A475">
        <v>469</v>
      </c>
      <c r="B475" t="s">
        <v>54</v>
      </c>
    </row>
    <row r="476" spans="1:2" x14ac:dyDescent="0.2">
      <c r="A476">
        <v>470</v>
      </c>
      <c r="B476" t="s">
        <v>54</v>
      </c>
    </row>
    <row r="477" spans="1:2" x14ac:dyDescent="0.2">
      <c r="A477">
        <v>471</v>
      </c>
      <c r="B477" t="s">
        <v>54</v>
      </c>
    </row>
    <row r="478" spans="1:2" x14ac:dyDescent="0.2">
      <c r="A478">
        <v>472</v>
      </c>
      <c r="B478" t="s">
        <v>54</v>
      </c>
    </row>
    <row r="479" spans="1:2" x14ac:dyDescent="0.2">
      <c r="A479">
        <v>473</v>
      </c>
      <c r="B479" t="s">
        <v>54</v>
      </c>
    </row>
    <row r="480" spans="1:2" x14ac:dyDescent="0.2">
      <c r="A480">
        <v>474</v>
      </c>
      <c r="B480" t="s">
        <v>54</v>
      </c>
    </row>
    <row r="481" spans="1:2" x14ac:dyDescent="0.2">
      <c r="A481">
        <v>475</v>
      </c>
      <c r="B481" t="s">
        <v>54</v>
      </c>
    </row>
    <row r="482" spans="1:2" x14ac:dyDescent="0.2">
      <c r="A482">
        <v>476</v>
      </c>
      <c r="B482" t="s">
        <v>54</v>
      </c>
    </row>
    <row r="483" spans="1:2" x14ac:dyDescent="0.2">
      <c r="A483">
        <v>477</v>
      </c>
      <c r="B483" t="s">
        <v>54</v>
      </c>
    </row>
    <row r="484" spans="1:2" x14ac:dyDescent="0.2">
      <c r="A484">
        <v>478</v>
      </c>
      <c r="B484" t="s">
        <v>54</v>
      </c>
    </row>
    <row r="485" spans="1:2" x14ac:dyDescent="0.2">
      <c r="A485">
        <v>479</v>
      </c>
      <c r="B485" t="s">
        <v>54</v>
      </c>
    </row>
    <row r="486" spans="1:2" x14ac:dyDescent="0.2">
      <c r="A486">
        <v>480</v>
      </c>
      <c r="B486" t="s">
        <v>54</v>
      </c>
    </row>
    <row r="487" spans="1:2" x14ac:dyDescent="0.2">
      <c r="A487">
        <v>481</v>
      </c>
      <c r="B487" t="s">
        <v>54</v>
      </c>
    </row>
    <row r="488" spans="1:2" x14ac:dyDescent="0.2">
      <c r="A488">
        <v>482</v>
      </c>
      <c r="B488" t="s">
        <v>54</v>
      </c>
    </row>
    <row r="489" spans="1:2" x14ac:dyDescent="0.2">
      <c r="A489">
        <v>483</v>
      </c>
      <c r="B489" t="s">
        <v>54</v>
      </c>
    </row>
    <row r="490" spans="1:2" x14ac:dyDescent="0.2">
      <c r="A490">
        <v>484</v>
      </c>
      <c r="B490" t="s">
        <v>54</v>
      </c>
    </row>
    <row r="491" spans="1:2" x14ac:dyDescent="0.2">
      <c r="A491">
        <v>485</v>
      </c>
      <c r="B491" t="s">
        <v>54</v>
      </c>
    </row>
    <row r="492" spans="1:2" x14ac:dyDescent="0.2">
      <c r="A492">
        <v>486</v>
      </c>
      <c r="B492" t="s">
        <v>54</v>
      </c>
    </row>
    <row r="493" spans="1:2" x14ac:dyDescent="0.2">
      <c r="A493">
        <v>487</v>
      </c>
      <c r="B493" t="s">
        <v>54</v>
      </c>
    </row>
    <row r="494" spans="1:2" x14ac:dyDescent="0.2">
      <c r="A494">
        <v>488</v>
      </c>
      <c r="B494" t="s">
        <v>54</v>
      </c>
    </row>
    <row r="495" spans="1:2" x14ac:dyDescent="0.2">
      <c r="A495">
        <v>489</v>
      </c>
      <c r="B495" t="s">
        <v>54</v>
      </c>
    </row>
    <row r="496" spans="1:2" x14ac:dyDescent="0.2">
      <c r="A496">
        <v>490</v>
      </c>
      <c r="B496" t="s">
        <v>54</v>
      </c>
    </row>
    <row r="497" spans="1:2" x14ac:dyDescent="0.2">
      <c r="A497">
        <v>491</v>
      </c>
      <c r="B497" t="s">
        <v>54</v>
      </c>
    </row>
    <row r="498" spans="1:2" x14ac:dyDescent="0.2">
      <c r="A498">
        <v>492</v>
      </c>
      <c r="B498" t="s">
        <v>54</v>
      </c>
    </row>
    <row r="499" spans="1:2" x14ac:dyDescent="0.2">
      <c r="A499">
        <v>493</v>
      </c>
      <c r="B499" t="s">
        <v>54</v>
      </c>
    </row>
    <row r="500" spans="1:2" x14ac:dyDescent="0.2">
      <c r="A500">
        <v>494</v>
      </c>
      <c r="B500" t="s">
        <v>54</v>
      </c>
    </row>
    <row r="501" spans="1:2" x14ac:dyDescent="0.2">
      <c r="A501">
        <v>495</v>
      </c>
      <c r="B501" t="s">
        <v>54</v>
      </c>
    </row>
    <row r="502" spans="1:2" x14ac:dyDescent="0.2">
      <c r="A502">
        <v>496</v>
      </c>
      <c r="B502" t="s">
        <v>54</v>
      </c>
    </row>
    <row r="503" spans="1:2" x14ac:dyDescent="0.2">
      <c r="A503">
        <v>497</v>
      </c>
      <c r="B503" t="s">
        <v>54</v>
      </c>
    </row>
    <row r="504" spans="1:2" x14ac:dyDescent="0.2">
      <c r="A504">
        <v>498</v>
      </c>
      <c r="B504" t="s">
        <v>54</v>
      </c>
    </row>
    <row r="505" spans="1:2" x14ac:dyDescent="0.2">
      <c r="A505">
        <v>499</v>
      </c>
      <c r="B505" t="s">
        <v>54</v>
      </c>
    </row>
    <row r="506" spans="1:2" x14ac:dyDescent="0.2">
      <c r="A506">
        <v>500</v>
      </c>
      <c r="B506" t="s">
        <v>54</v>
      </c>
    </row>
    <row r="507" spans="1:2" x14ac:dyDescent="0.2">
      <c r="A507">
        <v>501</v>
      </c>
      <c r="B507" t="s">
        <v>54</v>
      </c>
    </row>
    <row r="508" spans="1:2" x14ac:dyDescent="0.2">
      <c r="A508">
        <v>502</v>
      </c>
      <c r="B508" t="s">
        <v>54</v>
      </c>
    </row>
    <row r="509" spans="1:2" x14ac:dyDescent="0.2">
      <c r="A509">
        <v>503</v>
      </c>
      <c r="B509" t="s">
        <v>54</v>
      </c>
    </row>
    <row r="510" spans="1:2" x14ac:dyDescent="0.2">
      <c r="A510">
        <v>504</v>
      </c>
      <c r="B510" t="s">
        <v>54</v>
      </c>
    </row>
    <row r="511" spans="1:2" x14ac:dyDescent="0.2">
      <c r="A511">
        <v>505</v>
      </c>
      <c r="B511" t="s">
        <v>54</v>
      </c>
    </row>
    <row r="512" spans="1:2" x14ac:dyDescent="0.2">
      <c r="A512">
        <v>506</v>
      </c>
      <c r="B512" t="s">
        <v>54</v>
      </c>
    </row>
    <row r="513" spans="1:2" x14ac:dyDescent="0.2">
      <c r="A513">
        <v>507</v>
      </c>
      <c r="B513" t="s">
        <v>54</v>
      </c>
    </row>
    <row r="514" spans="1:2" x14ac:dyDescent="0.2">
      <c r="A514">
        <v>508</v>
      </c>
      <c r="B514" t="s">
        <v>54</v>
      </c>
    </row>
    <row r="515" spans="1:2" x14ac:dyDescent="0.2">
      <c r="A515">
        <v>509</v>
      </c>
      <c r="B515" t="s">
        <v>54</v>
      </c>
    </row>
    <row r="516" spans="1:2" x14ac:dyDescent="0.2">
      <c r="A516">
        <v>510</v>
      </c>
      <c r="B516" t="s">
        <v>54</v>
      </c>
    </row>
    <row r="517" spans="1:2" x14ac:dyDescent="0.2">
      <c r="A517">
        <v>511</v>
      </c>
      <c r="B517" t="s">
        <v>54</v>
      </c>
    </row>
    <row r="518" spans="1:2" x14ac:dyDescent="0.2">
      <c r="A518">
        <v>512</v>
      </c>
      <c r="B518" t="s">
        <v>54</v>
      </c>
    </row>
    <row r="519" spans="1:2" x14ac:dyDescent="0.2">
      <c r="A519">
        <v>513</v>
      </c>
      <c r="B519" t="s">
        <v>54</v>
      </c>
    </row>
    <row r="520" spans="1:2" x14ac:dyDescent="0.2">
      <c r="A520">
        <v>514</v>
      </c>
      <c r="B520" t="s">
        <v>54</v>
      </c>
    </row>
    <row r="521" spans="1:2" x14ac:dyDescent="0.2">
      <c r="A521">
        <v>515</v>
      </c>
      <c r="B521" t="s">
        <v>54</v>
      </c>
    </row>
    <row r="522" spans="1:2" x14ac:dyDescent="0.2">
      <c r="A522">
        <v>516</v>
      </c>
      <c r="B522" t="s">
        <v>54</v>
      </c>
    </row>
    <row r="523" spans="1:2" x14ac:dyDescent="0.2">
      <c r="A523">
        <v>517</v>
      </c>
      <c r="B523" t="s">
        <v>54</v>
      </c>
    </row>
    <row r="524" spans="1:2" x14ac:dyDescent="0.2">
      <c r="A524">
        <v>518</v>
      </c>
      <c r="B524" t="s">
        <v>54</v>
      </c>
    </row>
    <row r="525" spans="1:2" x14ac:dyDescent="0.2">
      <c r="A525">
        <v>519</v>
      </c>
      <c r="B525" t="s">
        <v>54</v>
      </c>
    </row>
    <row r="526" spans="1:2" x14ac:dyDescent="0.2">
      <c r="A526">
        <v>520</v>
      </c>
      <c r="B526" t="s">
        <v>54</v>
      </c>
    </row>
    <row r="527" spans="1:2" x14ac:dyDescent="0.2">
      <c r="A527">
        <v>521</v>
      </c>
      <c r="B527" t="s">
        <v>54</v>
      </c>
    </row>
    <row r="528" spans="1:2" x14ac:dyDescent="0.2">
      <c r="A528">
        <v>522</v>
      </c>
      <c r="B528" t="s">
        <v>54</v>
      </c>
    </row>
    <row r="529" spans="1:2" x14ac:dyDescent="0.2">
      <c r="A529">
        <v>523</v>
      </c>
      <c r="B529" t="s">
        <v>54</v>
      </c>
    </row>
    <row r="530" spans="1:2" x14ac:dyDescent="0.2">
      <c r="A530">
        <v>524</v>
      </c>
      <c r="B530" t="s">
        <v>54</v>
      </c>
    </row>
    <row r="531" spans="1:2" x14ac:dyDescent="0.2">
      <c r="A531">
        <v>525</v>
      </c>
      <c r="B531" t="s">
        <v>54</v>
      </c>
    </row>
    <row r="532" spans="1:2" x14ac:dyDescent="0.2">
      <c r="A532">
        <v>526</v>
      </c>
      <c r="B532" t="s">
        <v>54</v>
      </c>
    </row>
    <row r="533" spans="1:2" x14ac:dyDescent="0.2">
      <c r="A533">
        <v>527</v>
      </c>
      <c r="B533" t="s">
        <v>54</v>
      </c>
    </row>
    <row r="534" spans="1:2" x14ac:dyDescent="0.2">
      <c r="A534">
        <v>528</v>
      </c>
      <c r="B534" t="s">
        <v>54</v>
      </c>
    </row>
    <row r="535" spans="1:2" x14ac:dyDescent="0.2">
      <c r="A535">
        <v>529</v>
      </c>
      <c r="B535" t="s">
        <v>54</v>
      </c>
    </row>
    <row r="536" spans="1:2" x14ac:dyDescent="0.2">
      <c r="A536">
        <v>530</v>
      </c>
      <c r="B536" t="s">
        <v>54</v>
      </c>
    </row>
    <row r="537" spans="1:2" x14ac:dyDescent="0.2">
      <c r="A537">
        <v>531</v>
      </c>
      <c r="B537" t="s">
        <v>54</v>
      </c>
    </row>
    <row r="538" spans="1:2" x14ac:dyDescent="0.2">
      <c r="A538">
        <v>532</v>
      </c>
      <c r="B538" t="s">
        <v>54</v>
      </c>
    </row>
    <row r="539" spans="1:2" x14ac:dyDescent="0.2">
      <c r="A539">
        <v>533</v>
      </c>
      <c r="B539" t="s">
        <v>54</v>
      </c>
    </row>
    <row r="540" spans="1:2" x14ac:dyDescent="0.2">
      <c r="A540">
        <v>534</v>
      </c>
      <c r="B540" t="s">
        <v>54</v>
      </c>
    </row>
    <row r="541" spans="1:2" x14ac:dyDescent="0.2">
      <c r="A541">
        <v>535</v>
      </c>
      <c r="B541" t="s">
        <v>54</v>
      </c>
    </row>
    <row r="542" spans="1:2" x14ac:dyDescent="0.2">
      <c r="A542">
        <v>536</v>
      </c>
      <c r="B542" t="s">
        <v>54</v>
      </c>
    </row>
    <row r="543" spans="1:2" x14ac:dyDescent="0.2">
      <c r="A543">
        <v>537</v>
      </c>
      <c r="B543" t="s">
        <v>54</v>
      </c>
    </row>
    <row r="544" spans="1:2" x14ac:dyDescent="0.2">
      <c r="A544">
        <v>538</v>
      </c>
      <c r="B544" t="s">
        <v>54</v>
      </c>
    </row>
    <row r="545" spans="1:2" x14ac:dyDescent="0.2">
      <c r="A545">
        <v>539</v>
      </c>
      <c r="B545" t="s">
        <v>54</v>
      </c>
    </row>
    <row r="546" spans="1:2" x14ac:dyDescent="0.2">
      <c r="A546">
        <v>540</v>
      </c>
      <c r="B546" t="s">
        <v>54</v>
      </c>
    </row>
    <row r="547" spans="1:2" x14ac:dyDescent="0.2">
      <c r="A547">
        <v>541</v>
      </c>
      <c r="B547" t="s">
        <v>54</v>
      </c>
    </row>
    <row r="548" spans="1:2" x14ac:dyDescent="0.2">
      <c r="A548">
        <v>542</v>
      </c>
      <c r="B548" t="s">
        <v>54</v>
      </c>
    </row>
    <row r="549" spans="1:2" x14ac:dyDescent="0.2">
      <c r="A549">
        <v>543</v>
      </c>
      <c r="B549" t="s">
        <v>54</v>
      </c>
    </row>
    <row r="550" spans="1:2" x14ac:dyDescent="0.2">
      <c r="A550">
        <v>544</v>
      </c>
      <c r="B550" t="s">
        <v>54</v>
      </c>
    </row>
    <row r="551" spans="1:2" x14ac:dyDescent="0.2">
      <c r="A551">
        <v>545</v>
      </c>
      <c r="B551" t="s">
        <v>54</v>
      </c>
    </row>
    <row r="552" spans="1:2" x14ac:dyDescent="0.2">
      <c r="A552">
        <v>546</v>
      </c>
      <c r="B552" t="s">
        <v>54</v>
      </c>
    </row>
    <row r="553" spans="1:2" x14ac:dyDescent="0.2">
      <c r="A553">
        <v>547</v>
      </c>
      <c r="B553" t="s">
        <v>54</v>
      </c>
    </row>
    <row r="554" spans="1:2" x14ac:dyDescent="0.2">
      <c r="A554">
        <v>548</v>
      </c>
      <c r="B554" t="s">
        <v>54</v>
      </c>
    </row>
    <row r="555" spans="1:2" x14ac:dyDescent="0.2">
      <c r="A555">
        <v>549</v>
      </c>
      <c r="B555" t="s">
        <v>54</v>
      </c>
    </row>
    <row r="556" spans="1:2" x14ac:dyDescent="0.2">
      <c r="A556">
        <v>550</v>
      </c>
      <c r="B556" t="s">
        <v>54</v>
      </c>
    </row>
    <row r="557" spans="1:2" x14ac:dyDescent="0.2">
      <c r="A557">
        <v>551</v>
      </c>
      <c r="B557" t="s">
        <v>54</v>
      </c>
    </row>
    <row r="558" spans="1:2" x14ac:dyDescent="0.2">
      <c r="A558">
        <v>552</v>
      </c>
      <c r="B558" t="s">
        <v>54</v>
      </c>
    </row>
    <row r="559" spans="1:2" x14ac:dyDescent="0.2">
      <c r="A559">
        <v>553</v>
      </c>
      <c r="B559" t="s">
        <v>54</v>
      </c>
    </row>
    <row r="560" spans="1:2" x14ac:dyDescent="0.2">
      <c r="A560">
        <v>554</v>
      </c>
      <c r="B560" t="s">
        <v>54</v>
      </c>
    </row>
    <row r="561" spans="1:2" x14ac:dyDescent="0.2">
      <c r="A561">
        <v>555</v>
      </c>
      <c r="B561" t="s">
        <v>54</v>
      </c>
    </row>
    <row r="562" spans="1:2" x14ac:dyDescent="0.2">
      <c r="A562">
        <v>556</v>
      </c>
      <c r="B562" t="s">
        <v>54</v>
      </c>
    </row>
    <row r="563" spans="1:2" x14ac:dyDescent="0.2">
      <c r="A563">
        <v>557</v>
      </c>
      <c r="B563" t="s">
        <v>54</v>
      </c>
    </row>
    <row r="564" spans="1:2" x14ac:dyDescent="0.2">
      <c r="A564">
        <v>558</v>
      </c>
      <c r="B564" t="s">
        <v>54</v>
      </c>
    </row>
    <row r="565" spans="1:2" x14ac:dyDescent="0.2">
      <c r="A565">
        <v>559</v>
      </c>
      <c r="B565" t="s">
        <v>54</v>
      </c>
    </row>
    <row r="566" spans="1:2" x14ac:dyDescent="0.2">
      <c r="A566">
        <v>560</v>
      </c>
      <c r="B566" t="s">
        <v>54</v>
      </c>
    </row>
    <row r="567" spans="1:2" x14ac:dyDescent="0.2">
      <c r="A567">
        <v>561</v>
      </c>
      <c r="B567" t="s">
        <v>54</v>
      </c>
    </row>
    <row r="568" spans="1:2" x14ac:dyDescent="0.2">
      <c r="A568">
        <v>562</v>
      </c>
      <c r="B568" t="s">
        <v>54</v>
      </c>
    </row>
    <row r="569" spans="1:2" x14ac:dyDescent="0.2">
      <c r="A569">
        <v>563</v>
      </c>
      <c r="B569" t="s">
        <v>54</v>
      </c>
    </row>
    <row r="570" spans="1:2" x14ac:dyDescent="0.2">
      <c r="A570">
        <v>564</v>
      </c>
      <c r="B570" t="s">
        <v>54</v>
      </c>
    </row>
    <row r="571" spans="1:2" x14ac:dyDescent="0.2">
      <c r="A571">
        <v>565</v>
      </c>
      <c r="B571" t="s">
        <v>54</v>
      </c>
    </row>
    <row r="572" spans="1:2" x14ac:dyDescent="0.2">
      <c r="A572">
        <v>566</v>
      </c>
      <c r="B572" t="s">
        <v>54</v>
      </c>
    </row>
    <row r="573" spans="1:2" x14ac:dyDescent="0.2">
      <c r="A573">
        <v>567</v>
      </c>
      <c r="B573" t="s">
        <v>54</v>
      </c>
    </row>
    <row r="574" spans="1:2" x14ac:dyDescent="0.2">
      <c r="A574">
        <v>568</v>
      </c>
      <c r="B574" t="s">
        <v>54</v>
      </c>
    </row>
    <row r="575" spans="1:2" x14ac:dyDescent="0.2">
      <c r="A575">
        <v>569</v>
      </c>
      <c r="B575" t="s">
        <v>54</v>
      </c>
    </row>
    <row r="576" spans="1:2" x14ac:dyDescent="0.2">
      <c r="A576">
        <v>570</v>
      </c>
      <c r="B576" t="s">
        <v>54</v>
      </c>
    </row>
    <row r="577" spans="1:2" x14ac:dyDescent="0.2">
      <c r="A577">
        <v>571</v>
      </c>
      <c r="B577" t="s">
        <v>54</v>
      </c>
    </row>
    <row r="578" spans="1:2" x14ac:dyDescent="0.2">
      <c r="A578">
        <v>572</v>
      </c>
      <c r="B578" t="s">
        <v>54</v>
      </c>
    </row>
    <row r="579" spans="1:2" x14ac:dyDescent="0.2">
      <c r="A579">
        <v>573</v>
      </c>
      <c r="B579" t="s">
        <v>54</v>
      </c>
    </row>
    <row r="580" spans="1:2" x14ac:dyDescent="0.2">
      <c r="A580">
        <v>574</v>
      </c>
      <c r="B580" t="s">
        <v>54</v>
      </c>
    </row>
    <row r="581" spans="1:2" x14ac:dyDescent="0.2">
      <c r="A581">
        <v>575</v>
      </c>
      <c r="B581" t="s">
        <v>54</v>
      </c>
    </row>
    <row r="582" spans="1:2" x14ac:dyDescent="0.2">
      <c r="A582">
        <v>576</v>
      </c>
      <c r="B582" t="s">
        <v>54</v>
      </c>
    </row>
    <row r="583" spans="1:2" x14ac:dyDescent="0.2">
      <c r="A583">
        <v>577</v>
      </c>
      <c r="B583" t="s">
        <v>54</v>
      </c>
    </row>
    <row r="584" spans="1:2" x14ac:dyDescent="0.2">
      <c r="A584">
        <v>578</v>
      </c>
      <c r="B584" t="s">
        <v>54</v>
      </c>
    </row>
    <row r="585" spans="1:2" x14ac:dyDescent="0.2">
      <c r="A585">
        <v>579</v>
      </c>
      <c r="B585" t="s">
        <v>54</v>
      </c>
    </row>
    <row r="586" spans="1:2" x14ac:dyDescent="0.2">
      <c r="A586">
        <v>580</v>
      </c>
      <c r="B586" t="s">
        <v>54</v>
      </c>
    </row>
    <row r="587" spans="1:2" x14ac:dyDescent="0.2">
      <c r="A587">
        <v>581</v>
      </c>
      <c r="B587" t="s">
        <v>54</v>
      </c>
    </row>
    <row r="588" spans="1:2" x14ac:dyDescent="0.2">
      <c r="A588">
        <v>582</v>
      </c>
      <c r="B588" t="s">
        <v>54</v>
      </c>
    </row>
    <row r="589" spans="1:2" x14ac:dyDescent="0.2">
      <c r="A589">
        <v>583</v>
      </c>
      <c r="B589" t="s">
        <v>54</v>
      </c>
    </row>
    <row r="590" spans="1:2" x14ac:dyDescent="0.2">
      <c r="A590">
        <v>584</v>
      </c>
      <c r="B590" t="s">
        <v>54</v>
      </c>
    </row>
    <row r="591" spans="1:2" x14ac:dyDescent="0.2">
      <c r="A591">
        <v>585</v>
      </c>
      <c r="B591" t="s">
        <v>54</v>
      </c>
    </row>
    <row r="592" spans="1:2" x14ac:dyDescent="0.2">
      <c r="A592">
        <v>586</v>
      </c>
      <c r="B592" t="s">
        <v>54</v>
      </c>
    </row>
    <row r="593" spans="1:2" x14ac:dyDescent="0.2">
      <c r="A593">
        <v>587</v>
      </c>
      <c r="B593" t="s">
        <v>54</v>
      </c>
    </row>
    <row r="594" spans="1:2" x14ac:dyDescent="0.2">
      <c r="A594">
        <v>588</v>
      </c>
      <c r="B594" t="s">
        <v>54</v>
      </c>
    </row>
    <row r="595" spans="1:2" x14ac:dyDescent="0.2">
      <c r="A595">
        <v>589</v>
      </c>
      <c r="B595" t="s">
        <v>54</v>
      </c>
    </row>
    <row r="596" spans="1:2" x14ac:dyDescent="0.2">
      <c r="A596">
        <v>590</v>
      </c>
      <c r="B596" t="s">
        <v>54</v>
      </c>
    </row>
    <row r="597" spans="1:2" x14ac:dyDescent="0.2">
      <c r="A597">
        <v>591</v>
      </c>
      <c r="B597" t="s">
        <v>54</v>
      </c>
    </row>
    <row r="598" spans="1:2" x14ac:dyDescent="0.2">
      <c r="A598">
        <v>592</v>
      </c>
      <c r="B598" t="s">
        <v>54</v>
      </c>
    </row>
    <row r="599" spans="1:2" x14ac:dyDescent="0.2">
      <c r="A599">
        <v>593</v>
      </c>
      <c r="B599" t="s">
        <v>54</v>
      </c>
    </row>
    <row r="600" spans="1:2" x14ac:dyDescent="0.2">
      <c r="A600">
        <v>594</v>
      </c>
      <c r="B600" t="s">
        <v>54</v>
      </c>
    </row>
    <row r="601" spans="1:2" x14ac:dyDescent="0.2">
      <c r="A601">
        <v>595</v>
      </c>
      <c r="B601" t="s">
        <v>54</v>
      </c>
    </row>
    <row r="602" spans="1:2" x14ac:dyDescent="0.2">
      <c r="A602">
        <v>596</v>
      </c>
      <c r="B602" t="s">
        <v>54</v>
      </c>
    </row>
    <row r="603" spans="1:2" x14ac:dyDescent="0.2">
      <c r="A603">
        <v>597</v>
      </c>
      <c r="B603" t="s">
        <v>54</v>
      </c>
    </row>
    <row r="604" spans="1:2" x14ac:dyDescent="0.2">
      <c r="A604">
        <v>598</v>
      </c>
      <c r="B604" t="s">
        <v>54</v>
      </c>
    </row>
    <row r="605" spans="1:2" x14ac:dyDescent="0.2">
      <c r="A605">
        <v>599</v>
      </c>
      <c r="B605" t="s">
        <v>54</v>
      </c>
    </row>
    <row r="606" spans="1:2" x14ac:dyDescent="0.2">
      <c r="A606">
        <v>600</v>
      </c>
      <c r="B606" t="s">
        <v>54</v>
      </c>
    </row>
    <row r="607" spans="1:2" x14ac:dyDescent="0.2">
      <c r="A607">
        <v>601</v>
      </c>
      <c r="B607" t="s">
        <v>54</v>
      </c>
    </row>
    <row r="608" spans="1:2" x14ac:dyDescent="0.2">
      <c r="A608">
        <v>602</v>
      </c>
      <c r="B608" t="s">
        <v>54</v>
      </c>
    </row>
    <row r="609" spans="1:2" x14ac:dyDescent="0.2">
      <c r="A609">
        <v>603</v>
      </c>
      <c r="B609" t="s">
        <v>54</v>
      </c>
    </row>
    <row r="610" spans="1:2" x14ac:dyDescent="0.2">
      <c r="A610">
        <v>604</v>
      </c>
      <c r="B610" t="s">
        <v>54</v>
      </c>
    </row>
    <row r="611" spans="1:2" x14ac:dyDescent="0.2">
      <c r="A611">
        <v>605</v>
      </c>
      <c r="B611" t="s">
        <v>54</v>
      </c>
    </row>
    <row r="612" spans="1:2" x14ac:dyDescent="0.2">
      <c r="A612">
        <v>606</v>
      </c>
      <c r="B612" t="s">
        <v>54</v>
      </c>
    </row>
    <row r="613" spans="1:2" x14ac:dyDescent="0.2">
      <c r="A613">
        <v>607</v>
      </c>
      <c r="B613" t="s">
        <v>54</v>
      </c>
    </row>
    <row r="614" spans="1:2" x14ac:dyDescent="0.2">
      <c r="A614">
        <v>608</v>
      </c>
      <c r="B614" t="s">
        <v>54</v>
      </c>
    </row>
    <row r="615" spans="1:2" x14ac:dyDescent="0.2">
      <c r="A615">
        <v>609</v>
      </c>
      <c r="B615" t="s">
        <v>54</v>
      </c>
    </row>
    <row r="616" spans="1:2" x14ac:dyDescent="0.2">
      <c r="A616">
        <v>610</v>
      </c>
      <c r="B616" t="s">
        <v>54</v>
      </c>
    </row>
    <row r="617" spans="1:2" x14ac:dyDescent="0.2">
      <c r="A617">
        <v>611</v>
      </c>
      <c r="B617" t="s">
        <v>54</v>
      </c>
    </row>
    <row r="618" spans="1:2" x14ac:dyDescent="0.2">
      <c r="A618">
        <v>612</v>
      </c>
      <c r="B618" t="s">
        <v>54</v>
      </c>
    </row>
    <row r="619" spans="1:2" x14ac:dyDescent="0.2">
      <c r="A619">
        <v>613</v>
      </c>
      <c r="B619" t="s">
        <v>54</v>
      </c>
    </row>
    <row r="620" spans="1:2" x14ac:dyDescent="0.2">
      <c r="A620">
        <v>614</v>
      </c>
      <c r="B620" t="s">
        <v>54</v>
      </c>
    </row>
    <row r="621" spans="1:2" x14ac:dyDescent="0.2">
      <c r="A621">
        <v>615</v>
      </c>
      <c r="B621" t="s">
        <v>54</v>
      </c>
    </row>
    <row r="622" spans="1:2" x14ac:dyDescent="0.2">
      <c r="A622">
        <v>616</v>
      </c>
      <c r="B622" t="s">
        <v>54</v>
      </c>
    </row>
    <row r="623" spans="1:2" x14ac:dyDescent="0.2">
      <c r="A623">
        <v>617</v>
      </c>
      <c r="B623" t="s">
        <v>54</v>
      </c>
    </row>
    <row r="624" spans="1:2" x14ac:dyDescent="0.2">
      <c r="A624">
        <v>618</v>
      </c>
      <c r="B624" t="s">
        <v>54</v>
      </c>
    </row>
    <row r="625" spans="1:2" x14ac:dyDescent="0.2">
      <c r="A625">
        <v>619</v>
      </c>
      <c r="B625" t="s">
        <v>54</v>
      </c>
    </row>
    <row r="626" spans="1:2" x14ac:dyDescent="0.2">
      <c r="A626">
        <v>620</v>
      </c>
      <c r="B626" t="s">
        <v>54</v>
      </c>
    </row>
    <row r="627" spans="1:2" x14ac:dyDescent="0.2">
      <c r="A627">
        <v>621</v>
      </c>
      <c r="B627" t="s">
        <v>54</v>
      </c>
    </row>
    <row r="628" spans="1:2" x14ac:dyDescent="0.2">
      <c r="A628">
        <v>622</v>
      </c>
      <c r="B628" t="s">
        <v>54</v>
      </c>
    </row>
    <row r="629" spans="1:2" x14ac:dyDescent="0.2">
      <c r="A629">
        <v>623</v>
      </c>
      <c r="B629" t="s">
        <v>54</v>
      </c>
    </row>
    <row r="630" spans="1:2" x14ac:dyDescent="0.2">
      <c r="A630">
        <v>624</v>
      </c>
      <c r="B630" t="s">
        <v>54</v>
      </c>
    </row>
    <row r="631" spans="1:2" x14ac:dyDescent="0.2">
      <c r="A631">
        <v>625</v>
      </c>
      <c r="B631" t="s">
        <v>54</v>
      </c>
    </row>
    <row r="632" spans="1:2" x14ac:dyDescent="0.2">
      <c r="A632">
        <v>626</v>
      </c>
      <c r="B632" t="s">
        <v>54</v>
      </c>
    </row>
    <row r="633" spans="1:2" x14ac:dyDescent="0.2">
      <c r="A633">
        <v>627</v>
      </c>
      <c r="B633" t="s">
        <v>54</v>
      </c>
    </row>
    <row r="634" spans="1:2" x14ac:dyDescent="0.2">
      <c r="A634">
        <v>628</v>
      </c>
      <c r="B634" t="s">
        <v>54</v>
      </c>
    </row>
    <row r="635" spans="1:2" x14ac:dyDescent="0.2">
      <c r="A635">
        <v>629</v>
      </c>
      <c r="B635" t="s">
        <v>54</v>
      </c>
    </row>
    <row r="636" spans="1:2" x14ac:dyDescent="0.2">
      <c r="A636">
        <v>630</v>
      </c>
      <c r="B636" t="s">
        <v>54</v>
      </c>
    </row>
    <row r="637" spans="1:2" x14ac:dyDescent="0.2">
      <c r="A637">
        <v>631</v>
      </c>
      <c r="B637" t="s">
        <v>54</v>
      </c>
    </row>
    <row r="638" spans="1:2" x14ac:dyDescent="0.2">
      <c r="A638">
        <v>632</v>
      </c>
      <c r="B638" t="s">
        <v>54</v>
      </c>
    </row>
    <row r="639" spans="1:2" x14ac:dyDescent="0.2">
      <c r="A639">
        <v>633</v>
      </c>
      <c r="B639" t="s">
        <v>54</v>
      </c>
    </row>
    <row r="640" spans="1:2" x14ac:dyDescent="0.2">
      <c r="A640">
        <v>634</v>
      </c>
      <c r="B640" t="s">
        <v>54</v>
      </c>
    </row>
    <row r="641" spans="1:2" x14ac:dyDescent="0.2">
      <c r="A641">
        <v>635</v>
      </c>
      <c r="B641" t="s">
        <v>54</v>
      </c>
    </row>
    <row r="642" spans="1:2" x14ac:dyDescent="0.2">
      <c r="A642">
        <v>636</v>
      </c>
      <c r="B642" t="s">
        <v>54</v>
      </c>
    </row>
    <row r="643" spans="1:2" x14ac:dyDescent="0.2">
      <c r="A643">
        <v>637</v>
      </c>
      <c r="B643" t="s">
        <v>54</v>
      </c>
    </row>
    <row r="644" spans="1:2" x14ac:dyDescent="0.2">
      <c r="A644">
        <v>638</v>
      </c>
      <c r="B644" t="s">
        <v>54</v>
      </c>
    </row>
    <row r="645" spans="1:2" x14ac:dyDescent="0.2">
      <c r="A645">
        <v>639</v>
      </c>
      <c r="B645" t="s">
        <v>54</v>
      </c>
    </row>
    <row r="646" spans="1:2" x14ac:dyDescent="0.2">
      <c r="A646">
        <v>640</v>
      </c>
      <c r="B646" t="s">
        <v>54</v>
      </c>
    </row>
    <row r="647" spans="1:2" x14ac:dyDescent="0.2">
      <c r="A647">
        <v>641</v>
      </c>
      <c r="B647" t="s">
        <v>54</v>
      </c>
    </row>
    <row r="648" spans="1:2" x14ac:dyDescent="0.2">
      <c r="A648">
        <v>642</v>
      </c>
      <c r="B648" t="s">
        <v>54</v>
      </c>
    </row>
    <row r="649" spans="1:2" x14ac:dyDescent="0.2">
      <c r="A649">
        <v>643</v>
      </c>
      <c r="B649" t="s">
        <v>54</v>
      </c>
    </row>
    <row r="650" spans="1:2" x14ac:dyDescent="0.2">
      <c r="A650">
        <v>644</v>
      </c>
      <c r="B650" t="s">
        <v>54</v>
      </c>
    </row>
    <row r="651" spans="1:2" x14ac:dyDescent="0.2">
      <c r="A651">
        <v>645</v>
      </c>
      <c r="B651" t="s">
        <v>54</v>
      </c>
    </row>
    <row r="652" spans="1:2" x14ac:dyDescent="0.2">
      <c r="A652">
        <v>646</v>
      </c>
      <c r="B652" t="s">
        <v>54</v>
      </c>
    </row>
    <row r="653" spans="1:2" x14ac:dyDescent="0.2">
      <c r="A653">
        <v>647</v>
      </c>
      <c r="B653" t="s">
        <v>54</v>
      </c>
    </row>
    <row r="654" spans="1:2" x14ac:dyDescent="0.2">
      <c r="A654">
        <v>648</v>
      </c>
      <c r="B654" t="s">
        <v>54</v>
      </c>
    </row>
    <row r="655" spans="1:2" x14ac:dyDescent="0.2">
      <c r="A655">
        <v>649</v>
      </c>
      <c r="B655" t="s">
        <v>54</v>
      </c>
    </row>
    <row r="656" spans="1:2" x14ac:dyDescent="0.2">
      <c r="A656">
        <v>650</v>
      </c>
      <c r="B656" t="s">
        <v>54</v>
      </c>
    </row>
    <row r="657" spans="1:2" x14ac:dyDescent="0.2">
      <c r="A657">
        <v>651</v>
      </c>
      <c r="B657" t="s">
        <v>54</v>
      </c>
    </row>
    <row r="658" spans="1:2" x14ac:dyDescent="0.2">
      <c r="A658">
        <v>652</v>
      </c>
      <c r="B658" t="s">
        <v>54</v>
      </c>
    </row>
    <row r="659" spans="1:2" x14ac:dyDescent="0.2">
      <c r="A659">
        <v>653</v>
      </c>
      <c r="B659" t="s">
        <v>54</v>
      </c>
    </row>
    <row r="660" spans="1:2" x14ac:dyDescent="0.2">
      <c r="A660">
        <v>654</v>
      </c>
      <c r="B660" t="s">
        <v>54</v>
      </c>
    </row>
    <row r="661" spans="1:2" x14ac:dyDescent="0.2">
      <c r="A661">
        <v>655</v>
      </c>
      <c r="B661" t="s">
        <v>54</v>
      </c>
    </row>
    <row r="662" spans="1:2" x14ac:dyDescent="0.2">
      <c r="A662">
        <v>656</v>
      </c>
      <c r="B662" t="s">
        <v>54</v>
      </c>
    </row>
    <row r="663" spans="1:2" x14ac:dyDescent="0.2">
      <c r="A663">
        <v>657</v>
      </c>
      <c r="B663" t="s">
        <v>54</v>
      </c>
    </row>
    <row r="664" spans="1:2" x14ac:dyDescent="0.2">
      <c r="A664">
        <v>658</v>
      </c>
      <c r="B664" t="s">
        <v>54</v>
      </c>
    </row>
    <row r="665" spans="1:2" x14ac:dyDescent="0.2">
      <c r="A665">
        <v>659</v>
      </c>
      <c r="B665" t="s">
        <v>54</v>
      </c>
    </row>
    <row r="666" spans="1:2" x14ac:dyDescent="0.2">
      <c r="A666">
        <v>660</v>
      </c>
      <c r="B666" t="s">
        <v>54</v>
      </c>
    </row>
    <row r="667" spans="1:2" x14ac:dyDescent="0.2">
      <c r="A667">
        <v>661</v>
      </c>
      <c r="B667" t="s">
        <v>54</v>
      </c>
    </row>
    <row r="668" spans="1:2" x14ac:dyDescent="0.2">
      <c r="A668">
        <v>662</v>
      </c>
      <c r="B668" t="s">
        <v>54</v>
      </c>
    </row>
    <row r="669" spans="1:2" x14ac:dyDescent="0.2">
      <c r="A669">
        <v>663</v>
      </c>
      <c r="B669" t="s">
        <v>54</v>
      </c>
    </row>
    <row r="670" spans="1:2" x14ac:dyDescent="0.2">
      <c r="A670">
        <v>664</v>
      </c>
      <c r="B670" t="s">
        <v>54</v>
      </c>
    </row>
    <row r="671" spans="1:2" x14ac:dyDescent="0.2">
      <c r="A671">
        <v>665</v>
      </c>
      <c r="B671" t="s">
        <v>54</v>
      </c>
    </row>
    <row r="672" spans="1:2" x14ac:dyDescent="0.2">
      <c r="A672">
        <v>666</v>
      </c>
      <c r="B672" t="s">
        <v>54</v>
      </c>
    </row>
    <row r="673" spans="1:2" x14ac:dyDescent="0.2">
      <c r="A673">
        <v>667</v>
      </c>
      <c r="B673" t="s">
        <v>54</v>
      </c>
    </row>
    <row r="674" spans="1:2" x14ac:dyDescent="0.2">
      <c r="A674">
        <v>668</v>
      </c>
      <c r="B674" t="s">
        <v>54</v>
      </c>
    </row>
    <row r="675" spans="1:2" x14ac:dyDescent="0.2">
      <c r="A675">
        <v>669</v>
      </c>
      <c r="B675" t="s">
        <v>54</v>
      </c>
    </row>
    <row r="676" spans="1:2" x14ac:dyDescent="0.2">
      <c r="A676">
        <v>670</v>
      </c>
      <c r="B676" t="s">
        <v>54</v>
      </c>
    </row>
    <row r="677" spans="1:2" x14ac:dyDescent="0.2">
      <c r="A677">
        <v>671</v>
      </c>
      <c r="B677" t="s">
        <v>54</v>
      </c>
    </row>
    <row r="678" spans="1:2" x14ac:dyDescent="0.2">
      <c r="A678">
        <v>672</v>
      </c>
      <c r="B678" t="s">
        <v>54</v>
      </c>
    </row>
    <row r="679" spans="1:2" x14ac:dyDescent="0.2">
      <c r="A679">
        <v>673</v>
      </c>
      <c r="B679" t="s">
        <v>54</v>
      </c>
    </row>
    <row r="680" spans="1:2" x14ac:dyDescent="0.2">
      <c r="A680">
        <v>674</v>
      </c>
      <c r="B680" t="s">
        <v>54</v>
      </c>
    </row>
    <row r="681" spans="1:2" x14ac:dyDescent="0.2">
      <c r="A681">
        <v>675</v>
      </c>
      <c r="B681" t="s">
        <v>54</v>
      </c>
    </row>
    <row r="682" spans="1:2" x14ac:dyDescent="0.2">
      <c r="A682">
        <v>676</v>
      </c>
      <c r="B682" t="s">
        <v>54</v>
      </c>
    </row>
    <row r="683" spans="1:2" x14ac:dyDescent="0.2">
      <c r="A683">
        <v>677</v>
      </c>
      <c r="B683" t="s">
        <v>54</v>
      </c>
    </row>
    <row r="684" spans="1:2" x14ac:dyDescent="0.2">
      <c r="A684">
        <v>678</v>
      </c>
      <c r="B684" t="s">
        <v>54</v>
      </c>
    </row>
    <row r="685" spans="1:2" x14ac:dyDescent="0.2">
      <c r="A685">
        <v>679</v>
      </c>
      <c r="B685" t="s">
        <v>54</v>
      </c>
    </row>
    <row r="686" spans="1:2" x14ac:dyDescent="0.2">
      <c r="A686">
        <v>680</v>
      </c>
      <c r="B686" t="s">
        <v>54</v>
      </c>
    </row>
    <row r="687" spans="1:2" x14ac:dyDescent="0.2">
      <c r="A687">
        <v>681</v>
      </c>
      <c r="B687" t="s">
        <v>54</v>
      </c>
    </row>
    <row r="688" spans="1:2" x14ac:dyDescent="0.2">
      <c r="A688">
        <v>682</v>
      </c>
      <c r="B688" t="s">
        <v>54</v>
      </c>
    </row>
    <row r="689" spans="1:2" x14ac:dyDescent="0.2">
      <c r="A689">
        <v>683</v>
      </c>
      <c r="B689" t="s">
        <v>54</v>
      </c>
    </row>
    <row r="690" spans="1:2" x14ac:dyDescent="0.2">
      <c r="A690">
        <v>684</v>
      </c>
      <c r="B690" t="s">
        <v>54</v>
      </c>
    </row>
    <row r="691" spans="1:2" x14ac:dyDescent="0.2">
      <c r="A691">
        <v>685</v>
      </c>
      <c r="B691" t="s">
        <v>54</v>
      </c>
    </row>
    <row r="692" spans="1:2" x14ac:dyDescent="0.2">
      <c r="A692">
        <v>686</v>
      </c>
      <c r="B692" t="s">
        <v>54</v>
      </c>
    </row>
    <row r="693" spans="1:2" x14ac:dyDescent="0.2">
      <c r="A693">
        <v>687</v>
      </c>
      <c r="B693" t="s">
        <v>54</v>
      </c>
    </row>
    <row r="694" spans="1:2" x14ac:dyDescent="0.2">
      <c r="A694">
        <v>688</v>
      </c>
      <c r="B694" t="s">
        <v>54</v>
      </c>
    </row>
    <row r="695" spans="1:2" x14ac:dyDescent="0.2">
      <c r="A695">
        <v>689</v>
      </c>
      <c r="B695" t="s">
        <v>54</v>
      </c>
    </row>
    <row r="696" spans="1:2" x14ac:dyDescent="0.2">
      <c r="A696">
        <v>690</v>
      </c>
      <c r="B696" t="s">
        <v>54</v>
      </c>
    </row>
    <row r="697" spans="1:2" x14ac:dyDescent="0.2">
      <c r="A697">
        <v>691</v>
      </c>
      <c r="B697" t="s">
        <v>54</v>
      </c>
    </row>
    <row r="698" spans="1:2" x14ac:dyDescent="0.2">
      <c r="A698">
        <v>692</v>
      </c>
      <c r="B698" t="s">
        <v>54</v>
      </c>
    </row>
    <row r="699" spans="1:2" x14ac:dyDescent="0.2">
      <c r="A699">
        <v>693</v>
      </c>
      <c r="B699" t="s">
        <v>54</v>
      </c>
    </row>
    <row r="700" spans="1:2" x14ac:dyDescent="0.2">
      <c r="A700">
        <v>694</v>
      </c>
      <c r="B700" t="s">
        <v>54</v>
      </c>
    </row>
    <row r="701" spans="1:2" x14ac:dyDescent="0.2">
      <c r="A701">
        <v>695</v>
      </c>
      <c r="B701" t="s">
        <v>54</v>
      </c>
    </row>
    <row r="702" spans="1:2" x14ac:dyDescent="0.2">
      <c r="A702">
        <v>696</v>
      </c>
      <c r="B702" t="s">
        <v>54</v>
      </c>
    </row>
    <row r="703" spans="1:2" x14ac:dyDescent="0.2">
      <c r="A703">
        <v>697</v>
      </c>
      <c r="B703" t="s">
        <v>54</v>
      </c>
    </row>
    <row r="704" spans="1:2" x14ac:dyDescent="0.2">
      <c r="A704">
        <v>698</v>
      </c>
      <c r="B704" t="s">
        <v>54</v>
      </c>
    </row>
    <row r="705" spans="1:2" x14ac:dyDescent="0.2">
      <c r="A705">
        <v>699</v>
      </c>
      <c r="B705" t="s">
        <v>54</v>
      </c>
    </row>
    <row r="706" spans="1:2" x14ac:dyDescent="0.2">
      <c r="A706">
        <v>700</v>
      </c>
      <c r="B706" t="s">
        <v>54</v>
      </c>
    </row>
    <row r="707" spans="1:2" x14ac:dyDescent="0.2">
      <c r="A707">
        <v>701</v>
      </c>
      <c r="B707" t="s">
        <v>54</v>
      </c>
    </row>
    <row r="708" spans="1:2" x14ac:dyDescent="0.2">
      <c r="A708">
        <v>702</v>
      </c>
      <c r="B708" t="s">
        <v>54</v>
      </c>
    </row>
    <row r="709" spans="1:2" x14ac:dyDescent="0.2">
      <c r="A709">
        <v>703</v>
      </c>
      <c r="B709" t="s">
        <v>54</v>
      </c>
    </row>
    <row r="710" spans="1:2" x14ac:dyDescent="0.2">
      <c r="A710">
        <v>704</v>
      </c>
      <c r="B710" t="s">
        <v>54</v>
      </c>
    </row>
    <row r="711" spans="1:2" x14ac:dyDescent="0.2">
      <c r="A711">
        <v>705</v>
      </c>
      <c r="B711" t="s">
        <v>54</v>
      </c>
    </row>
    <row r="712" spans="1:2" x14ac:dyDescent="0.2">
      <c r="A712">
        <v>706</v>
      </c>
      <c r="B712" t="s">
        <v>54</v>
      </c>
    </row>
    <row r="713" spans="1:2" x14ac:dyDescent="0.2">
      <c r="A713">
        <v>707</v>
      </c>
      <c r="B713" t="s">
        <v>54</v>
      </c>
    </row>
    <row r="714" spans="1:2" x14ac:dyDescent="0.2">
      <c r="A714">
        <v>708</v>
      </c>
      <c r="B714" t="s">
        <v>54</v>
      </c>
    </row>
    <row r="715" spans="1:2" x14ac:dyDescent="0.2">
      <c r="A715">
        <v>709</v>
      </c>
      <c r="B715" t="s">
        <v>54</v>
      </c>
    </row>
    <row r="716" spans="1:2" x14ac:dyDescent="0.2">
      <c r="A716">
        <v>710</v>
      </c>
      <c r="B716" t="s">
        <v>54</v>
      </c>
    </row>
    <row r="717" spans="1:2" x14ac:dyDescent="0.2">
      <c r="A717">
        <v>711</v>
      </c>
      <c r="B717" t="s">
        <v>54</v>
      </c>
    </row>
    <row r="718" spans="1:2" x14ac:dyDescent="0.2">
      <c r="A718">
        <v>712</v>
      </c>
      <c r="B718" t="s">
        <v>54</v>
      </c>
    </row>
    <row r="719" spans="1:2" x14ac:dyDescent="0.2">
      <c r="A719">
        <v>713</v>
      </c>
      <c r="B719" t="s">
        <v>54</v>
      </c>
    </row>
    <row r="720" spans="1:2" x14ac:dyDescent="0.2">
      <c r="A720">
        <v>714</v>
      </c>
      <c r="B720" t="s">
        <v>54</v>
      </c>
    </row>
    <row r="721" spans="1:2" x14ac:dyDescent="0.2">
      <c r="A721">
        <v>715</v>
      </c>
      <c r="B721" t="s">
        <v>54</v>
      </c>
    </row>
    <row r="722" spans="1:2" x14ac:dyDescent="0.2">
      <c r="A722">
        <v>716</v>
      </c>
      <c r="B722" t="s">
        <v>54</v>
      </c>
    </row>
    <row r="723" spans="1:2" x14ac:dyDescent="0.2">
      <c r="A723">
        <v>717</v>
      </c>
      <c r="B723" t="s">
        <v>54</v>
      </c>
    </row>
    <row r="724" spans="1:2" x14ac:dyDescent="0.2">
      <c r="A724">
        <v>718</v>
      </c>
      <c r="B724" t="s">
        <v>54</v>
      </c>
    </row>
    <row r="725" spans="1:2" x14ac:dyDescent="0.2">
      <c r="A725">
        <v>719</v>
      </c>
      <c r="B725" t="s">
        <v>54</v>
      </c>
    </row>
    <row r="726" spans="1:2" x14ac:dyDescent="0.2">
      <c r="A726">
        <v>720</v>
      </c>
      <c r="B726" t="s">
        <v>54</v>
      </c>
    </row>
    <row r="727" spans="1:2" x14ac:dyDescent="0.2">
      <c r="A727">
        <v>721</v>
      </c>
      <c r="B727" t="s">
        <v>54</v>
      </c>
    </row>
    <row r="728" spans="1:2" x14ac:dyDescent="0.2">
      <c r="A728">
        <v>722</v>
      </c>
      <c r="B728" t="s">
        <v>54</v>
      </c>
    </row>
    <row r="729" spans="1:2" x14ac:dyDescent="0.2">
      <c r="A729">
        <v>723</v>
      </c>
      <c r="B729" t="s">
        <v>54</v>
      </c>
    </row>
    <row r="730" spans="1:2" x14ac:dyDescent="0.2">
      <c r="A730">
        <v>724</v>
      </c>
      <c r="B730" t="s">
        <v>54</v>
      </c>
    </row>
    <row r="731" spans="1:2" x14ac:dyDescent="0.2">
      <c r="A731">
        <v>725</v>
      </c>
      <c r="B731" t="s">
        <v>54</v>
      </c>
    </row>
    <row r="732" spans="1:2" x14ac:dyDescent="0.2">
      <c r="A732">
        <v>726</v>
      </c>
      <c r="B732" t="s">
        <v>54</v>
      </c>
    </row>
    <row r="733" spans="1:2" x14ac:dyDescent="0.2">
      <c r="A733">
        <v>727</v>
      </c>
      <c r="B733" t="s">
        <v>54</v>
      </c>
    </row>
    <row r="734" spans="1:2" x14ac:dyDescent="0.2">
      <c r="A734">
        <v>728</v>
      </c>
      <c r="B734" t="s">
        <v>54</v>
      </c>
    </row>
    <row r="735" spans="1:2" x14ac:dyDescent="0.2">
      <c r="A735">
        <v>729</v>
      </c>
      <c r="B735" t="s">
        <v>54</v>
      </c>
    </row>
    <row r="736" spans="1:2" x14ac:dyDescent="0.2">
      <c r="A736">
        <v>730</v>
      </c>
      <c r="B736" t="s">
        <v>54</v>
      </c>
    </row>
    <row r="737" spans="1:2" x14ac:dyDescent="0.2">
      <c r="A737">
        <v>731</v>
      </c>
      <c r="B737" t="s">
        <v>54</v>
      </c>
    </row>
    <row r="738" spans="1:2" x14ac:dyDescent="0.2">
      <c r="A738">
        <v>732</v>
      </c>
      <c r="B738" t="s">
        <v>54</v>
      </c>
    </row>
    <row r="739" spans="1:2" x14ac:dyDescent="0.2">
      <c r="A739">
        <v>733</v>
      </c>
      <c r="B739" t="s">
        <v>54</v>
      </c>
    </row>
    <row r="740" spans="1:2" x14ac:dyDescent="0.2">
      <c r="A740">
        <v>734</v>
      </c>
      <c r="B740" t="s">
        <v>54</v>
      </c>
    </row>
    <row r="741" spans="1:2" x14ac:dyDescent="0.2">
      <c r="A741">
        <v>735</v>
      </c>
      <c r="B741" t="s">
        <v>54</v>
      </c>
    </row>
    <row r="742" spans="1:2" x14ac:dyDescent="0.2">
      <c r="A742">
        <v>736</v>
      </c>
      <c r="B742" t="s">
        <v>54</v>
      </c>
    </row>
    <row r="743" spans="1:2" x14ac:dyDescent="0.2">
      <c r="A743">
        <v>737</v>
      </c>
      <c r="B743" t="s">
        <v>54</v>
      </c>
    </row>
    <row r="744" spans="1:2" x14ac:dyDescent="0.2">
      <c r="A744">
        <v>738</v>
      </c>
      <c r="B744" t="s">
        <v>54</v>
      </c>
    </row>
    <row r="745" spans="1:2" x14ac:dyDescent="0.2">
      <c r="A745">
        <v>739</v>
      </c>
      <c r="B745" t="s">
        <v>54</v>
      </c>
    </row>
    <row r="746" spans="1:2" x14ac:dyDescent="0.2">
      <c r="A746">
        <v>740</v>
      </c>
      <c r="B746" t="s">
        <v>54</v>
      </c>
    </row>
    <row r="747" spans="1:2" x14ac:dyDescent="0.2">
      <c r="A747">
        <v>741</v>
      </c>
      <c r="B747" t="s">
        <v>54</v>
      </c>
    </row>
    <row r="748" spans="1:2" x14ac:dyDescent="0.2">
      <c r="A748">
        <v>742</v>
      </c>
      <c r="B748" t="s">
        <v>54</v>
      </c>
    </row>
    <row r="749" spans="1:2" x14ac:dyDescent="0.2">
      <c r="A749">
        <v>743</v>
      </c>
      <c r="B749" t="s">
        <v>54</v>
      </c>
    </row>
    <row r="750" spans="1:2" x14ac:dyDescent="0.2">
      <c r="A750">
        <v>744</v>
      </c>
      <c r="B750" t="s">
        <v>54</v>
      </c>
    </row>
    <row r="751" spans="1:2" x14ac:dyDescent="0.2">
      <c r="A751">
        <v>745</v>
      </c>
      <c r="B751" t="s">
        <v>54</v>
      </c>
    </row>
    <row r="752" spans="1:2" x14ac:dyDescent="0.2">
      <c r="A752">
        <v>746</v>
      </c>
      <c r="B752" t="s">
        <v>54</v>
      </c>
    </row>
    <row r="753" spans="1:2" x14ac:dyDescent="0.2">
      <c r="A753">
        <v>747</v>
      </c>
      <c r="B753" t="s">
        <v>54</v>
      </c>
    </row>
    <row r="754" spans="1:2" x14ac:dyDescent="0.2">
      <c r="A754">
        <v>748</v>
      </c>
      <c r="B754" t="s">
        <v>54</v>
      </c>
    </row>
    <row r="755" spans="1:2" x14ac:dyDescent="0.2">
      <c r="A755">
        <v>749</v>
      </c>
      <c r="B755" t="s">
        <v>54</v>
      </c>
    </row>
    <row r="756" spans="1:2" x14ac:dyDescent="0.2">
      <c r="A756">
        <v>750</v>
      </c>
      <c r="B756" t="s">
        <v>54</v>
      </c>
    </row>
    <row r="757" spans="1:2" x14ac:dyDescent="0.2">
      <c r="A757">
        <v>751</v>
      </c>
      <c r="B757" t="s">
        <v>54</v>
      </c>
    </row>
    <row r="758" spans="1:2" x14ac:dyDescent="0.2">
      <c r="A758">
        <v>752</v>
      </c>
      <c r="B758" t="s">
        <v>54</v>
      </c>
    </row>
    <row r="759" spans="1:2" x14ac:dyDescent="0.2">
      <c r="A759">
        <v>753</v>
      </c>
      <c r="B759" t="s">
        <v>54</v>
      </c>
    </row>
    <row r="760" spans="1:2" x14ac:dyDescent="0.2">
      <c r="A760">
        <v>754</v>
      </c>
      <c r="B760" t="s">
        <v>54</v>
      </c>
    </row>
    <row r="761" spans="1:2" x14ac:dyDescent="0.2">
      <c r="A761">
        <v>755</v>
      </c>
      <c r="B761" t="s">
        <v>54</v>
      </c>
    </row>
    <row r="762" spans="1:2" x14ac:dyDescent="0.2">
      <c r="A762">
        <v>756</v>
      </c>
      <c r="B762" t="s">
        <v>54</v>
      </c>
    </row>
    <row r="763" spans="1:2" x14ac:dyDescent="0.2">
      <c r="A763">
        <v>757</v>
      </c>
      <c r="B763" t="s">
        <v>54</v>
      </c>
    </row>
    <row r="764" spans="1:2" x14ac:dyDescent="0.2">
      <c r="A764">
        <v>758</v>
      </c>
      <c r="B764" t="s">
        <v>54</v>
      </c>
    </row>
    <row r="765" spans="1:2" x14ac:dyDescent="0.2">
      <c r="A765">
        <v>759</v>
      </c>
      <c r="B765" t="s">
        <v>54</v>
      </c>
    </row>
    <row r="766" spans="1:2" x14ac:dyDescent="0.2">
      <c r="A766">
        <v>760</v>
      </c>
      <c r="B766" t="s">
        <v>54</v>
      </c>
    </row>
    <row r="767" spans="1:2" x14ac:dyDescent="0.2">
      <c r="A767">
        <v>761</v>
      </c>
      <c r="B767" t="s">
        <v>54</v>
      </c>
    </row>
    <row r="768" spans="1:2" x14ac:dyDescent="0.2">
      <c r="A768">
        <v>762</v>
      </c>
      <c r="B768" t="s">
        <v>54</v>
      </c>
    </row>
    <row r="769" spans="1:2" x14ac:dyDescent="0.2">
      <c r="A769">
        <v>763</v>
      </c>
      <c r="B769" t="s">
        <v>54</v>
      </c>
    </row>
    <row r="770" spans="1:2" x14ac:dyDescent="0.2">
      <c r="A770">
        <v>764</v>
      </c>
      <c r="B770" t="s">
        <v>54</v>
      </c>
    </row>
    <row r="771" spans="1:2" x14ac:dyDescent="0.2">
      <c r="A771">
        <v>765</v>
      </c>
      <c r="B771" t="s">
        <v>54</v>
      </c>
    </row>
    <row r="772" spans="1:2" x14ac:dyDescent="0.2">
      <c r="A772">
        <v>766</v>
      </c>
      <c r="B772" t="s">
        <v>54</v>
      </c>
    </row>
    <row r="773" spans="1:2" x14ac:dyDescent="0.2">
      <c r="A773">
        <v>767</v>
      </c>
      <c r="B773" t="s">
        <v>54</v>
      </c>
    </row>
    <row r="774" spans="1:2" x14ac:dyDescent="0.2">
      <c r="A774">
        <v>768</v>
      </c>
      <c r="B774" t="s">
        <v>54</v>
      </c>
    </row>
    <row r="775" spans="1:2" x14ac:dyDescent="0.2">
      <c r="A775">
        <v>769</v>
      </c>
      <c r="B775" t="s">
        <v>54</v>
      </c>
    </row>
    <row r="776" spans="1:2" x14ac:dyDescent="0.2">
      <c r="A776">
        <v>770</v>
      </c>
      <c r="B776" t="s">
        <v>54</v>
      </c>
    </row>
    <row r="777" spans="1:2" x14ac:dyDescent="0.2">
      <c r="A777">
        <v>771</v>
      </c>
      <c r="B777" t="s">
        <v>54</v>
      </c>
    </row>
    <row r="778" spans="1:2" x14ac:dyDescent="0.2">
      <c r="A778">
        <v>772</v>
      </c>
      <c r="B778" t="s">
        <v>54</v>
      </c>
    </row>
    <row r="779" spans="1:2" x14ac:dyDescent="0.2">
      <c r="A779">
        <v>773</v>
      </c>
      <c r="B779" t="s">
        <v>54</v>
      </c>
    </row>
    <row r="780" spans="1:2" x14ac:dyDescent="0.2">
      <c r="A780">
        <v>774</v>
      </c>
      <c r="B780" t="s">
        <v>54</v>
      </c>
    </row>
    <row r="781" spans="1:2" x14ac:dyDescent="0.2">
      <c r="A781">
        <v>775</v>
      </c>
      <c r="B781" t="s">
        <v>54</v>
      </c>
    </row>
    <row r="782" spans="1:2" x14ac:dyDescent="0.2">
      <c r="A782">
        <v>776</v>
      </c>
      <c r="B782" t="s">
        <v>54</v>
      </c>
    </row>
    <row r="783" spans="1:2" x14ac:dyDescent="0.2">
      <c r="A783">
        <v>777</v>
      </c>
      <c r="B783" t="s">
        <v>54</v>
      </c>
    </row>
    <row r="784" spans="1:2" x14ac:dyDescent="0.2">
      <c r="A784">
        <v>778</v>
      </c>
      <c r="B784" t="s">
        <v>54</v>
      </c>
    </row>
    <row r="785" spans="1:2" x14ac:dyDescent="0.2">
      <c r="A785">
        <v>779</v>
      </c>
      <c r="B785" t="s">
        <v>54</v>
      </c>
    </row>
    <row r="786" spans="1:2" x14ac:dyDescent="0.2">
      <c r="A786">
        <v>780</v>
      </c>
      <c r="B786" t="s">
        <v>54</v>
      </c>
    </row>
    <row r="787" spans="1:2" x14ac:dyDescent="0.2">
      <c r="A787">
        <v>781</v>
      </c>
      <c r="B787" t="s">
        <v>54</v>
      </c>
    </row>
    <row r="788" spans="1:2" x14ac:dyDescent="0.2">
      <c r="A788">
        <v>782</v>
      </c>
      <c r="B788" t="s">
        <v>54</v>
      </c>
    </row>
    <row r="789" spans="1:2" x14ac:dyDescent="0.2">
      <c r="A789">
        <v>783</v>
      </c>
      <c r="B789" t="s">
        <v>54</v>
      </c>
    </row>
    <row r="790" spans="1:2" x14ac:dyDescent="0.2">
      <c r="A790">
        <v>784</v>
      </c>
      <c r="B790" t="s">
        <v>54</v>
      </c>
    </row>
    <row r="791" spans="1:2" x14ac:dyDescent="0.2">
      <c r="A791">
        <v>785</v>
      </c>
      <c r="B791" t="s">
        <v>54</v>
      </c>
    </row>
    <row r="792" spans="1:2" x14ac:dyDescent="0.2">
      <c r="A792">
        <v>786</v>
      </c>
      <c r="B792" t="s">
        <v>54</v>
      </c>
    </row>
    <row r="793" spans="1:2" x14ac:dyDescent="0.2">
      <c r="A793">
        <v>787</v>
      </c>
      <c r="B793" t="s">
        <v>54</v>
      </c>
    </row>
    <row r="794" spans="1:2" x14ac:dyDescent="0.2">
      <c r="A794">
        <v>788</v>
      </c>
      <c r="B794" t="s">
        <v>54</v>
      </c>
    </row>
    <row r="795" spans="1:2" x14ac:dyDescent="0.2">
      <c r="A795">
        <v>789</v>
      </c>
      <c r="B795" t="s">
        <v>54</v>
      </c>
    </row>
    <row r="796" spans="1:2" x14ac:dyDescent="0.2">
      <c r="A796">
        <v>790</v>
      </c>
      <c r="B796" t="s">
        <v>54</v>
      </c>
    </row>
    <row r="797" spans="1:2" x14ac:dyDescent="0.2">
      <c r="A797">
        <v>791</v>
      </c>
      <c r="B797" t="s">
        <v>54</v>
      </c>
    </row>
    <row r="798" spans="1:2" x14ac:dyDescent="0.2">
      <c r="A798">
        <v>792</v>
      </c>
      <c r="B798" t="s">
        <v>54</v>
      </c>
    </row>
    <row r="799" spans="1:2" x14ac:dyDescent="0.2">
      <c r="A799">
        <v>793</v>
      </c>
      <c r="B799" t="s">
        <v>54</v>
      </c>
    </row>
    <row r="800" spans="1:2" x14ac:dyDescent="0.2">
      <c r="A800">
        <v>794</v>
      </c>
      <c r="B800" t="s">
        <v>54</v>
      </c>
    </row>
    <row r="801" spans="1:2" x14ac:dyDescent="0.2">
      <c r="A801">
        <v>795</v>
      </c>
      <c r="B801" t="s">
        <v>54</v>
      </c>
    </row>
    <row r="802" spans="1:2" x14ac:dyDescent="0.2">
      <c r="A802">
        <v>796</v>
      </c>
      <c r="B802" t="s">
        <v>54</v>
      </c>
    </row>
    <row r="803" spans="1:2" x14ac:dyDescent="0.2">
      <c r="A803">
        <v>797</v>
      </c>
      <c r="B803" t="s">
        <v>54</v>
      </c>
    </row>
    <row r="804" spans="1:2" x14ac:dyDescent="0.2">
      <c r="A804">
        <v>798</v>
      </c>
      <c r="B804" t="s">
        <v>54</v>
      </c>
    </row>
    <row r="805" spans="1:2" x14ac:dyDescent="0.2">
      <c r="A805">
        <v>799</v>
      </c>
      <c r="B805" t="s">
        <v>54</v>
      </c>
    </row>
    <row r="806" spans="1:2" x14ac:dyDescent="0.2">
      <c r="A806">
        <v>800</v>
      </c>
      <c r="B806" t="s">
        <v>54</v>
      </c>
    </row>
    <row r="807" spans="1:2" x14ac:dyDescent="0.2">
      <c r="A807">
        <v>801</v>
      </c>
      <c r="B807" t="s">
        <v>54</v>
      </c>
    </row>
    <row r="808" spans="1:2" x14ac:dyDescent="0.2">
      <c r="A808">
        <v>802</v>
      </c>
      <c r="B808" t="s">
        <v>54</v>
      </c>
    </row>
    <row r="809" spans="1:2" x14ac:dyDescent="0.2">
      <c r="A809">
        <v>803</v>
      </c>
      <c r="B809" t="s">
        <v>54</v>
      </c>
    </row>
    <row r="810" spans="1:2" x14ac:dyDescent="0.2">
      <c r="A810">
        <v>804</v>
      </c>
      <c r="B810" t="s">
        <v>54</v>
      </c>
    </row>
    <row r="811" spans="1:2" x14ac:dyDescent="0.2">
      <c r="A811">
        <v>805</v>
      </c>
      <c r="B811" t="s">
        <v>54</v>
      </c>
    </row>
    <row r="812" spans="1:2" x14ac:dyDescent="0.2">
      <c r="A812">
        <v>806</v>
      </c>
      <c r="B812" t="s">
        <v>54</v>
      </c>
    </row>
    <row r="813" spans="1:2" x14ac:dyDescent="0.2">
      <c r="A813">
        <v>807</v>
      </c>
      <c r="B813" t="s">
        <v>54</v>
      </c>
    </row>
    <row r="814" spans="1:2" x14ac:dyDescent="0.2">
      <c r="A814">
        <v>808</v>
      </c>
      <c r="B814" t="s">
        <v>54</v>
      </c>
    </row>
    <row r="815" spans="1:2" x14ac:dyDescent="0.2">
      <c r="A815">
        <v>809</v>
      </c>
      <c r="B815" t="s">
        <v>54</v>
      </c>
    </row>
    <row r="816" spans="1:2" x14ac:dyDescent="0.2">
      <c r="A816">
        <v>810</v>
      </c>
      <c r="B816" t="s">
        <v>54</v>
      </c>
    </row>
    <row r="817" spans="1:2" x14ac:dyDescent="0.2">
      <c r="A817">
        <v>811</v>
      </c>
      <c r="B817" t="s">
        <v>54</v>
      </c>
    </row>
    <row r="818" spans="1:2" x14ac:dyDescent="0.2">
      <c r="A818">
        <v>812</v>
      </c>
      <c r="B818" t="s">
        <v>54</v>
      </c>
    </row>
    <row r="819" spans="1:2" x14ac:dyDescent="0.2">
      <c r="A819">
        <v>813</v>
      </c>
      <c r="B819" t="s">
        <v>54</v>
      </c>
    </row>
    <row r="820" spans="1:2" x14ac:dyDescent="0.2">
      <c r="A820">
        <v>814</v>
      </c>
      <c r="B820" t="s">
        <v>54</v>
      </c>
    </row>
    <row r="821" spans="1:2" x14ac:dyDescent="0.2">
      <c r="A821">
        <v>815</v>
      </c>
      <c r="B821" t="s">
        <v>54</v>
      </c>
    </row>
    <row r="822" spans="1:2" x14ac:dyDescent="0.2">
      <c r="A822">
        <v>816</v>
      </c>
      <c r="B822" t="s">
        <v>54</v>
      </c>
    </row>
    <row r="823" spans="1:2" x14ac:dyDescent="0.2">
      <c r="A823">
        <v>817</v>
      </c>
      <c r="B823" t="s">
        <v>54</v>
      </c>
    </row>
    <row r="824" spans="1:2" x14ac:dyDescent="0.2">
      <c r="A824">
        <v>818</v>
      </c>
      <c r="B824" t="s">
        <v>54</v>
      </c>
    </row>
    <row r="825" spans="1:2" x14ac:dyDescent="0.2">
      <c r="A825">
        <v>819</v>
      </c>
      <c r="B825" t="s">
        <v>54</v>
      </c>
    </row>
    <row r="826" spans="1:2" x14ac:dyDescent="0.2">
      <c r="A826">
        <v>820</v>
      </c>
      <c r="B826" t="s">
        <v>54</v>
      </c>
    </row>
    <row r="827" spans="1:2" x14ac:dyDescent="0.2">
      <c r="A827">
        <v>821</v>
      </c>
      <c r="B827" t="s">
        <v>54</v>
      </c>
    </row>
    <row r="828" spans="1:2" x14ac:dyDescent="0.2">
      <c r="A828">
        <v>822</v>
      </c>
      <c r="B828" t="s">
        <v>54</v>
      </c>
    </row>
    <row r="829" spans="1:2" x14ac:dyDescent="0.2">
      <c r="A829">
        <v>823</v>
      </c>
      <c r="B829" t="s">
        <v>54</v>
      </c>
    </row>
    <row r="830" spans="1:2" x14ac:dyDescent="0.2">
      <c r="A830">
        <v>824</v>
      </c>
      <c r="B830" t="s">
        <v>54</v>
      </c>
    </row>
    <row r="831" spans="1:2" x14ac:dyDescent="0.2">
      <c r="A831">
        <v>825</v>
      </c>
      <c r="B831" t="s">
        <v>54</v>
      </c>
    </row>
    <row r="832" spans="1:2" x14ac:dyDescent="0.2">
      <c r="A832">
        <v>826</v>
      </c>
      <c r="B832" t="s">
        <v>54</v>
      </c>
    </row>
    <row r="833" spans="1:2" x14ac:dyDescent="0.2">
      <c r="A833">
        <v>827</v>
      </c>
      <c r="B833" t="s">
        <v>54</v>
      </c>
    </row>
    <row r="834" spans="1:2" x14ac:dyDescent="0.2">
      <c r="A834">
        <v>828</v>
      </c>
      <c r="B834" t="s">
        <v>54</v>
      </c>
    </row>
    <row r="835" spans="1:2" x14ac:dyDescent="0.2">
      <c r="A835">
        <v>829</v>
      </c>
      <c r="B835" t="s">
        <v>54</v>
      </c>
    </row>
    <row r="836" spans="1:2" x14ac:dyDescent="0.2">
      <c r="A836">
        <v>830</v>
      </c>
      <c r="B836" t="s">
        <v>54</v>
      </c>
    </row>
    <row r="837" spans="1:2" x14ac:dyDescent="0.2">
      <c r="A837">
        <v>831</v>
      </c>
      <c r="B837" t="s">
        <v>54</v>
      </c>
    </row>
    <row r="838" spans="1:2" x14ac:dyDescent="0.2">
      <c r="A838">
        <v>832</v>
      </c>
      <c r="B838" t="s">
        <v>54</v>
      </c>
    </row>
    <row r="839" spans="1:2" x14ac:dyDescent="0.2">
      <c r="A839">
        <v>833</v>
      </c>
      <c r="B839" t="s">
        <v>54</v>
      </c>
    </row>
    <row r="840" spans="1:2" x14ac:dyDescent="0.2">
      <c r="A840">
        <v>834</v>
      </c>
      <c r="B840" t="s">
        <v>54</v>
      </c>
    </row>
    <row r="841" spans="1:2" x14ac:dyDescent="0.2">
      <c r="A841">
        <v>835</v>
      </c>
      <c r="B841" t="s">
        <v>54</v>
      </c>
    </row>
    <row r="842" spans="1:2" x14ac:dyDescent="0.2">
      <c r="A842">
        <v>836</v>
      </c>
      <c r="B842" t="s">
        <v>54</v>
      </c>
    </row>
    <row r="843" spans="1:2" x14ac:dyDescent="0.2">
      <c r="A843">
        <v>837</v>
      </c>
      <c r="B843" t="s">
        <v>54</v>
      </c>
    </row>
    <row r="844" spans="1:2" x14ac:dyDescent="0.2">
      <c r="A844">
        <v>838</v>
      </c>
      <c r="B844" t="s">
        <v>54</v>
      </c>
    </row>
    <row r="845" spans="1:2" x14ac:dyDescent="0.2">
      <c r="A845">
        <v>839</v>
      </c>
      <c r="B845" t="s">
        <v>54</v>
      </c>
    </row>
    <row r="846" spans="1:2" x14ac:dyDescent="0.2">
      <c r="A846">
        <v>840</v>
      </c>
      <c r="B846" t="s">
        <v>54</v>
      </c>
    </row>
    <row r="847" spans="1:2" x14ac:dyDescent="0.2">
      <c r="A847">
        <v>841</v>
      </c>
      <c r="B847" t="s">
        <v>54</v>
      </c>
    </row>
    <row r="848" spans="1:2" x14ac:dyDescent="0.2">
      <c r="A848">
        <v>842</v>
      </c>
      <c r="B848" t="s">
        <v>54</v>
      </c>
    </row>
    <row r="849" spans="1:2" x14ac:dyDescent="0.2">
      <c r="A849">
        <v>843</v>
      </c>
      <c r="B849" t="s">
        <v>54</v>
      </c>
    </row>
    <row r="850" spans="1:2" x14ac:dyDescent="0.2">
      <c r="A850">
        <v>844</v>
      </c>
      <c r="B850" t="s">
        <v>54</v>
      </c>
    </row>
    <row r="851" spans="1:2" x14ac:dyDescent="0.2">
      <c r="A851">
        <v>845</v>
      </c>
      <c r="B851" t="s">
        <v>54</v>
      </c>
    </row>
    <row r="852" spans="1:2" x14ac:dyDescent="0.2">
      <c r="A852">
        <v>846</v>
      </c>
      <c r="B852" t="s">
        <v>54</v>
      </c>
    </row>
    <row r="853" spans="1:2" x14ac:dyDescent="0.2">
      <c r="A853">
        <v>847</v>
      </c>
      <c r="B853" t="s">
        <v>54</v>
      </c>
    </row>
    <row r="854" spans="1:2" x14ac:dyDescent="0.2">
      <c r="A854">
        <v>848</v>
      </c>
      <c r="B854" t="s">
        <v>54</v>
      </c>
    </row>
    <row r="855" spans="1:2" x14ac:dyDescent="0.2">
      <c r="A855">
        <v>849</v>
      </c>
      <c r="B855" t="s">
        <v>54</v>
      </c>
    </row>
    <row r="856" spans="1:2" x14ac:dyDescent="0.2">
      <c r="A856">
        <v>850</v>
      </c>
      <c r="B856" t="s">
        <v>54</v>
      </c>
    </row>
    <row r="857" spans="1:2" x14ac:dyDescent="0.2">
      <c r="A857">
        <v>851</v>
      </c>
      <c r="B857" t="s">
        <v>54</v>
      </c>
    </row>
    <row r="858" spans="1:2" x14ac:dyDescent="0.2">
      <c r="A858">
        <v>852</v>
      </c>
      <c r="B858" t="s">
        <v>54</v>
      </c>
    </row>
    <row r="859" spans="1:2" x14ac:dyDescent="0.2">
      <c r="A859">
        <v>853</v>
      </c>
      <c r="B859" t="s">
        <v>54</v>
      </c>
    </row>
    <row r="860" spans="1:2" x14ac:dyDescent="0.2">
      <c r="A860">
        <v>854</v>
      </c>
      <c r="B860" t="s">
        <v>54</v>
      </c>
    </row>
    <row r="861" spans="1:2" x14ac:dyDescent="0.2">
      <c r="A861">
        <v>855</v>
      </c>
      <c r="B861" t="s">
        <v>54</v>
      </c>
    </row>
    <row r="862" spans="1:2" x14ac:dyDescent="0.2">
      <c r="A862">
        <v>856</v>
      </c>
      <c r="B862" t="s">
        <v>54</v>
      </c>
    </row>
    <row r="863" spans="1:2" x14ac:dyDescent="0.2">
      <c r="A863">
        <v>857</v>
      </c>
      <c r="B863" t="s">
        <v>54</v>
      </c>
    </row>
    <row r="864" spans="1:2" x14ac:dyDescent="0.2">
      <c r="A864">
        <v>858</v>
      </c>
      <c r="B864" t="s">
        <v>54</v>
      </c>
    </row>
    <row r="865" spans="1:2" x14ac:dyDescent="0.2">
      <c r="A865">
        <v>859</v>
      </c>
      <c r="B865" t="s">
        <v>54</v>
      </c>
    </row>
    <row r="866" spans="1:2" x14ac:dyDescent="0.2">
      <c r="A866">
        <v>860</v>
      </c>
      <c r="B866" t="s">
        <v>54</v>
      </c>
    </row>
    <row r="867" spans="1:2" x14ac:dyDescent="0.2">
      <c r="A867">
        <v>861</v>
      </c>
      <c r="B867" t="s">
        <v>54</v>
      </c>
    </row>
    <row r="868" spans="1:2" x14ac:dyDescent="0.2">
      <c r="A868">
        <v>862</v>
      </c>
      <c r="B868" t="s">
        <v>54</v>
      </c>
    </row>
    <row r="869" spans="1:2" x14ac:dyDescent="0.2">
      <c r="A869">
        <v>863</v>
      </c>
      <c r="B869" t="s">
        <v>54</v>
      </c>
    </row>
    <row r="870" spans="1:2" x14ac:dyDescent="0.2">
      <c r="A870">
        <v>864</v>
      </c>
      <c r="B870" t="s">
        <v>54</v>
      </c>
    </row>
    <row r="871" spans="1:2" x14ac:dyDescent="0.2">
      <c r="A871">
        <v>865</v>
      </c>
      <c r="B871" t="s">
        <v>54</v>
      </c>
    </row>
    <row r="872" spans="1:2" x14ac:dyDescent="0.2">
      <c r="A872">
        <v>866</v>
      </c>
      <c r="B872" t="s">
        <v>54</v>
      </c>
    </row>
    <row r="873" spans="1:2" x14ac:dyDescent="0.2">
      <c r="A873">
        <v>867</v>
      </c>
      <c r="B873" t="s">
        <v>54</v>
      </c>
    </row>
    <row r="874" spans="1:2" x14ac:dyDescent="0.2">
      <c r="A874">
        <v>868</v>
      </c>
      <c r="B874" t="s">
        <v>54</v>
      </c>
    </row>
    <row r="875" spans="1:2" x14ac:dyDescent="0.2">
      <c r="A875">
        <v>869</v>
      </c>
      <c r="B875" t="s">
        <v>54</v>
      </c>
    </row>
    <row r="876" spans="1:2" x14ac:dyDescent="0.2">
      <c r="A876">
        <v>870</v>
      </c>
      <c r="B876" t="s">
        <v>54</v>
      </c>
    </row>
    <row r="877" spans="1:2" x14ac:dyDescent="0.2">
      <c r="A877">
        <v>871</v>
      </c>
      <c r="B877" t="s">
        <v>54</v>
      </c>
    </row>
    <row r="878" spans="1:2" x14ac:dyDescent="0.2">
      <c r="A878">
        <v>872</v>
      </c>
      <c r="B878" t="s">
        <v>54</v>
      </c>
    </row>
    <row r="879" spans="1:2" x14ac:dyDescent="0.2">
      <c r="A879">
        <v>873</v>
      </c>
      <c r="B879" t="s">
        <v>54</v>
      </c>
    </row>
    <row r="880" spans="1:2" x14ac:dyDescent="0.2">
      <c r="A880">
        <v>874</v>
      </c>
      <c r="B880" t="s">
        <v>54</v>
      </c>
    </row>
    <row r="881" spans="1:2" x14ac:dyDescent="0.2">
      <c r="A881">
        <v>875</v>
      </c>
      <c r="B881" t="s">
        <v>54</v>
      </c>
    </row>
    <row r="882" spans="1:2" x14ac:dyDescent="0.2">
      <c r="A882">
        <v>876</v>
      </c>
      <c r="B882" t="s">
        <v>54</v>
      </c>
    </row>
    <row r="883" spans="1:2" x14ac:dyDescent="0.2">
      <c r="A883">
        <v>877</v>
      </c>
      <c r="B883" t="s">
        <v>54</v>
      </c>
    </row>
    <row r="884" spans="1:2" x14ac:dyDescent="0.2">
      <c r="A884">
        <v>878</v>
      </c>
      <c r="B884" t="s">
        <v>54</v>
      </c>
    </row>
    <row r="885" spans="1:2" x14ac:dyDescent="0.2">
      <c r="A885">
        <v>879</v>
      </c>
      <c r="B885" t="s">
        <v>54</v>
      </c>
    </row>
    <row r="886" spans="1:2" x14ac:dyDescent="0.2">
      <c r="A886">
        <v>880</v>
      </c>
      <c r="B886" t="s">
        <v>54</v>
      </c>
    </row>
    <row r="887" spans="1:2" x14ac:dyDescent="0.2">
      <c r="A887">
        <v>881</v>
      </c>
      <c r="B887" t="s">
        <v>54</v>
      </c>
    </row>
    <row r="888" spans="1:2" x14ac:dyDescent="0.2">
      <c r="A888">
        <v>882</v>
      </c>
      <c r="B888" t="s">
        <v>54</v>
      </c>
    </row>
    <row r="889" spans="1:2" x14ac:dyDescent="0.2">
      <c r="A889">
        <v>883</v>
      </c>
      <c r="B889" t="s">
        <v>54</v>
      </c>
    </row>
    <row r="890" spans="1:2" x14ac:dyDescent="0.2">
      <c r="A890">
        <v>884</v>
      </c>
      <c r="B890" t="s">
        <v>54</v>
      </c>
    </row>
    <row r="891" spans="1:2" x14ac:dyDescent="0.2">
      <c r="A891">
        <v>885</v>
      </c>
      <c r="B891" t="s">
        <v>54</v>
      </c>
    </row>
    <row r="892" spans="1:2" x14ac:dyDescent="0.2">
      <c r="A892">
        <v>886</v>
      </c>
      <c r="B892" t="s">
        <v>54</v>
      </c>
    </row>
    <row r="893" spans="1:2" x14ac:dyDescent="0.2">
      <c r="A893">
        <v>887</v>
      </c>
      <c r="B893" t="s">
        <v>54</v>
      </c>
    </row>
    <row r="894" spans="1:2" x14ac:dyDescent="0.2">
      <c r="A894">
        <v>888</v>
      </c>
      <c r="B894" t="s">
        <v>54</v>
      </c>
    </row>
    <row r="895" spans="1:2" x14ac:dyDescent="0.2">
      <c r="A895">
        <v>889</v>
      </c>
      <c r="B895" t="s">
        <v>54</v>
      </c>
    </row>
    <row r="896" spans="1:2" x14ac:dyDescent="0.2">
      <c r="A896">
        <v>890</v>
      </c>
      <c r="B896" t="s">
        <v>54</v>
      </c>
    </row>
    <row r="897" spans="1:2" x14ac:dyDescent="0.2">
      <c r="A897">
        <v>891</v>
      </c>
      <c r="B897" t="s">
        <v>54</v>
      </c>
    </row>
    <row r="898" spans="1:2" x14ac:dyDescent="0.2">
      <c r="A898">
        <v>892</v>
      </c>
      <c r="B898" t="s">
        <v>54</v>
      </c>
    </row>
    <row r="899" spans="1:2" x14ac:dyDescent="0.2">
      <c r="A899">
        <v>893</v>
      </c>
      <c r="B899" t="s">
        <v>54</v>
      </c>
    </row>
    <row r="900" spans="1:2" x14ac:dyDescent="0.2">
      <c r="A900">
        <v>894</v>
      </c>
      <c r="B900" t="s">
        <v>54</v>
      </c>
    </row>
    <row r="901" spans="1:2" x14ac:dyDescent="0.2">
      <c r="A901">
        <v>895</v>
      </c>
      <c r="B901" t="s">
        <v>54</v>
      </c>
    </row>
    <row r="902" spans="1:2" x14ac:dyDescent="0.2">
      <c r="A902">
        <v>896</v>
      </c>
      <c r="B902" t="s">
        <v>54</v>
      </c>
    </row>
    <row r="903" spans="1:2" x14ac:dyDescent="0.2">
      <c r="A903">
        <v>897</v>
      </c>
      <c r="B903" t="s">
        <v>54</v>
      </c>
    </row>
    <row r="904" spans="1:2" x14ac:dyDescent="0.2">
      <c r="A904">
        <v>898</v>
      </c>
      <c r="B904" t="s">
        <v>54</v>
      </c>
    </row>
    <row r="905" spans="1:2" x14ac:dyDescent="0.2">
      <c r="A905">
        <v>899</v>
      </c>
      <c r="B905" t="s">
        <v>54</v>
      </c>
    </row>
    <row r="906" spans="1:2" x14ac:dyDescent="0.2">
      <c r="A906">
        <v>900</v>
      </c>
      <c r="B906" t="s">
        <v>54</v>
      </c>
    </row>
    <row r="907" spans="1:2" x14ac:dyDescent="0.2">
      <c r="A907">
        <v>901</v>
      </c>
      <c r="B907" t="s">
        <v>54</v>
      </c>
    </row>
    <row r="908" spans="1:2" x14ac:dyDescent="0.2">
      <c r="A908">
        <v>902</v>
      </c>
      <c r="B908" t="s">
        <v>54</v>
      </c>
    </row>
    <row r="909" spans="1:2" x14ac:dyDescent="0.2">
      <c r="A909">
        <v>903</v>
      </c>
      <c r="B909" t="s">
        <v>54</v>
      </c>
    </row>
    <row r="910" spans="1:2" x14ac:dyDescent="0.2">
      <c r="A910">
        <v>904</v>
      </c>
      <c r="B910" t="s">
        <v>54</v>
      </c>
    </row>
    <row r="911" spans="1:2" x14ac:dyDescent="0.2">
      <c r="A911">
        <v>905</v>
      </c>
      <c r="B911" t="s">
        <v>54</v>
      </c>
    </row>
    <row r="912" spans="1:2" x14ac:dyDescent="0.2">
      <c r="A912">
        <v>906</v>
      </c>
      <c r="B912" t="s">
        <v>54</v>
      </c>
    </row>
    <row r="913" spans="1:2" x14ac:dyDescent="0.2">
      <c r="A913">
        <v>907</v>
      </c>
      <c r="B913" t="s">
        <v>54</v>
      </c>
    </row>
    <row r="914" spans="1:2" x14ac:dyDescent="0.2">
      <c r="A914">
        <v>908</v>
      </c>
      <c r="B914" t="s">
        <v>54</v>
      </c>
    </row>
    <row r="915" spans="1:2" x14ac:dyDescent="0.2">
      <c r="A915">
        <v>909</v>
      </c>
      <c r="B915" t="s">
        <v>54</v>
      </c>
    </row>
    <row r="916" spans="1:2" x14ac:dyDescent="0.2">
      <c r="A916">
        <v>910</v>
      </c>
      <c r="B916" t="s">
        <v>54</v>
      </c>
    </row>
    <row r="917" spans="1:2" x14ac:dyDescent="0.2">
      <c r="A917">
        <v>911</v>
      </c>
      <c r="B917" t="s">
        <v>54</v>
      </c>
    </row>
    <row r="918" spans="1:2" x14ac:dyDescent="0.2">
      <c r="A918">
        <v>912</v>
      </c>
      <c r="B918" t="s">
        <v>54</v>
      </c>
    </row>
    <row r="919" spans="1:2" x14ac:dyDescent="0.2">
      <c r="A919">
        <v>913</v>
      </c>
      <c r="B919" t="s">
        <v>54</v>
      </c>
    </row>
    <row r="920" spans="1:2" x14ac:dyDescent="0.2">
      <c r="A920">
        <v>914</v>
      </c>
      <c r="B920" t="s">
        <v>54</v>
      </c>
    </row>
    <row r="921" spans="1:2" x14ac:dyDescent="0.2">
      <c r="A921">
        <v>915</v>
      </c>
      <c r="B921" t="s">
        <v>54</v>
      </c>
    </row>
    <row r="922" spans="1:2" x14ac:dyDescent="0.2">
      <c r="A922">
        <v>916</v>
      </c>
      <c r="B922" t="s">
        <v>54</v>
      </c>
    </row>
    <row r="923" spans="1:2" x14ac:dyDescent="0.2">
      <c r="A923">
        <v>917</v>
      </c>
      <c r="B923" t="s">
        <v>54</v>
      </c>
    </row>
    <row r="924" spans="1:2" x14ac:dyDescent="0.2">
      <c r="A924">
        <v>918</v>
      </c>
      <c r="B924" t="s">
        <v>54</v>
      </c>
    </row>
    <row r="925" spans="1:2" x14ac:dyDescent="0.2">
      <c r="A925">
        <v>919</v>
      </c>
      <c r="B925" t="s">
        <v>54</v>
      </c>
    </row>
    <row r="926" spans="1:2" x14ac:dyDescent="0.2">
      <c r="A926">
        <v>920</v>
      </c>
      <c r="B926" t="s">
        <v>54</v>
      </c>
    </row>
    <row r="927" spans="1:2" x14ac:dyDescent="0.2">
      <c r="A927">
        <v>921</v>
      </c>
      <c r="B927" t="s">
        <v>54</v>
      </c>
    </row>
    <row r="928" spans="1:2" x14ac:dyDescent="0.2">
      <c r="A928">
        <v>922</v>
      </c>
      <c r="B928" t="s">
        <v>54</v>
      </c>
    </row>
    <row r="929" spans="1:2" x14ac:dyDescent="0.2">
      <c r="A929">
        <v>923</v>
      </c>
      <c r="B929" t="s">
        <v>54</v>
      </c>
    </row>
    <row r="930" spans="1:2" x14ac:dyDescent="0.2">
      <c r="A930">
        <v>924</v>
      </c>
      <c r="B930" t="s">
        <v>54</v>
      </c>
    </row>
    <row r="931" spans="1:2" x14ac:dyDescent="0.2">
      <c r="A931">
        <v>925</v>
      </c>
      <c r="B931" t="s">
        <v>54</v>
      </c>
    </row>
    <row r="932" spans="1:2" x14ac:dyDescent="0.2">
      <c r="A932">
        <v>926</v>
      </c>
      <c r="B932" t="s">
        <v>54</v>
      </c>
    </row>
    <row r="933" spans="1:2" x14ac:dyDescent="0.2">
      <c r="A933">
        <v>927</v>
      </c>
      <c r="B933" t="s">
        <v>54</v>
      </c>
    </row>
    <row r="934" spans="1:2" x14ac:dyDescent="0.2">
      <c r="A934">
        <v>928</v>
      </c>
      <c r="B934" t="s">
        <v>54</v>
      </c>
    </row>
    <row r="935" spans="1:2" x14ac:dyDescent="0.2">
      <c r="A935">
        <v>929</v>
      </c>
      <c r="B935" t="s">
        <v>54</v>
      </c>
    </row>
    <row r="936" spans="1:2" x14ac:dyDescent="0.2">
      <c r="A936">
        <v>930</v>
      </c>
      <c r="B936" t="s">
        <v>54</v>
      </c>
    </row>
    <row r="937" spans="1:2" x14ac:dyDescent="0.2">
      <c r="A937">
        <v>931</v>
      </c>
      <c r="B937" t="s">
        <v>54</v>
      </c>
    </row>
    <row r="938" spans="1:2" x14ac:dyDescent="0.2">
      <c r="A938">
        <v>932</v>
      </c>
      <c r="B938" t="s">
        <v>54</v>
      </c>
    </row>
    <row r="939" spans="1:2" x14ac:dyDescent="0.2">
      <c r="A939">
        <v>933</v>
      </c>
      <c r="B939" t="s">
        <v>54</v>
      </c>
    </row>
    <row r="940" spans="1:2" x14ac:dyDescent="0.2">
      <c r="A940">
        <v>934</v>
      </c>
      <c r="B940" t="s">
        <v>54</v>
      </c>
    </row>
    <row r="941" spans="1:2" x14ac:dyDescent="0.2">
      <c r="A941">
        <v>935</v>
      </c>
      <c r="B941" t="s">
        <v>54</v>
      </c>
    </row>
    <row r="942" spans="1:2" x14ac:dyDescent="0.2">
      <c r="A942">
        <v>936</v>
      </c>
      <c r="B942" t="s">
        <v>54</v>
      </c>
    </row>
    <row r="943" spans="1:2" x14ac:dyDescent="0.2">
      <c r="A943">
        <v>937</v>
      </c>
      <c r="B943" t="s">
        <v>54</v>
      </c>
    </row>
    <row r="944" spans="1:2" x14ac:dyDescent="0.2">
      <c r="A944">
        <v>938</v>
      </c>
      <c r="B944" t="s">
        <v>54</v>
      </c>
    </row>
    <row r="945" spans="1:2" x14ac:dyDescent="0.2">
      <c r="A945">
        <v>939</v>
      </c>
      <c r="B945" t="s">
        <v>54</v>
      </c>
    </row>
    <row r="946" spans="1:2" x14ac:dyDescent="0.2">
      <c r="A946">
        <v>940</v>
      </c>
      <c r="B946" t="s">
        <v>54</v>
      </c>
    </row>
    <row r="947" spans="1:2" x14ac:dyDescent="0.2">
      <c r="A947">
        <v>941</v>
      </c>
      <c r="B947" t="s">
        <v>54</v>
      </c>
    </row>
    <row r="948" spans="1:2" x14ac:dyDescent="0.2">
      <c r="A948">
        <v>942</v>
      </c>
      <c r="B948" t="s">
        <v>54</v>
      </c>
    </row>
    <row r="949" spans="1:2" x14ac:dyDescent="0.2">
      <c r="A949">
        <v>943</v>
      </c>
      <c r="B949" t="s">
        <v>54</v>
      </c>
    </row>
    <row r="950" spans="1:2" x14ac:dyDescent="0.2">
      <c r="A950">
        <v>944</v>
      </c>
      <c r="B950" t="s">
        <v>54</v>
      </c>
    </row>
    <row r="951" spans="1:2" x14ac:dyDescent="0.2">
      <c r="A951">
        <v>945</v>
      </c>
      <c r="B951" t="s">
        <v>54</v>
      </c>
    </row>
    <row r="952" spans="1:2" x14ac:dyDescent="0.2">
      <c r="A952">
        <v>946</v>
      </c>
      <c r="B952" t="s">
        <v>54</v>
      </c>
    </row>
    <row r="953" spans="1:2" x14ac:dyDescent="0.2">
      <c r="A953">
        <v>947</v>
      </c>
      <c r="B953" t="s">
        <v>54</v>
      </c>
    </row>
    <row r="954" spans="1:2" x14ac:dyDescent="0.2">
      <c r="A954">
        <v>948</v>
      </c>
      <c r="B954" t="s">
        <v>54</v>
      </c>
    </row>
    <row r="955" spans="1:2" x14ac:dyDescent="0.2">
      <c r="A955">
        <v>949</v>
      </c>
      <c r="B955" t="s">
        <v>54</v>
      </c>
    </row>
    <row r="956" spans="1:2" x14ac:dyDescent="0.2">
      <c r="A956">
        <v>950</v>
      </c>
      <c r="B956" t="s">
        <v>54</v>
      </c>
    </row>
    <row r="957" spans="1:2" x14ac:dyDescent="0.2">
      <c r="A957">
        <v>951</v>
      </c>
      <c r="B957" t="s">
        <v>54</v>
      </c>
    </row>
    <row r="958" spans="1:2" x14ac:dyDescent="0.2">
      <c r="A958">
        <v>952</v>
      </c>
      <c r="B958" t="s">
        <v>54</v>
      </c>
    </row>
    <row r="959" spans="1:2" x14ac:dyDescent="0.2">
      <c r="A959">
        <v>953</v>
      </c>
      <c r="B959" t="s">
        <v>54</v>
      </c>
    </row>
    <row r="960" spans="1:2" x14ac:dyDescent="0.2">
      <c r="A960">
        <v>954</v>
      </c>
      <c r="B960" t="s">
        <v>54</v>
      </c>
    </row>
    <row r="961" spans="1:2" x14ac:dyDescent="0.2">
      <c r="A961">
        <v>955</v>
      </c>
      <c r="B961" t="s">
        <v>54</v>
      </c>
    </row>
    <row r="962" spans="1:2" x14ac:dyDescent="0.2">
      <c r="A962">
        <v>956</v>
      </c>
      <c r="B962" t="s">
        <v>54</v>
      </c>
    </row>
    <row r="963" spans="1:2" x14ac:dyDescent="0.2">
      <c r="A963">
        <v>957</v>
      </c>
      <c r="B963" t="s">
        <v>54</v>
      </c>
    </row>
    <row r="964" spans="1:2" x14ac:dyDescent="0.2">
      <c r="A964">
        <v>958</v>
      </c>
      <c r="B964" t="s">
        <v>54</v>
      </c>
    </row>
    <row r="965" spans="1:2" x14ac:dyDescent="0.2">
      <c r="A965">
        <v>959</v>
      </c>
      <c r="B965" t="s">
        <v>54</v>
      </c>
    </row>
    <row r="966" spans="1:2" x14ac:dyDescent="0.2">
      <c r="A966">
        <v>960</v>
      </c>
      <c r="B966" t="s">
        <v>54</v>
      </c>
    </row>
    <row r="967" spans="1:2" x14ac:dyDescent="0.2">
      <c r="A967">
        <v>961</v>
      </c>
      <c r="B967" t="s">
        <v>54</v>
      </c>
    </row>
    <row r="968" spans="1:2" x14ac:dyDescent="0.2">
      <c r="A968">
        <v>962</v>
      </c>
      <c r="B968" t="s">
        <v>54</v>
      </c>
    </row>
    <row r="969" spans="1:2" x14ac:dyDescent="0.2">
      <c r="A969">
        <v>963</v>
      </c>
      <c r="B969" t="s">
        <v>54</v>
      </c>
    </row>
    <row r="970" spans="1:2" x14ac:dyDescent="0.2">
      <c r="A970">
        <v>964</v>
      </c>
      <c r="B970" t="s">
        <v>54</v>
      </c>
    </row>
    <row r="971" spans="1:2" x14ac:dyDescent="0.2">
      <c r="A971">
        <v>965</v>
      </c>
      <c r="B971" t="s">
        <v>54</v>
      </c>
    </row>
    <row r="972" spans="1:2" x14ac:dyDescent="0.2">
      <c r="A972">
        <v>966</v>
      </c>
      <c r="B972" t="s">
        <v>54</v>
      </c>
    </row>
    <row r="973" spans="1:2" x14ac:dyDescent="0.2">
      <c r="A973">
        <v>967</v>
      </c>
      <c r="B973" t="s">
        <v>54</v>
      </c>
    </row>
    <row r="974" spans="1:2" x14ac:dyDescent="0.2">
      <c r="A974">
        <v>968</v>
      </c>
      <c r="B974" t="s">
        <v>54</v>
      </c>
    </row>
    <row r="975" spans="1:2" x14ac:dyDescent="0.2">
      <c r="A975">
        <v>969</v>
      </c>
      <c r="B975" t="s">
        <v>54</v>
      </c>
    </row>
    <row r="976" spans="1:2" x14ac:dyDescent="0.2">
      <c r="A976">
        <v>970</v>
      </c>
      <c r="B976" t="s">
        <v>54</v>
      </c>
    </row>
    <row r="977" spans="1:2" x14ac:dyDescent="0.2">
      <c r="A977">
        <v>971</v>
      </c>
      <c r="B977" t="s">
        <v>54</v>
      </c>
    </row>
    <row r="978" spans="1:2" x14ac:dyDescent="0.2">
      <c r="A978">
        <v>972</v>
      </c>
      <c r="B978" t="s">
        <v>54</v>
      </c>
    </row>
    <row r="979" spans="1:2" x14ac:dyDescent="0.2">
      <c r="A979">
        <v>973</v>
      </c>
      <c r="B979" t="s">
        <v>54</v>
      </c>
    </row>
    <row r="980" spans="1:2" x14ac:dyDescent="0.2">
      <c r="A980">
        <v>974</v>
      </c>
      <c r="B980" t="s">
        <v>54</v>
      </c>
    </row>
    <row r="981" spans="1:2" x14ac:dyDescent="0.2">
      <c r="A981">
        <v>975</v>
      </c>
      <c r="B981" t="s">
        <v>54</v>
      </c>
    </row>
    <row r="982" spans="1:2" x14ac:dyDescent="0.2">
      <c r="A982">
        <v>976</v>
      </c>
      <c r="B982" t="s">
        <v>54</v>
      </c>
    </row>
    <row r="983" spans="1:2" x14ac:dyDescent="0.2">
      <c r="A983">
        <v>977</v>
      </c>
      <c r="B983" t="s">
        <v>54</v>
      </c>
    </row>
    <row r="984" spans="1:2" x14ac:dyDescent="0.2">
      <c r="A984">
        <v>978</v>
      </c>
      <c r="B984" t="s">
        <v>54</v>
      </c>
    </row>
    <row r="985" spans="1:2" x14ac:dyDescent="0.2">
      <c r="A985">
        <v>979</v>
      </c>
      <c r="B985" t="s">
        <v>54</v>
      </c>
    </row>
    <row r="986" spans="1:2" x14ac:dyDescent="0.2">
      <c r="A986">
        <v>980</v>
      </c>
      <c r="B986" t="s">
        <v>54</v>
      </c>
    </row>
    <row r="987" spans="1:2" x14ac:dyDescent="0.2">
      <c r="A987">
        <v>981</v>
      </c>
      <c r="B987" t="s">
        <v>54</v>
      </c>
    </row>
    <row r="988" spans="1:2" x14ac:dyDescent="0.2">
      <c r="A988">
        <v>982</v>
      </c>
      <c r="B988" t="s">
        <v>54</v>
      </c>
    </row>
    <row r="989" spans="1:2" x14ac:dyDescent="0.2">
      <c r="A989">
        <v>983</v>
      </c>
      <c r="B989" t="s">
        <v>54</v>
      </c>
    </row>
    <row r="990" spans="1:2" x14ac:dyDescent="0.2">
      <c r="A990">
        <v>984</v>
      </c>
      <c r="B990" t="s">
        <v>54</v>
      </c>
    </row>
    <row r="991" spans="1:2" x14ac:dyDescent="0.2">
      <c r="A991">
        <v>985</v>
      </c>
      <c r="B991" t="s">
        <v>54</v>
      </c>
    </row>
    <row r="992" spans="1:2" x14ac:dyDescent="0.2">
      <c r="A992">
        <v>986</v>
      </c>
      <c r="B992" t="s">
        <v>54</v>
      </c>
    </row>
    <row r="993" spans="1:2" x14ac:dyDescent="0.2">
      <c r="A993">
        <v>987</v>
      </c>
      <c r="B993" t="s">
        <v>54</v>
      </c>
    </row>
    <row r="994" spans="1:2" x14ac:dyDescent="0.2">
      <c r="A994">
        <v>988</v>
      </c>
      <c r="B994" t="s">
        <v>54</v>
      </c>
    </row>
    <row r="995" spans="1:2" x14ac:dyDescent="0.2">
      <c r="A995">
        <v>989</v>
      </c>
      <c r="B995" t="s">
        <v>54</v>
      </c>
    </row>
    <row r="996" spans="1:2" x14ac:dyDescent="0.2">
      <c r="A996">
        <v>990</v>
      </c>
      <c r="B996" t="s">
        <v>54</v>
      </c>
    </row>
    <row r="997" spans="1:2" x14ac:dyDescent="0.2">
      <c r="A997">
        <v>991</v>
      </c>
      <c r="B997" t="s">
        <v>54</v>
      </c>
    </row>
    <row r="998" spans="1:2" x14ac:dyDescent="0.2">
      <c r="A998">
        <v>992</v>
      </c>
      <c r="B998" t="s">
        <v>54</v>
      </c>
    </row>
    <row r="999" spans="1:2" x14ac:dyDescent="0.2">
      <c r="A999">
        <v>993</v>
      </c>
      <c r="B999" t="s">
        <v>54</v>
      </c>
    </row>
    <row r="1000" spans="1:2" x14ac:dyDescent="0.2">
      <c r="A1000">
        <v>994</v>
      </c>
      <c r="B1000" t="s">
        <v>54</v>
      </c>
    </row>
    <row r="1001" spans="1:2" x14ac:dyDescent="0.2">
      <c r="A1001">
        <v>995</v>
      </c>
      <c r="B1001" t="s">
        <v>54</v>
      </c>
    </row>
    <row r="1002" spans="1:2" x14ac:dyDescent="0.2">
      <c r="A1002">
        <v>996</v>
      </c>
      <c r="B1002" t="s">
        <v>54</v>
      </c>
    </row>
    <row r="1003" spans="1:2" x14ac:dyDescent="0.2">
      <c r="A1003">
        <v>997</v>
      </c>
      <c r="B1003" t="s">
        <v>54</v>
      </c>
    </row>
    <row r="1004" spans="1:2" x14ac:dyDescent="0.2">
      <c r="A1004">
        <v>998</v>
      </c>
      <c r="B1004" t="s">
        <v>54</v>
      </c>
    </row>
    <row r="1005" spans="1:2" x14ac:dyDescent="0.2">
      <c r="A1005">
        <v>999</v>
      </c>
      <c r="B1005" t="s">
        <v>54</v>
      </c>
    </row>
    <row r="1006" spans="1:2" x14ac:dyDescent="0.2">
      <c r="A1006">
        <v>1000</v>
      </c>
      <c r="B1006" t="s">
        <v>54</v>
      </c>
    </row>
    <row r="1007" spans="1:2" x14ac:dyDescent="0.2">
      <c r="A1007">
        <v>1001</v>
      </c>
      <c r="B1007" t="s">
        <v>54</v>
      </c>
    </row>
    <row r="1008" spans="1:2" x14ac:dyDescent="0.2">
      <c r="A1008">
        <v>1002</v>
      </c>
      <c r="B1008" t="s">
        <v>54</v>
      </c>
    </row>
    <row r="1009" spans="1:2" x14ac:dyDescent="0.2">
      <c r="A1009">
        <v>1003</v>
      </c>
      <c r="B1009" t="s">
        <v>54</v>
      </c>
    </row>
    <row r="1010" spans="1:2" x14ac:dyDescent="0.2">
      <c r="A1010">
        <v>1004</v>
      </c>
      <c r="B1010" t="s">
        <v>54</v>
      </c>
    </row>
    <row r="1011" spans="1:2" x14ac:dyDescent="0.2">
      <c r="A1011">
        <v>1005</v>
      </c>
      <c r="B1011" t="s">
        <v>54</v>
      </c>
    </row>
    <row r="1012" spans="1:2" x14ac:dyDescent="0.2">
      <c r="A1012">
        <v>1006</v>
      </c>
      <c r="B1012" t="s">
        <v>54</v>
      </c>
    </row>
    <row r="1013" spans="1:2" x14ac:dyDescent="0.2">
      <c r="A1013">
        <v>1007</v>
      </c>
      <c r="B1013" t="s">
        <v>54</v>
      </c>
    </row>
    <row r="1014" spans="1:2" x14ac:dyDescent="0.2">
      <c r="A1014">
        <v>1008</v>
      </c>
      <c r="B1014" t="s">
        <v>54</v>
      </c>
    </row>
    <row r="1015" spans="1:2" x14ac:dyDescent="0.2">
      <c r="A1015">
        <v>1009</v>
      </c>
      <c r="B1015" t="s">
        <v>54</v>
      </c>
    </row>
    <row r="1016" spans="1:2" x14ac:dyDescent="0.2">
      <c r="A1016">
        <v>1010</v>
      </c>
      <c r="B1016" t="s">
        <v>54</v>
      </c>
    </row>
    <row r="1017" spans="1:2" x14ac:dyDescent="0.2">
      <c r="A1017">
        <v>1011</v>
      </c>
      <c r="B1017" t="s">
        <v>54</v>
      </c>
    </row>
    <row r="1018" spans="1:2" x14ac:dyDescent="0.2">
      <c r="A1018">
        <v>1012</v>
      </c>
      <c r="B1018" t="s">
        <v>54</v>
      </c>
    </row>
    <row r="1019" spans="1:2" x14ac:dyDescent="0.2">
      <c r="A1019">
        <v>1013</v>
      </c>
      <c r="B1019" t="s">
        <v>54</v>
      </c>
    </row>
    <row r="1020" spans="1:2" x14ac:dyDescent="0.2">
      <c r="A1020">
        <v>1014</v>
      </c>
      <c r="B1020" t="s">
        <v>54</v>
      </c>
    </row>
    <row r="1021" spans="1:2" x14ac:dyDescent="0.2">
      <c r="A1021">
        <v>1015</v>
      </c>
      <c r="B1021" t="s">
        <v>54</v>
      </c>
    </row>
    <row r="1022" spans="1:2" x14ac:dyDescent="0.2">
      <c r="A1022">
        <v>1016</v>
      </c>
      <c r="B1022" t="s">
        <v>54</v>
      </c>
    </row>
    <row r="1023" spans="1:2" x14ac:dyDescent="0.2">
      <c r="A1023">
        <v>1017</v>
      </c>
      <c r="B1023" t="s">
        <v>54</v>
      </c>
    </row>
    <row r="1024" spans="1:2" x14ac:dyDescent="0.2">
      <c r="A1024">
        <v>1018</v>
      </c>
      <c r="B1024" t="s">
        <v>54</v>
      </c>
    </row>
    <row r="1025" spans="1:2" x14ac:dyDescent="0.2">
      <c r="A1025">
        <v>1019</v>
      </c>
      <c r="B1025" t="s">
        <v>54</v>
      </c>
    </row>
    <row r="1026" spans="1:2" x14ac:dyDescent="0.2">
      <c r="A1026">
        <v>1020</v>
      </c>
      <c r="B1026" t="s">
        <v>54</v>
      </c>
    </row>
    <row r="1027" spans="1:2" x14ac:dyDescent="0.2">
      <c r="A1027">
        <v>1021</v>
      </c>
      <c r="B1027" t="s">
        <v>54</v>
      </c>
    </row>
    <row r="1028" spans="1:2" x14ac:dyDescent="0.2">
      <c r="A1028">
        <v>1022</v>
      </c>
      <c r="B1028" t="s">
        <v>54</v>
      </c>
    </row>
    <row r="1029" spans="1:2" x14ac:dyDescent="0.2">
      <c r="A1029">
        <v>1023</v>
      </c>
      <c r="B1029" t="s">
        <v>54</v>
      </c>
    </row>
    <row r="1030" spans="1:2" x14ac:dyDescent="0.2">
      <c r="A1030">
        <v>1024</v>
      </c>
      <c r="B1030" t="s">
        <v>54</v>
      </c>
    </row>
    <row r="1031" spans="1:2" x14ac:dyDescent="0.2">
      <c r="A1031">
        <v>1025</v>
      </c>
      <c r="B1031" t="s">
        <v>54</v>
      </c>
    </row>
    <row r="1032" spans="1:2" x14ac:dyDescent="0.2">
      <c r="A1032">
        <v>1026</v>
      </c>
      <c r="B1032" t="s">
        <v>54</v>
      </c>
    </row>
    <row r="1033" spans="1:2" x14ac:dyDescent="0.2">
      <c r="A1033">
        <v>1027</v>
      </c>
      <c r="B1033" t="s">
        <v>54</v>
      </c>
    </row>
    <row r="1034" spans="1:2" x14ac:dyDescent="0.2">
      <c r="A1034">
        <v>1028</v>
      </c>
      <c r="B1034" t="s">
        <v>54</v>
      </c>
    </row>
    <row r="1035" spans="1:2" x14ac:dyDescent="0.2">
      <c r="A1035">
        <v>1029</v>
      </c>
      <c r="B1035" t="s">
        <v>54</v>
      </c>
    </row>
    <row r="1036" spans="1:2" x14ac:dyDescent="0.2">
      <c r="A1036">
        <v>1030</v>
      </c>
      <c r="B1036" t="s">
        <v>54</v>
      </c>
    </row>
    <row r="1037" spans="1:2" x14ac:dyDescent="0.2">
      <c r="A1037">
        <v>1031</v>
      </c>
      <c r="B1037" t="s">
        <v>54</v>
      </c>
    </row>
    <row r="1038" spans="1:2" x14ac:dyDescent="0.2">
      <c r="A1038">
        <v>1032</v>
      </c>
      <c r="B1038" t="s">
        <v>54</v>
      </c>
    </row>
    <row r="1039" spans="1:2" x14ac:dyDescent="0.2">
      <c r="A1039">
        <v>1033</v>
      </c>
      <c r="B1039" t="s">
        <v>54</v>
      </c>
    </row>
    <row r="1040" spans="1:2" x14ac:dyDescent="0.2">
      <c r="A1040">
        <v>1034</v>
      </c>
      <c r="B1040" t="s">
        <v>54</v>
      </c>
    </row>
    <row r="1041" spans="1:2" x14ac:dyDescent="0.2">
      <c r="A1041">
        <v>1035</v>
      </c>
      <c r="B1041" t="s">
        <v>54</v>
      </c>
    </row>
    <row r="1042" spans="1:2" x14ac:dyDescent="0.2">
      <c r="A1042">
        <v>1036</v>
      </c>
      <c r="B1042" t="s">
        <v>54</v>
      </c>
    </row>
    <row r="1043" spans="1:2" x14ac:dyDescent="0.2">
      <c r="A1043">
        <v>1037</v>
      </c>
      <c r="B1043" t="s">
        <v>54</v>
      </c>
    </row>
    <row r="1044" spans="1:2" x14ac:dyDescent="0.2">
      <c r="A1044">
        <v>1038</v>
      </c>
      <c r="B1044" t="s">
        <v>54</v>
      </c>
    </row>
    <row r="1045" spans="1:2" x14ac:dyDescent="0.2">
      <c r="A1045">
        <v>1039</v>
      </c>
      <c r="B1045" t="s">
        <v>54</v>
      </c>
    </row>
    <row r="1046" spans="1:2" x14ac:dyDescent="0.2">
      <c r="A1046">
        <v>1040</v>
      </c>
      <c r="B1046" t="s">
        <v>54</v>
      </c>
    </row>
    <row r="1047" spans="1:2" x14ac:dyDescent="0.2">
      <c r="A1047">
        <v>1041</v>
      </c>
      <c r="B1047" t="s">
        <v>54</v>
      </c>
    </row>
    <row r="1048" spans="1:2" x14ac:dyDescent="0.2">
      <c r="A1048">
        <v>1042</v>
      </c>
      <c r="B1048" t="s">
        <v>54</v>
      </c>
    </row>
    <row r="1049" spans="1:2" x14ac:dyDescent="0.2">
      <c r="A1049">
        <v>1043</v>
      </c>
      <c r="B1049" t="s">
        <v>54</v>
      </c>
    </row>
    <row r="1050" spans="1:2" x14ac:dyDescent="0.2">
      <c r="A1050">
        <v>1044</v>
      </c>
      <c r="B1050" t="s">
        <v>54</v>
      </c>
    </row>
    <row r="1051" spans="1:2" x14ac:dyDescent="0.2">
      <c r="A1051">
        <v>1045</v>
      </c>
      <c r="B1051" t="s">
        <v>54</v>
      </c>
    </row>
    <row r="1052" spans="1:2" x14ac:dyDescent="0.2">
      <c r="A1052">
        <v>1046</v>
      </c>
      <c r="B1052" t="s">
        <v>54</v>
      </c>
    </row>
    <row r="1053" spans="1:2" x14ac:dyDescent="0.2">
      <c r="A1053">
        <v>1047</v>
      </c>
      <c r="B1053" t="s">
        <v>54</v>
      </c>
    </row>
    <row r="1054" spans="1:2" x14ac:dyDescent="0.2">
      <c r="A1054">
        <v>1048</v>
      </c>
      <c r="B1054" t="s">
        <v>54</v>
      </c>
    </row>
    <row r="1055" spans="1:2" x14ac:dyDescent="0.2">
      <c r="A1055">
        <v>1049</v>
      </c>
      <c r="B1055" t="s">
        <v>54</v>
      </c>
    </row>
    <row r="1056" spans="1:2" x14ac:dyDescent="0.2">
      <c r="A1056">
        <v>1050</v>
      </c>
      <c r="B1056" t="s">
        <v>54</v>
      </c>
    </row>
    <row r="1057" spans="1:2" x14ac:dyDescent="0.2">
      <c r="A1057">
        <v>1051</v>
      </c>
      <c r="B1057" t="s">
        <v>54</v>
      </c>
    </row>
    <row r="1058" spans="1:2" x14ac:dyDescent="0.2">
      <c r="A1058">
        <v>1052</v>
      </c>
      <c r="B1058" t="s">
        <v>54</v>
      </c>
    </row>
    <row r="1059" spans="1:2" x14ac:dyDescent="0.2">
      <c r="A1059">
        <v>1053</v>
      </c>
      <c r="B1059" t="s">
        <v>54</v>
      </c>
    </row>
    <row r="1060" spans="1:2" x14ac:dyDescent="0.2">
      <c r="A1060">
        <v>1054</v>
      </c>
      <c r="B1060" t="s">
        <v>54</v>
      </c>
    </row>
    <row r="1061" spans="1:2" x14ac:dyDescent="0.2">
      <c r="A1061">
        <v>1055</v>
      </c>
      <c r="B1061" t="s">
        <v>54</v>
      </c>
    </row>
    <row r="1062" spans="1:2" x14ac:dyDescent="0.2">
      <c r="A1062">
        <v>1056</v>
      </c>
      <c r="B1062" t="s">
        <v>54</v>
      </c>
    </row>
    <row r="1063" spans="1:2" x14ac:dyDescent="0.2">
      <c r="A1063">
        <v>1057</v>
      </c>
      <c r="B1063" t="s">
        <v>54</v>
      </c>
    </row>
    <row r="1064" spans="1:2" x14ac:dyDescent="0.2">
      <c r="A1064">
        <v>1058</v>
      </c>
      <c r="B1064" t="s">
        <v>54</v>
      </c>
    </row>
    <row r="1065" spans="1:2" x14ac:dyDescent="0.2">
      <c r="A1065">
        <v>1059</v>
      </c>
      <c r="B1065" t="s">
        <v>54</v>
      </c>
    </row>
    <row r="1066" spans="1:2" x14ac:dyDescent="0.2">
      <c r="A1066">
        <v>1060</v>
      </c>
      <c r="B1066" t="s">
        <v>54</v>
      </c>
    </row>
    <row r="1067" spans="1:2" x14ac:dyDescent="0.2">
      <c r="A1067">
        <v>1061</v>
      </c>
      <c r="B1067" t="s">
        <v>54</v>
      </c>
    </row>
    <row r="1068" spans="1:2" x14ac:dyDescent="0.2">
      <c r="A1068">
        <v>1062</v>
      </c>
      <c r="B1068" t="s">
        <v>54</v>
      </c>
    </row>
    <row r="1069" spans="1:2" x14ac:dyDescent="0.2">
      <c r="A1069">
        <v>1063</v>
      </c>
      <c r="B1069" t="s">
        <v>54</v>
      </c>
    </row>
    <row r="1070" spans="1:2" x14ac:dyDescent="0.2">
      <c r="A1070">
        <v>1064</v>
      </c>
      <c r="B1070" t="s">
        <v>54</v>
      </c>
    </row>
    <row r="1071" spans="1:2" x14ac:dyDescent="0.2">
      <c r="A1071">
        <v>1065</v>
      </c>
      <c r="B1071" t="s">
        <v>54</v>
      </c>
    </row>
    <row r="1072" spans="1:2" x14ac:dyDescent="0.2">
      <c r="A1072">
        <v>1066</v>
      </c>
      <c r="B1072" t="s">
        <v>54</v>
      </c>
    </row>
    <row r="1073" spans="1:2" x14ac:dyDescent="0.2">
      <c r="A1073">
        <v>1067</v>
      </c>
      <c r="B1073" t="s">
        <v>54</v>
      </c>
    </row>
    <row r="1074" spans="1:2" x14ac:dyDescent="0.2">
      <c r="A1074">
        <v>1068</v>
      </c>
      <c r="B1074" t="s">
        <v>54</v>
      </c>
    </row>
    <row r="1075" spans="1:2" x14ac:dyDescent="0.2">
      <c r="A1075">
        <v>1069</v>
      </c>
      <c r="B1075" t="s">
        <v>54</v>
      </c>
    </row>
    <row r="1076" spans="1:2" x14ac:dyDescent="0.2">
      <c r="A1076">
        <v>1070</v>
      </c>
      <c r="B1076" t="s">
        <v>54</v>
      </c>
    </row>
    <row r="1077" spans="1:2" x14ac:dyDescent="0.2">
      <c r="A1077">
        <v>1071</v>
      </c>
      <c r="B1077" t="s">
        <v>54</v>
      </c>
    </row>
    <row r="1078" spans="1:2" x14ac:dyDescent="0.2">
      <c r="A1078">
        <v>1072</v>
      </c>
      <c r="B1078" t="s">
        <v>54</v>
      </c>
    </row>
    <row r="1079" spans="1:2" x14ac:dyDescent="0.2">
      <c r="A1079">
        <v>1073</v>
      </c>
      <c r="B1079" t="s">
        <v>54</v>
      </c>
    </row>
    <row r="1080" spans="1:2" x14ac:dyDescent="0.2">
      <c r="A1080">
        <v>1074</v>
      </c>
      <c r="B1080" t="s">
        <v>54</v>
      </c>
    </row>
    <row r="1081" spans="1:2" x14ac:dyDescent="0.2">
      <c r="A1081">
        <v>1075</v>
      </c>
      <c r="B1081" t="s">
        <v>54</v>
      </c>
    </row>
    <row r="1082" spans="1:2" x14ac:dyDescent="0.2">
      <c r="A1082">
        <v>1076</v>
      </c>
      <c r="B1082" t="s">
        <v>54</v>
      </c>
    </row>
    <row r="1083" spans="1:2" x14ac:dyDescent="0.2">
      <c r="A1083">
        <v>1077</v>
      </c>
      <c r="B1083" t="s">
        <v>54</v>
      </c>
    </row>
    <row r="1084" spans="1:2" x14ac:dyDescent="0.2">
      <c r="A1084">
        <v>1078</v>
      </c>
      <c r="B1084" t="s">
        <v>54</v>
      </c>
    </row>
    <row r="1085" spans="1:2" x14ac:dyDescent="0.2">
      <c r="A1085">
        <v>1079</v>
      </c>
      <c r="B1085" t="s">
        <v>54</v>
      </c>
    </row>
    <row r="1086" spans="1:2" x14ac:dyDescent="0.2">
      <c r="A1086">
        <v>1080</v>
      </c>
      <c r="B1086" t="s">
        <v>54</v>
      </c>
    </row>
    <row r="1087" spans="1:2" x14ac:dyDescent="0.2">
      <c r="A1087">
        <v>1081</v>
      </c>
      <c r="B1087" t="s">
        <v>54</v>
      </c>
    </row>
    <row r="1088" spans="1:2" x14ac:dyDescent="0.2">
      <c r="A1088">
        <v>1082</v>
      </c>
      <c r="B1088" t="s">
        <v>54</v>
      </c>
    </row>
    <row r="1089" spans="1:2" x14ac:dyDescent="0.2">
      <c r="A1089">
        <v>1083</v>
      </c>
      <c r="B1089" t="s">
        <v>54</v>
      </c>
    </row>
    <row r="1090" spans="1:2" x14ac:dyDescent="0.2">
      <c r="A1090">
        <v>1084</v>
      </c>
      <c r="B1090" t="s">
        <v>54</v>
      </c>
    </row>
    <row r="1091" spans="1:2" x14ac:dyDescent="0.2">
      <c r="A1091">
        <v>1085</v>
      </c>
      <c r="B1091" t="s">
        <v>54</v>
      </c>
    </row>
    <row r="1092" spans="1:2" x14ac:dyDescent="0.2">
      <c r="A1092">
        <v>1086</v>
      </c>
      <c r="B1092" t="s">
        <v>54</v>
      </c>
    </row>
    <row r="1093" spans="1:2" x14ac:dyDescent="0.2">
      <c r="A1093">
        <v>1087</v>
      </c>
      <c r="B1093" t="s">
        <v>54</v>
      </c>
    </row>
    <row r="1094" spans="1:2" x14ac:dyDescent="0.2">
      <c r="A1094">
        <v>1088</v>
      </c>
      <c r="B1094" t="s">
        <v>54</v>
      </c>
    </row>
    <row r="1095" spans="1:2" x14ac:dyDescent="0.2">
      <c r="A1095">
        <v>1089</v>
      </c>
      <c r="B1095" t="s">
        <v>54</v>
      </c>
    </row>
    <row r="1096" spans="1:2" x14ac:dyDescent="0.2">
      <c r="A1096">
        <v>1090</v>
      </c>
      <c r="B1096" t="s">
        <v>54</v>
      </c>
    </row>
    <row r="1097" spans="1:2" x14ac:dyDescent="0.2">
      <c r="A1097">
        <v>1091</v>
      </c>
      <c r="B1097" t="s">
        <v>54</v>
      </c>
    </row>
    <row r="1098" spans="1:2" x14ac:dyDescent="0.2">
      <c r="A1098">
        <v>1092</v>
      </c>
      <c r="B1098" t="s">
        <v>54</v>
      </c>
    </row>
    <row r="1099" spans="1:2" x14ac:dyDescent="0.2">
      <c r="A1099">
        <v>1093</v>
      </c>
      <c r="B1099" t="s">
        <v>54</v>
      </c>
    </row>
    <row r="1100" spans="1:2" x14ac:dyDescent="0.2">
      <c r="A1100">
        <v>1094</v>
      </c>
      <c r="B1100" t="s">
        <v>54</v>
      </c>
    </row>
    <row r="1101" spans="1:2" x14ac:dyDescent="0.2">
      <c r="A1101">
        <v>1095</v>
      </c>
      <c r="B1101" t="s">
        <v>54</v>
      </c>
    </row>
    <row r="1102" spans="1:2" x14ac:dyDescent="0.2">
      <c r="A1102">
        <v>1096</v>
      </c>
      <c r="B1102" t="s">
        <v>54</v>
      </c>
    </row>
    <row r="1103" spans="1:2" x14ac:dyDescent="0.2">
      <c r="A1103">
        <v>1097</v>
      </c>
      <c r="B1103" t="s">
        <v>54</v>
      </c>
    </row>
    <row r="1104" spans="1:2" x14ac:dyDescent="0.2">
      <c r="A1104">
        <v>1098</v>
      </c>
      <c r="B1104" t="s">
        <v>54</v>
      </c>
    </row>
    <row r="1105" spans="1:2" x14ac:dyDescent="0.2">
      <c r="A1105">
        <v>1099</v>
      </c>
      <c r="B1105" t="s">
        <v>54</v>
      </c>
    </row>
    <row r="1106" spans="1:2" x14ac:dyDescent="0.2">
      <c r="A1106">
        <v>1100</v>
      </c>
      <c r="B1106" t="s">
        <v>54</v>
      </c>
    </row>
    <row r="1107" spans="1:2" x14ac:dyDescent="0.2">
      <c r="A1107">
        <v>1101</v>
      </c>
      <c r="B1107" t="s">
        <v>54</v>
      </c>
    </row>
    <row r="1108" spans="1:2" x14ac:dyDescent="0.2">
      <c r="A1108">
        <v>1102</v>
      </c>
      <c r="B1108" t="s">
        <v>54</v>
      </c>
    </row>
    <row r="1109" spans="1:2" x14ac:dyDescent="0.2">
      <c r="A1109">
        <v>1103</v>
      </c>
      <c r="B1109" t="s">
        <v>54</v>
      </c>
    </row>
    <row r="1110" spans="1:2" x14ac:dyDescent="0.2">
      <c r="A1110">
        <v>1104</v>
      </c>
      <c r="B1110" t="s">
        <v>54</v>
      </c>
    </row>
    <row r="1111" spans="1:2" x14ac:dyDescent="0.2">
      <c r="A1111">
        <v>1105</v>
      </c>
      <c r="B1111" t="s">
        <v>54</v>
      </c>
    </row>
    <row r="1112" spans="1:2" x14ac:dyDescent="0.2">
      <c r="A1112">
        <v>1106</v>
      </c>
      <c r="B1112" t="s">
        <v>54</v>
      </c>
    </row>
    <row r="1113" spans="1:2" x14ac:dyDescent="0.2">
      <c r="A1113">
        <v>1107</v>
      </c>
      <c r="B1113" t="s">
        <v>54</v>
      </c>
    </row>
    <row r="1114" spans="1:2" x14ac:dyDescent="0.2">
      <c r="A1114">
        <v>1108</v>
      </c>
      <c r="B1114" t="s">
        <v>54</v>
      </c>
    </row>
    <row r="1115" spans="1:2" x14ac:dyDescent="0.2">
      <c r="A1115">
        <v>1109</v>
      </c>
      <c r="B1115" t="s">
        <v>54</v>
      </c>
    </row>
    <row r="1116" spans="1:2" x14ac:dyDescent="0.2">
      <c r="A1116">
        <v>1110</v>
      </c>
      <c r="B1116" t="s">
        <v>54</v>
      </c>
    </row>
    <row r="1117" spans="1:2" x14ac:dyDescent="0.2">
      <c r="A1117">
        <v>1111</v>
      </c>
      <c r="B1117" t="s">
        <v>54</v>
      </c>
    </row>
    <row r="1118" spans="1:2" x14ac:dyDescent="0.2">
      <c r="A1118">
        <v>1112</v>
      </c>
      <c r="B1118" t="s">
        <v>54</v>
      </c>
    </row>
    <row r="1119" spans="1:2" x14ac:dyDescent="0.2">
      <c r="A1119">
        <v>1113</v>
      </c>
      <c r="B1119" t="s">
        <v>54</v>
      </c>
    </row>
    <row r="1120" spans="1:2" x14ac:dyDescent="0.2">
      <c r="A1120">
        <v>1114</v>
      </c>
      <c r="B1120" t="s">
        <v>54</v>
      </c>
    </row>
    <row r="1121" spans="1:2" x14ac:dyDescent="0.2">
      <c r="A1121">
        <v>1115</v>
      </c>
      <c r="B1121" t="s">
        <v>54</v>
      </c>
    </row>
    <row r="1122" spans="1:2" x14ac:dyDescent="0.2">
      <c r="A1122">
        <v>1116</v>
      </c>
      <c r="B1122" t="s">
        <v>54</v>
      </c>
    </row>
    <row r="1123" spans="1:2" x14ac:dyDescent="0.2">
      <c r="A1123">
        <v>1117</v>
      </c>
      <c r="B1123" t="s">
        <v>54</v>
      </c>
    </row>
    <row r="1124" spans="1:2" x14ac:dyDescent="0.2">
      <c r="A1124">
        <v>1118</v>
      </c>
      <c r="B1124" t="s">
        <v>54</v>
      </c>
    </row>
    <row r="1125" spans="1:2" x14ac:dyDescent="0.2">
      <c r="A1125">
        <v>1119</v>
      </c>
      <c r="B1125" t="s">
        <v>54</v>
      </c>
    </row>
    <row r="1126" spans="1:2" x14ac:dyDescent="0.2">
      <c r="A1126">
        <v>1120</v>
      </c>
      <c r="B1126" t="s">
        <v>54</v>
      </c>
    </row>
    <row r="1127" spans="1:2" x14ac:dyDescent="0.2">
      <c r="A1127">
        <v>1121</v>
      </c>
      <c r="B1127" t="s">
        <v>54</v>
      </c>
    </row>
    <row r="1128" spans="1:2" x14ac:dyDescent="0.2">
      <c r="A1128">
        <v>1122</v>
      </c>
      <c r="B1128" t="s">
        <v>54</v>
      </c>
    </row>
    <row r="1129" spans="1:2" x14ac:dyDescent="0.2">
      <c r="A1129">
        <v>1123</v>
      </c>
      <c r="B1129" t="s">
        <v>54</v>
      </c>
    </row>
    <row r="1130" spans="1:2" x14ac:dyDescent="0.2">
      <c r="A1130">
        <v>1124</v>
      </c>
      <c r="B1130" t="s">
        <v>54</v>
      </c>
    </row>
    <row r="1131" spans="1:2" x14ac:dyDescent="0.2">
      <c r="A1131">
        <v>1125</v>
      </c>
      <c r="B1131" t="s">
        <v>54</v>
      </c>
    </row>
    <row r="1132" spans="1:2" x14ac:dyDescent="0.2">
      <c r="A1132">
        <v>1126</v>
      </c>
      <c r="B1132" t="s">
        <v>54</v>
      </c>
    </row>
    <row r="1133" spans="1:2" x14ac:dyDescent="0.2">
      <c r="A1133">
        <v>1127</v>
      </c>
      <c r="B1133" t="s">
        <v>54</v>
      </c>
    </row>
    <row r="1134" spans="1:2" x14ac:dyDescent="0.2">
      <c r="A1134">
        <v>1128</v>
      </c>
      <c r="B1134" t="s">
        <v>54</v>
      </c>
    </row>
    <row r="1135" spans="1:2" x14ac:dyDescent="0.2">
      <c r="A1135">
        <v>1129</v>
      </c>
      <c r="B1135" t="s">
        <v>54</v>
      </c>
    </row>
    <row r="1136" spans="1:2" x14ac:dyDescent="0.2">
      <c r="A1136">
        <v>1130</v>
      </c>
      <c r="B1136" t="s">
        <v>54</v>
      </c>
    </row>
    <row r="1137" spans="1:2" x14ac:dyDescent="0.2">
      <c r="A1137">
        <v>1131</v>
      </c>
      <c r="B1137" t="s">
        <v>54</v>
      </c>
    </row>
    <row r="1138" spans="1:2" x14ac:dyDescent="0.2">
      <c r="A1138">
        <v>1132</v>
      </c>
      <c r="B1138" t="s">
        <v>54</v>
      </c>
    </row>
    <row r="1139" spans="1:2" x14ac:dyDescent="0.2">
      <c r="A1139">
        <v>1133</v>
      </c>
      <c r="B1139" t="s">
        <v>54</v>
      </c>
    </row>
    <row r="1140" spans="1:2" x14ac:dyDescent="0.2">
      <c r="A1140">
        <v>1134</v>
      </c>
      <c r="B1140" t="s">
        <v>54</v>
      </c>
    </row>
    <row r="1141" spans="1:2" x14ac:dyDescent="0.2">
      <c r="A1141">
        <v>1135</v>
      </c>
      <c r="B1141" t="s">
        <v>54</v>
      </c>
    </row>
    <row r="1142" spans="1:2" x14ac:dyDescent="0.2">
      <c r="A1142">
        <v>1136</v>
      </c>
      <c r="B1142" t="s">
        <v>54</v>
      </c>
    </row>
    <row r="1143" spans="1:2" x14ac:dyDescent="0.2">
      <c r="A1143">
        <v>1137</v>
      </c>
      <c r="B1143" t="s">
        <v>54</v>
      </c>
    </row>
    <row r="1144" spans="1:2" x14ac:dyDescent="0.2">
      <c r="A1144">
        <v>1138</v>
      </c>
      <c r="B1144" t="s">
        <v>54</v>
      </c>
    </row>
    <row r="1145" spans="1:2" x14ac:dyDescent="0.2">
      <c r="A1145">
        <v>1139</v>
      </c>
      <c r="B1145" t="s">
        <v>54</v>
      </c>
    </row>
    <row r="1146" spans="1:2" x14ac:dyDescent="0.2">
      <c r="A1146">
        <v>1140</v>
      </c>
      <c r="B1146" t="s">
        <v>54</v>
      </c>
    </row>
    <row r="1147" spans="1:2" x14ac:dyDescent="0.2">
      <c r="A1147">
        <v>1141</v>
      </c>
      <c r="B1147" t="s">
        <v>54</v>
      </c>
    </row>
    <row r="1148" spans="1:2" x14ac:dyDescent="0.2">
      <c r="A1148">
        <v>1142</v>
      </c>
      <c r="B1148" t="s">
        <v>54</v>
      </c>
    </row>
    <row r="1149" spans="1:2" x14ac:dyDescent="0.2">
      <c r="A1149">
        <v>1143</v>
      </c>
      <c r="B1149" t="s">
        <v>54</v>
      </c>
    </row>
    <row r="1150" spans="1:2" x14ac:dyDescent="0.2">
      <c r="A1150">
        <v>1144</v>
      </c>
      <c r="B1150" t="s">
        <v>54</v>
      </c>
    </row>
    <row r="1151" spans="1:2" x14ac:dyDescent="0.2">
      <c r="A1151">
        <v>1145</v>
      </c>
      <c r="B1151" t="s">
        <v>54</v>
      </c>
    </row>
    <row r="1152" spans="1:2" x14ac:dyDescent="0.2">
      <c r="A1152">
        <v>1146</v>
      </c>
      <c r="B1152" t="s">
        <v>54</v>
      </c>
    </row>
    <row r="1153" spans="1:2" x14ac:dyDescent="0.2">
      <c r="A1153">
        <v>1147</v>
      </c>
      <c r="B1153" t="s">
        <v>54</v>
      </c>
    </row>
    <row r="1154" spans="1:2" x14ac:dyDescent="0.2">
      <c r="A1154">
        <v>1148</v>
      </c>
      <c r="B1154" t="s">
        <v>54</v>
      </c>
    </row>
    <row r="1155" spans="1:2" x14ac:dyDescent="0.2">
      <c r="A1155">
        <v>1149</v>
      </c>
      <c r="B1155" t="s">
        <v>54</v>
      </c>
    </row>
    <row r="1156" spans="1:2" x14ac:dyDescent="0.2">
      <c r="A1156">
        <v>1150</v>
      </c>
      <c r="B1156" t="s">
        <v>54</v>
      </c>
    </row>
    <row r="1157" spans="1:2" x14ac:dyDescent="0.2">
      <c r="A1157">
        <v>1151</v>
      </c>
      <c r="B1157" t="s">
        <v>54</v>
      </c>
    </row>
    <row r="1158" spans="1:2" x14ac:dyDescent="0.2">
      <c r="A1158">
        <v>1152</v>
      </c>
      <c r="B1158" t="s">
        <v>54</v>
      </c>
    </row>
    <row r="1159" spans="1:2" x14ac:dyDescent="0.2">
      <c r="A1159">
        <v>1153</v>
      </c>
      <c r="B1159" t="s">
        <v>54</v>
      </c>
    </row>
    <row r="1160" spans="1:2" x14ac:dyDescent="0.2">
      <c r="A1160">
        <v>1154</v>
      </c>
      <c r="B1160" t="s">
        <v>54</v>
      </c>
    </row>
    <row r="1161" spans="1:2" x14ac:dyDescent="0.2">
      <c r="A1161">
        <v>1155</v>
      </c>
      <c r="B1161" t="s">
        <v>54</v>
      </c>
    </row>
    <row r="1162" spans="1:2" x14ac:dyDescent="0.2">
      <c r="A1162">
        <v>1156</v>
      </c>
      <c r="B1162" t="s">
        <v>54</v>
      </c>
    </row>
    <row r="1163" spans="1:2" x14ac:dyDescent="0.2">
      <c r="A1163">
        <v>1157</v>
      </c>
      <c r="B1163" t="s">
        <v>54</v>
      </c>
    </row>
    <row r="1164" spans="1:2" x14ac:dyDescent="0.2">
      <c r="A1164">
        <v>1158</v>
      </c>
      <c r="B1164" t="s">
        <v>54</v>
      </c>
    </row>
    <row r="1165" spans="1:2" x14ac:dyDescent="0.2">
      <c r="A1165">
        <v>1159</v>
      </c>
      <c r="B1165" t="s">
        <v>54</v>
      </c>
    </row>
    <row r="1166" spans="1:2" x14ac:dyDescent="0.2">
      <c r="A1166">
        <v>1160</v>
      </c>
      <c r="B1166" t="s">
        <v>54</v>
      </c>
    </row>
    <row r="1167" spans="1:2" x14ac:dyDescent="0.2">
      <c r="A1167">
        <v>1161</v>
      </c>
      <c r="B1167" t="s">
        <v>54</v>
      </c>
    </row>
    <row r="1168" spans="1:2" x14ac:dyDescent="0.2">
      <c r="A1168">
        <v>1162</v>
      </c>
      <c r="B1168" t="s">
        <v>54</v>
      </c>
    </row>
    <row r="1169" spans="1:2" x14ac:dyDescent="0.2">
      <c r="A1169">
        <v>1163</v>
      </c>
      <c r="B1169" t="s">
        <v>54</v>
      </c>
    </row>
    <row r="1170" spans="1:2" x14ac:dyDescent="0.2">
      <c r="A1170">
        <v>1164</v>
      </c>
      <c r="B1170" t="s">
        <v>54</v>
      </c>
    </row>
    <row r="1171" spans="1:2" x14ac:dyDescent="0.2">
      <c r="A1171">
        <v>1165</v>
      </c>
      <c r="B1171" t="s">
        <v>54</v>
      </c>
    </row>
    <row r="1172" spans="1:2" x14ac:dyDescent="0.2">
      <c r="A1172">
        <v>1166</v>
      </c>
      <c r="B1172" t="s">
        <v>54</v>
      </c>
    </row>
    <row r="1173" spans="1:2" x14ac:dyDescent="0.2">
      <c r="A1173">
        <v>1167</v>
      </c>
      <c r="B1173" t="s">
        <v>54</v>
      </c>
    </row>
    <row r="1174" spans="1:2" x14ac:dyDescent="0.2">
      <c r="A1174">
        <v>1168</v>
      </c>
      <c r="B1174" t="s">
        <v>54</v>
      </c>
    </row>
    <row r="1175" spans="1:2" x14ac:dyDescent="0.2">
      <c r="A1175">
        <v>1169</v>
      </c>
      <c r="B1175" t="s">
        <v>54</v>
      </c>
    </row>
    <row r="1176" spans="1:2" x14ac:dyDescent="0.2">
      <c r="A1176">
        <v>1170</v>
      </c>
      <c r="B1176" t="s">
        <v>54</v>
      </c>
    </row>
    <row r="1177" spans="1:2" x14ac:dyDescent="0.2">
      <c r="A1177">
        <v>1171</v>
      </c>
      <c r="B1177" t="s">
        <v>54</v>
      </c>
    </row>
    <row r="1178" spans="1:2" x14ac:dyDescent="0.2">
      <c r="A1178">
        <v>1172</v>
      </c>
      <c r="B1178" t="s">
        <v>54</v>
      </c>
    </row>
    <row r="1179" spans="1:2" x14ac:dyDescent="0.2">
      <c r="A1179">
        <v>1173</v>
      </c>
      <c r="B1179" t="s">
        <v>54</v>
      </c>
    </row>
    <row r="1180" spans="1:2" x14ac:dyDescent="0.2">
      <c r="A1180">
        <v>1174</v>
      </c>
      <c r="B1180" t="s">
        <v>54</v>
      </c>
    </row>
    <row r="1181" spans="1:2" x14ac:dyDescent="0.2">
      <c r="A1181">
        <v>1175</v>
      </c>
      <c r="B1181" t="s">
        <v>54</v>
      </c>
    </row>
    <row r="1182" spans="1:2" x14ac:dyDescent="0.2">
      <c r="A1182">
        <v>1176</v>
      </c>
      <c r="B1182" t="s">
        <v>54</v>
      </c>
    </row>
    <row r="1183" spans="1:2" x14ac:dyDescent="0.2">
      <c r="A1183">
        <v>1177</v>
      </c>
      <c r="B1183" t="s">
        <v>54</v>
      </c>
    </row>
    <row r="1184" spans="1:2" x14ac:dyDescent="0.2">
      <c r="A1184">
        <v>1178</v>
      </c>
      <c r="B1184" t="s">
        <v>54</v>
      </c>
    </row>
    <row r="1185" spans="1:2" x14ac:dyDescent="0.2">
      <c r="A1185">
        <v>1179</v>
      </c>
      <c r="B1185" t="s">
        <v>54</v>
      </c>
    </row>
    <row r="1186" spans="1:2" x14ac:dyDescent="0.2">
      <c r="A1186">
        <v>1180</v>
      </c>
      <c r="B1186" t="s">
        <v>54</v>
      </c>
    </row>
    <row r="1187" spans="1:2" x14ac:dyDescent="0.2">
      <c r="A1187">
        <v>1181</v>
      </c>
      <c r="B1187" t="s">
        <v>54</v>
      </c>
    </row>
    <row r="1188" spans="1:2" x14ac:dyDescent="0.2">
      <c r="A1188">
        <v>1182</v>
      </c>
      <c r="B1188" t="s">
        <v>54</v>
      </c>
    </row>
    <row r="1189" spans="1:2" x14ac:dyDescent="0.2">
      <c r="A1189">
        <v>1183</v>
      </c>
      <c r="B1189" t="s">
        <v>54</v>
      </c>
    </row>
    <row r="1190" spans="1:2" x14ac:dyDescent="0.2">
      <c r="A1190">
        <v>1184</v>
      </c>
      <c r="B1190" t="s">
        <v>54</v>
      </c>
    </row>
    <row r="1191" spans="1:2" x14ac:dyDescent="0.2">
      <c r="A1191">
        <v>1185</v>
      </c>
      <c r="B1191" t="s">
        <v>54</v>
      </c>
    </row>
    <row r="1192" spans="1:2" x14ac:dyDescent="0.2">
      <c r="A1192">
        <v>1186</v>
      </c>
      <c r="B1192" t="s">
        <v>54</v>
      </c>
    </row>
    <row r="1193" spans="1:2" x14ac:dyDescent="0.2">
      <c r="A1193">
        <v>1187</v>
      </c>
      <c r="B1193" t="s">
        <v>54</v>
      </c>
    </row>
    <row r="1194" spans="1:2" x14ac:dyDescent="0.2">
      <c r="A1194">
        <v>1188</v>
      </c>
      <c r="B1194" t="s">
        <v>54</v>
      </c>
    </row>
    <row r="1195" spans="1:2" x14ac:dyDescent="0.2">
      <c r="A1195">
        <v>1189</v>
      </c>
      <c r="B1195" t="s">
        <v>54</v>
      </c>
    </row>
    <row r="1196" spans="1:2" x14ac:dyDescent="0.2">
      <c r="A1196">
        <v>1190</v>
      </c>
      <c r="B1196" t="s">
        <v>54</v>
      </c>
    </row>
    <row r="1197" spans="1:2" x14ac:dyDescent="0.2">
      <c r="A1197">
        <v>1191</v>
      </c>
      <c r="B1197" t="s">
        <v>54</v>
      </c>
    </row>
    <row r="1198" spans="1:2" x14ac:dyDescent="0.2">
      <c r="A1198">
        <v>1192</v>
      </c>
      <c r="B1198" t="s">
        <v>54</v>
      </c>
    </row>
    <row r="1199" spans="1:2" x14ac:dyDescent="0.2">
      <c r="A1199">
        <v>1193</v>
      </c>
      <c r="B1199" t="s">
        <v>54</v>
      </c>
    </row>
    <row r="1200" spans="1:2" x14ac:dyDescent="0.2">
      <c r="A1200">
        <v>1194</v>
      </c>
      <c r="B1200" t="s">
        <v>54</v>
      </c>
    </row>
    <row r="1201" spans="1:2" x14ac:dyDescent="0.2">
      <c r="A1201">
        <v>1195</v>
      </c>
      <c r="B1201" t="s">
        <v>54</v>
      </c>
    </row>
    <row r="1202" spans="1:2" x14ac:dyDescent="0.2">
      <c r="A1202">
        <v>1196</v>
      </c>
      <c r="B1202" t="s">
        <v>54</v>
      </c>
    </row>
    <row r="1203" spans="1:2" x14ac:dyDescent="0.2">
      <c r="A1203">
        <v>1197</v>
      </c>
      <c r="B1203" t="s">
        <v>54</v>
      </c>
    </row>
    <row r="1204" spans="1:2" x14ac:dyDescent="0.2">
      <c r="A1204">
        <v>1198</v>
      </c>
      <c r="B1204" t="s">
        <v>54</v>
      </c>
    </row>
    <row r="1205" spans="1:2" x14ac:dyDescent="0.2">
      <c r="A1205">
        <v>1199</v>
      </c>
      <c r="B1205" t="s">
        <v>54</v>
      </c>
    </row>
    <row r="1206" spans="1:2" x14ac:dyDescent="0.2">
      <c r="A1206">
        <v>1200</v>
      </c>
      <c r="B1206" t="s">
        <v>54</v>
      </c>
    </row>
    <row r="1207" spans="1:2" x14ac:dyDescent="0.2">
      <c r="A1207">
        <v>1201</v>
      </c>
      <c r="B1207" t="s">
        <v>54</v>
      </c>
    </row>
    <row r="1208" spans="1:2" x14ac:dyDescent="0.2">
      <c r="A1208">
        <v>1202</v>
      </c>
      <c r="B1208" t="s">
        <v>54</v>
      </c>
    </row>
    <row r="1209" spans="1:2" x14ac:dyDescent="0.2">
      <c r="A1209">
        <v>1203</v>
      </c>
      <c r="B1209" t="s">
        <v>54</v>
      </c>
    </row>
    <row r="1210" spans="1:2" x14ac:dyDescent="0.2">
      <c r="A1210">
        <v>1204</v>
      </c>
      <c r="B1210" t="s">
        <v>54</v>
      </c>
    </row>
    <row r="1211" spans="1:2" x14ac:dyDescent="0.2">
      <c r="A1211">
        <v>1205</v>
      </c>
      <c r="B1211" t="s">
        <v>54</v>
      </c>
    </row>
    <row r="1212" spans="1:2" x14ac:dyDescent="0.2">
      <c r="A1212">
        <v>1206</v>
      </c>
      <c r="B1212" t="s">
        <v>54</v>
      </c>
    </row>
    <row r="1213" spans="1:2" x14ac:dyDescent="0.2">
      <c r="A1213">
        <v>1207</v>
      </c>
      <c r="B1213" t="s">
        <v>54</v>
      </c>
    </row>
    <row r="1214" spans="1:2" x14ac:dyDescent="0.2">
      <c r="A1214">
        <v>1208</v>
      </c>
      <c r="B1214" t="s">
        <v>54</v>
      </c>
    </row>
    <row r="1215" spans="1:2" x14ac:dyDescent="0.2">
      <c r="A1215">
        <v>1209</v>
      </c>
      <c r="B1215" t="s">
        <v>54</v>
      </c>
    </row>
    <row r="1216" spans="1:2" x14ac:dyDescent="0.2">
      <c r="A1216">
        <v>1210</v>
      </c>
      <c r="B1216" t="s">
        <v>54</v>
      </c>
    </row>
    <row r="1217" spans="1:2" x14ac:dyDescent="0.2">
      <c r="A1217">
        <v>1211</v>
      </c>
      <c r="B1217" t="s">
        <v>54</v>
      </c>
    </row>
    <row r="1218" spans="1:2" x14ac:dyDescent="0.2">
      <c r="A1218">
        <v>1212</v>
      </c>
      <c r="B1218" t="s">
        <v>54</v>
      </c>
    </row>
    <row r="1219" spans="1:2" x14ac:dyDescent="0.2">
      <c r="A1219">
        <v>1213</v>
      </c>
      <c r="B1219" t="s">
        <v>54</v>
      </c>
    </row>
    <row r="1220" spans="1:2" x14ac:dyDescent="0.2">
      <c r="A1220">
        <v>1214</v>
      </c>
      <c r="B1220" t="s">
        <v>54</v>
      </c>
    </row>
    <row r="1221" spans="1:2" x14ac:dyDescent="0.2">
      <c r="A1221">
        <v>1215</v>
      </c>
      <c r="B1221" t="s">
        <v>54</v>
      </c>
    </row>
    <row r="1222" spans="1:2" x14ac:dyDescent="0.2">
      <c r="A1222">
        <v>1216</v>
      </c>
      <c r="B1222" t="s">
        <v>54</v>
      </c>
    </row>
    <row r="1223" spans="1:2" x14ac:dyDescent="0.2">
      <c r="A1223">
        <v>1217</v>
      </c>
      <c r="B1223" t="s">
        <v>54</v>
      </c>
    </row>
    <row r="1224" spans="1:2" x14ac:dyDescent="0.2">
      <c r="A1224">
        <v>1218</v>
      </c>
      <c r="B1224" t="s">
        <v>54</v>
      </c>
    </row>
    <row r="1225" spans="1:2" x14ac:dyDescent="0.2">
      <c r="A1225">
        <v>1219</v>
      </c>
      <c r="B1225" t="s">
        <v>54</v>
      </c>
    </row>
    <row r="1226" spans="1:2" x14ac:dyDescent="0.2">
      <c r="A1226">
        <v>1220</v>
      </c>
      <c r="B1226" t="s">
        <v>54</v>
      </c>
    </row>
    <row r="1227" spans="1:2" x14ac:dyDescent="0.2">
      <c r="A1227">
        <v>1221</v>
      </c>
      <c r="B1227" t="s">
        <v>54</v>
      </c>
    </row>
    <row r="1228" spans="1:2" x14ac:dyDescent="0.2">
      <c r="A1228">
        <v>1222</v>
      </c>
      <c r="B1228" t="s">
        <v>54</v>
      </c>
    </row>
    <row r="1229" spans="1:2" x14ac:dyDescent="0.2">
      <c r="A1229">
        <v>1223</v>
      </c>
      <c r="B1229" t="s">
        <v>54</v>
      </c>
    </row>
    <row r="1230" spans="1:2" x14ac:dyDescent="0.2">
      <c r="A1230">
        <v>1224</v>
      </c>
      <c r="B1230" t="s">
        <v>54</v>
      </c>
    </row>
    <row r="1231" spans="1:2" x14ac:dyDescent="0.2">
      <c r="A1231">
        <v>1225</v>
      </c>
      <c r="B1231" t="s">
        <v>54</v>
      </c>
    </row>
    <row r="1232" spans="1:2" x14ac:dyDescent="0.2">
      <c r="A1232">
        <v>1226</v>
      </c>
      <c r="B1232" t="s">
        <v>54</v>
      </c>
    </row>
    <row r="1233" spans="1:2" x14ac:dyDescent="0.2">
      <c r="A1233">
        <v>1227</v>
      </c>
      <c r="B1233" t="s">
        <v>54</v>
      </c>
    </row>
    <row r="1234" spans="1:2" x14ac:dyDescent="0.2">
      <c r="A1234">
        <v>1228</v>
      </c>
      <c r="B1234" t="s">
        <v>54</v>
      </c>
    </row>
    <row r="1235" spans="1:2" x14ac:dyDescent="0.2">
      <c r="A1235">
        <v>1229</v>
      </c>
      <c r="B1235" t="s">
        <v>54</v>
      </c>
    </row>
    <row r="1236" spans="1:2" x14ac:dyDescent="0.2">
      <c r="A1236">
        <v>1230</v>
      </c>
      <c r="B1236" t="s">
        <v>54</v>
      </c>
    </row>
    <row r="1237" spans="1:2" x14ac:dyDescent="0.2">
      <c r="A1237">
        <v>1231</v>
      </c>
      <c r="B1237" t="s">
        <v>54</v>
      </c>
    </row>
    <row r="1238" spans="1:2" x14ac:dyDescent="0.2">
      <c r="A1238">
        <v>1232</v>
      </c>
      <c r="B1238" t="s">
        <v>54</v>
      </c>
    </row>
    <row r="1239" spans="1:2" x14ac:dyDescent="0.2">
      <c r="A1239">
        <v>1233</v>
      </c>
      <c r="B1239" t="s">
        <v>54</v>
      </c>
    </row>
    <row r="1240" spans="1:2" x14ac:dyDescent="0.2">
      <c r="A1240">
        <v>1234</v>
      </c>
      <c r="B1240" t="s">
        <v>54</v>
      </c>
    </row>
    <row r="1241" spans="1:2" x14ac:dyDescent="0.2">
      <c r="A1241">
        <v>1235</v>
      </c>
      <c r="B1241" t="s">
        <v>54</v>
      </c>
    </row>
    <row r="1242" spans="1:2" x14ac:dyDescent="0.2">
      <c r="A1242">
        <v>1236</v>
      </c>
      <c r="B1242" t="s">
        <v>54</v>
      </c>
    </row>
    <row r="1243" spans="1:2" x14ac:dyDescent="0.2">
      <c r="A1243">
        <v>1237</v>
      </c>
      <c r="B1243" t="s">
        <v>54</v>
      </c>
    </row>
    <row r="1244" spans="1:2" x14ac:dyDescent="0.2">
      <c r="A1244">
        <v>1238</v>
      </c>
      <c r="B1244" t="s">
        <v>54</v>
      </c>
    </row>
    <row r="1245" spans="1:2" x14ac:dyDescent="0.2">
      <c r="A1245">
        <v>1239</v>
      </c>
      <c r="B1245" t="s">
        <v>54</v>
      </c>
    </row>
    <row r="1246" spans="1:2" x14ac:dyDescent="0.2">
      <c r="A1246">
        <v>1240</v>
      </c>
      <c r="B1246" t="s">
        <v>54</v>
      </c>
    </row>
    <row r="1247" spans="1:2" x14ac:dyDescent="0.2">
      <c r="A1247">
        <v>1241</v>
      </c>
      <c r="B1247" t="s">
        <v>54</v>
      </c>
    </row>
    <row r="1248" spans="1:2" x14ac:dyDescent="0.2">
      <c r="A1248">
        <v>1242</v>
      </c>
      <c r="B1248" t="s">
        <v>54</v>
      </c>
    </row>
    <row r="1249" spans="1:2" x14ac:dyDescent="0.2">
      <c r="A1249">
        <v>1243</v>
      </c>
      <c r="B1249" t="s">
        <v>54</v>
      </c>
    </row>
    <row r="1250" spans="1:2" x14ac:dyDescent="0.2">
      <c r="A1250">
        <v>1244</v>
      </c>
      <c r="B1250" t="s">
        <v>54</v>
      </c>
    </row>
    <row r="1251" spans="1:2" x14ac:dyDescent="0.2">
      <c r="A1251">
        <v>1245</v>
      </c>
      <c r="B1251" t="s">
        <v>54</v>
      </c>
    </row>
    <row r="1252" spans="1:2" x14ac:dyDescent="0.2">
      <c r="A1252">
        <v>1246</v>
      </c>
      <c r="B1252" t="s">
        <v>54</v>
      </c>
    </row>
    <row r="1253" spans="1:2" x14ac:dyDescent="0.2">
      <c r="A1253">
        <v>1247</v>
      </c>
      <c r="B1253" t="s">
        <v>54</v>
      </c>
    </row>
    <row r="1254" spans="1:2" x14ac:dyDescent="0.2">
      <c r="A1254">
        <v>1248</v>
      </c>
      <c r="B1254" t="s">
        <v>54</v>
      </c>
    </row>
    <row r="1255" spans="1:2" x14ac:dyDescent="0.2">
      <c r="A1255">
        <v>1249</v>
      </c>
      <c r="B1255" t="s">
        <v>54</v>
      </c>
    </row>
    <row r="1256" spans="1:2" x14ac:dyDescent="0.2">
      <c r="A1256">
        <v>1250</v>
      </c>
      <c r="B1256" t="s">
        <v>54</v>
      </c>
    </row>
    <row r="1257" spans="1:2" x14ac:dyDescent="0.2">
      <c r="A1257">
        <v>1251</v>
      </c>
      <c r="B1257" t="s">
        <v>54</v>
      </c>
    </row>
    <row r="1258" spans="1:2" x14ac:dyDescent="0.2">
      <c r="A1258">
        <v>1252</v>
      </c>
      <c r="B1258" t="s">
        <v>54</v>
      </c>
    </row>
    <row r="1259" spans="1:2" x14ac:dyDescent="0.2">
      <c r="A1259">
        <v>1253</v>
      </c>
      <c r="B1259" t="s">
        <v>54</v>
      </c>
    </row>
    <row r="1260" spans="1:2" x14ac:dyDescent="0.2">
      <c r="A1260">
        <v>1254</v>
      </c>
      <c r="B1260" t="s">
        <v>54</v>
      </c>
    </row>
    <row r="1261" spans="1:2" x14ac:dyDescent="0.2">
      <c r="A1261">
        <v>1255</v>
      </c>
      <c r="B1261" t="s">
        <v>54</v>
      </c>
    </row>
    <row r="1262" spans="1:2" x14ac:dyDescent="0.2">
      <c r="A1262">
        <v>1256</v>
      </c>
      <c r="B1262" t="s">
        <v>54</v>
      </c>
    </row>
    <row r="1263" spans="1:2" x14ac:dyDescent="0.2">
      <c r="A1263">
        <v>1257</v>
      </c>
      <c r="B1263" t="s">
        <v>54</v>
      </c>
    </row>
    <row r="1264" spans="1:2" x14ac:dyDescent="0.2">
      <c r="A1264">
        <v>1258</v>
      </c>
      <c r="B1264" t="s">
        <v>54</v>
      </c>
    </row>
    <row r="1265" spans="1:2" x14ac:dyDescent="0.2">
      <c r="A1265">
        <v>1259</v>
      </c>
      <c r="B1265" t="s">
        <v>54</v>
      </c>
    </row>
    <row r="1266" spans="1:2" x14ac:dyDescent="0.2">
      <c r="A1266">
        <v>1260</v>
      </c>
      <c r="B1266" t="s">
        <v>54</v>
      </c>
    </row>
    <row r="1267" spans="1:2" x14ac:dyDescent="0.2">
      <c r="A1267">
        <v>1261</v>
      </c>
      <c r="B1267" t="s">
        <v>54</v>
      </c>
    </row>
    <row r="1268" spans="1:2" x14ac:dyDescent="0.2">
      <c r="A1268">
        <v>1262</v>
      </c>
      <c r="B1268" t="s">
        <v>54</v>
      </c>
    </row>
    <row r="1269" spans="1:2" x14ac:dyDescent="0.2">
      <c r="A1269">
        <v>1263</v>
      </c>
      <c r="B1269" t="s">
        <v>54</v>
      </c>
    </row>
    <row r="1270" spans="1:2" x14ac:dyDescent="0.2">
      <c r="A1270">
        <v>1264</v>
      </c>
      <c r="B1270" t="s">
        <v>54</v>
      </c>
    </row>
    <row r="1271" spans="1:2" x14ac:dyDescent="0.2">
      <c r="A1271">
        <v>1265</v>
      </c>
      <c r="B1271" t="s">
        <v>54</v>
      </c>
    </row>
    <row r="1272" spans="1:2" x14ac:dyDescent="0.2">
      <c r="A1272">
        <v>1266</v>
      </c>
      <c r="B1272" t="s">
        <v>54</v>
      </c>
    </row>
    <row r="1273" spans="1:2" x14ac:dyDescent="0.2">
      <c r="A1273">
        <v>1267</v>
      </c>
      <c r="B1273" t="s">
        <v>54</v>
      </c>
    </row>
    <row r="1274" spans="1:2" x14ac:dyDescent="0.2">
      <c r="A1274">
        <v>1268</v>
      </c>
      <c r="B1274" t="s">
        <v>54</v>
      </c>
    </row>
    <row r="1275" spans="1:2" x14ac:dyDescent="0.2">
      <c r="A1275">
        <v>1269</v>
      </c>
      <c r="B1275" t="s">
        <v>54</v>
      </c>
    </row>
    <row r="1276" spans="1:2" x14ac:dyDescent="0.2">
      <c r="A1276">
        <v>1270</v>
      </c>
      <c r="B1276" t="s">
        <v>54</v>
      </c>
    </row>
    <row r="1277" spans="1:2" x14ac:dyDescent="0.2">
      <c r="A1277">
        <v>1271</v>
      </c>
      <c r="B1277" t="s">
        <v>54</v>
      </c>
    </row>
    <row r="1278" spans="1:2" x14ac:dyDescent="0.2">
      <c r="A1278">
        <v>1272</v>
      </c>
      <c r="B1278" t="s">
        <v>54</v>
      </c>
    </row>
    <row r="1279" spans="1:2" x14ac:dyDescent="0.2">
      <c r="A1279">
        <v>1273</v>
      </c>
      <c r="B1279" t="s">
        <v>54</v>
      </c>
    </row>
    <row r="1280" spans="1:2" x14ac:dyDescent="0.2">
      <c r="A1280">
        <v>1274</v>
      </c>
      <c r="B1280" t="s">
        <v>54</v>
      </c>
    </row>
    <row r="1281" spans="1:2" x14ac:dyDescent="0.2">
      <c r="A1281">
        <v>1275</v>
      </c>
      <c r="B1281" t="s">
        <v>54</v>
      </c>
    </row>
    <row r="1282" spans="1:2" x14ac:dyDescent="0.2">
      <c r="A1282">
        <v>1276</v>
      </c>
      <c r="B1282" t="s">
        <v>54</v>
      </c>
    </row>
    <row r="1283" spans="1:2" x14ac:dyDescent="0.2">
      <c r="A1283">
        <v>1277</v>
      </c>
      <c r="B1283" t="s">
        <v>54</v>
      </c>
    </row>
    <row r="1284" spans="1:2" x14ac:dyDescent="0.2">
      <c r="A1284">
        <v>1278</v>
      </c>
      <c r="B1284" t="s">
        <v>54</v>
      </c>
    </row>
    <row r="1285" spans="1:2" x14ac:dyDescent="0.2">
      <c r="A1285">
        <v>1279</v>
      </c>
      <c r="B1285" t="s">
        <v>54</v>
      </c>
    </row>
    <row r="1286" spans="1:2" x14ac:dyDescent="0.2">
      <c r="A1286">
        <v>1280</v>
      </c>
      <c r="B1286" t="s">
        <v>54</v>
      </c>
    </row>
    <row r="1287" spans="1:2" x14ac:dyDescent="0.2">
      <c r="A1287">
        <v>1281</v>
      </c>
      <c r="B1287" t="s">
        <v>54</v>
      </c>
    </row>
    <row r="1288" spans="1:2" x14ac:dyDescent="0.2">
      <c r="A1288">
        <v>1282</v>
      </c>
      <c r="B1288" t="s">
        <v>54</v>
      </c>
    </row>
    <row r="1289" spans="1:2" x14ac:dyDescent="0.2">
      <c r="A1289">
        <v>1283</v>
      </c>
      <c r="B1289" t="s">
        <v>54</v>
      </c>
    </row>
    <row r="1290" spans="1:2" x14ac:dyDescent="0.2">
      <c r="A1290">
        <v>1284</v>
      </c>
      <c r="B1290" t="s">
        <v>54</v>
      </c>
    </row>
    <row r="1291" spans="1:2" x14ac:dyDescent="0.2">
      <c r="A1291">
        <v>1285</v>
      </c>
      <c r="B1291" t="s">
        <v>54</v>
      </c>
    </row>
    <row r="1292" spans="1:2" x14ac:dyDescent="0.2">
      <c r="A1292">
        <v>1286</v>
      </c>
      <c r="B1292" t="s">
        <v>54</v>
      </c>
    </row>
    <row r="1293" spans="1:2" x14ac:dyDescent="0.2">
      <c r="A1293">
        <v>1287</v>
      </c>
      <c r="B1293" t="s">
        <v>54</v>
      </c>
    </row>
    <row r="1294" spans="1:2" x14ac:dyDescent="0.2">
      <c r="A1294">
        <v>1288</v>
      </c>
      <c r="B1294" t="s">
        <v>54</v>
      </c>
    </row>
    <row r="1295" spans="1:2" x14ac:dyDescent="0.2">
      <c r="A1295">
        <v>1289</v>
      </c>
      <c r="B1295" t="s">
        <v>54</v>
      </c>
    </row>
    <row r="1296" spans="1:2" x14ac:dyDescent="0.2">
      <c r="A1296">
        <v>1290</v>
      </c>
      <c r="B1296" t="s">
        <v>54</v>
      </c>
    </row>
    <row r="1297" spans="1:2" x14ac:dyDescent="0.2">
      <c r="A1297">
        <v>1291</v>
      </c>
      <c r="B1297" t="s">
        <v>54</v>
      </c>
    </row>
    <row r="1298" spans="1:2" x14ac:dyDescent="0.2">
      <c r="A1298">
        <v>1292</v>
      </c>
      <c r="B1298" t="s">
        <v>54</v>
      </c>
    </row>
    <row r="1299" spans="1:2" x14ac:dyDescent="0.2">
      <c r="A1299">
        <v>1293</v>
      </c>
      <c r="B1299" t="s">
        <v>54</v>
      </c>
    </row>
    <row r="1300" spans="1:2" x14ac:dyDescent="0.2">
      <c r="A1300">
        <v>1294</v>
      </c>
      <c r="B1300" t="s">
        <v>54</v>
      </c>
    </row>
    <row r="1301" spans="1:2" x14ac:dyDescent="0.2">
      <c r="A1301">
        <v>1295</v>
      </c>
      <c r="B1301" t="s">
        <v>54</v>
      </c>
    </row>
    <row r="1302" spans="1:2" x14ac:dyDescent="0.2">
      <c r="A1302">
        <v>1296</v>
      </c>
      <c r="B1302" t="s">
        <v>54</v>
      </c>
    </row>
    <row r="1303" spans="1:2" x14ac:dyDescent="0.2">
      <c r="A1303">
        <v>1297</v>
      </c>
      <c r="B1303" t="s">
        <v>54</v>
      </c>
    </row>
    <row r="1304" spans="1:2" x14ac:dyDescent="0.2">
      <c r="A1304">
        <v>1298</v>
      </c>
      <c r="B1304" t="s">
        <v>54</v>
      </c>
    </row>
    <row r="1305" spans="1:2" x14ac:dyDescent="0.2">
      <c r="A1305">
        <v>1299</v>
      </c>
      <c r="B1305" t="s">
        <v>54</v>
      </c>
    </row>
    <row r="1306" spans="1:2" x14ac:dyDescent="0.2">
      <c r="A1306">
        <v>1300</v>
      </c>
      <c r="B1306" t="s">
        <v>54</v>
      </c>
    </row>
    <row r="1307" spans="1:2" x14ac:dyDescent="0.2">
      <c r="A1307">
        <v>1301</v>
      </c>
      <c r="B1307" t="s">
        <v>54</v>
      </c>
    </row>
    <row r="1308" spans="1:2" x14ac:dyDescent="0.2">
      <c r="A1308">
        <v>1302</v>
      </c>
      <c r="B1308" t="s">
        <v>54</v>
      </c>
    </row>
    <row r="1309" spans="1:2" x14ac:dyDescent="0.2">
      <c r="A1309">
        <v>1303</v>
      </c>
      <c r="B1309" t="s">
        <v>54</v>
      </c>
    </row>
    <row r="1310" spans="1:2" x14ac:dyDescent="0.2">
      <c r="A1310">
        <v>1304</v>
      </c>
      <c r="B1310" t="s">
        <v>54</v>
      </c>
    </row>
    <row r="1311" spans="1:2" x14ac:dyDescent="0.2">
      <c r="A1311">
        <v>1305</v>
      </c>
      <c r="B1311" t="s">
        <v>54</v>
      </c>
    </row>
    <row r="1312" spans="1:2" x14ac:dyDescent="0.2">
      <c r="A1312">
        <v>1306</v>
      </c>
      <c r="B1312" t="s">
        <v>54</v>
      </c>
    </row>
    <row r="1313" spans="1:2" x14ac:dyDescent="0.2">
      <c r="A1313">
        <v>1307</v>
      </c>
      <c r="B1313" t="s">
        <v>54</v>
      </c>
    </row>
    <row r="1314" spans="1:2" x14ac:dyDescent="0.2">
      <c r="A1314">
        <v>1308</v>
      </c>
      <c r="B1314" t="s">
        <v>54</v>
      </c>
    </row>
    <row r="1315" spans="1:2" x14ac:dyDescent="0.2">
      <c r="A1315">
        <v>1309</v>
      </c>
      <c r="B1315" t="s">
        <v>54</v>
      </c>
    </row>
    <row r="1316" spans="1:2" x14ac:dyDescent="0.2">
      <c r="A1316">
        <v>1310</v>
      </c>
      <c r="B1316" t="s">
        <v>54</v>
      </c>
    </row>
    <row r="1317" spans="1:2" x14ac:dyDescent="0.2">
      <c r="A1317">
        <v>1311</v>
      </c>
      <c r="B1317" t="s">
        <v>54</v>
      </c>
    </row>
    <row r="1318" spans="1:2" x14ac:dyDescent="0.2">
      <c r="A1318">
        <v>1312</v>
      </c>
      <c r="B1318" t="s">
        <v>54</v>
      </c>
    </row>
    <row r="1319" spans="1:2" x14ac:dyDescent="0.2">
      <c r="A1319">
        <v>1313</v>
      </c>
      <c r="B1319" t="s">
        <v>54</v>
      </c>
    </row>
    <row r="1320" spans="1:2" x14ac:dyDescent="0.2">
      <c r="A1320">
        <v>1314</v>
      </c>
      <c r="B1320" t="s">
        <v>54</v>
      </c>
    </row>
    <row r="1321" spans="1:2" x14ac:dyDescent="0.2">
      <c r="A1321">
        <v>1315</v>
      </c>
      <c r="B1321" t="s">
        <v>54</v>
      </c>
    </row>
    <row r="1322" spans="1:2" x14ac:dyDescent="0.2">
      <c r="A1322">
        <v>1316</v>
      </c>
      <c r="B1322" t="s">
        <v>54</v>
      </c>
    </row>
    <row r="1323" spans="1:2" x14ac:dyDescent="0.2">
      <c r="A1323">
        <v>1317</v>
      </c>
      <c r="B1323" t="s">
        <v>54</v>
      </c>
    </row>
    <row r="1324" spans="1:2" x14ac:dyDescent="0.2">
      <c r="A1324">
        <v>1318</v>
      </c>
      <c r="B1324" t="s">
        <v>54</v>
      </c>
    </row>
    <row r="1325" spans="1:2" x14ac:dyDescent="0.2">
      <c r="A1325">
        <v>1319</v>
      </c>
      <c r="B1325" t="s">
        <v>54</v>
      </c>
    </row>
    <row r="1326" spans="1:2" x14ac:dyDescent="0.2">
      <c r="A1326">
        <v>1320</v>
      </c>
      <c r="B1326" t="s">
        <v>54</v>
      </c>
    </row>
    <row r="1327" spans="1:2" x14ac:dyDescent="0.2">
      <c r="A1327">
        <v>1321</v>
      </c>
      <c r="B1327" t="s">
        <v>54</v>
      </c>
    </row>
    <row r="1328" spans="1:2" x14ac:dyDescent="0.2">
      <c r="A1328">
        <v>1322</v>
      </c>
      <c r="B1328" t="s">
        <v>54</v>
      </c>
    </row>
    <row r="1329" spans="1:2" x14ac:dyDescent="0.2">
      <c r="A1329">
        <v>1323</v>
      </c>
      <c r="B1329" t="s">
        <v>54</v>
      </c>
    </row>
    <row r="1330" spans="1:2" x14ac:dyDescent="0.2">
      <c r="A1330">
        <v>1324</v>
      </c>
      <c r="B1330" t="s">
        <v>54</v>
      </c>
    </row>
    <row r="1331" spans="1:2" x14ac:dyDescent="0.2">
      <c r="A1331">
        <v>1325</v>
      </c>
      <c r="B1331" t="s">
        <v>54</v>
      </c>
    </row>
    <row r="1332" spans="1:2" x14ac:dyDescent="0.2">
      <c r="A1332">
        <v>1326</v>
      </c>
      <c r="B1332" t="s">
        <v>54</v>
      </c>
    </row>
    <row r="1333" spans="1:2" x14ac:dyDescent="0.2">
      <c r="A1333">
        <v>1327</v>
      </c>
      <c r="B1333" t="s">
        <v>54</v>
      </c>
    </row>
    <row r="1334" spans="1:2" x14ac:dyDescent="0.2">
      <c r="A1334">
        <v>1328</v>
      </c>
      <c r="B1334" t="s">
        <v>54</v>
      </c>
    </row>
    <row r="1335" spans="1:2" x14ac:dyDescent="0.2">
      <c r="A1335">
        <v>1329</v>
      </c>
      <c r="B1335" t="s">
        <v>54</v>
      </c>
    </row>
    <row r="1336" spans="1:2" x14ac:dyDescent="0.2">
      <c r="A1336">
        <v>1330</v>
      </c>
      <c r="B1336" t="s">
        <v>54</v>
      </c>
    </row>
    <row r="1337" spans="1:2" x14ac:dyDescent="0.2">
      <c r="A1337">
        <v>1331</v>
      </c>
      <c r="B1337" t="s">
        <v>54</v>
      </c>
    </row>
    <row r="1338" spans="1:2" x14ac:dyDescent="0.2">
      <c r="A1338">
        <v>1332</v>
      </c>
      <c r="B1338" t="s">
        <v>54</v>
      </c>
    </row>
    <row r="1339" spans="1:2" x14ac:dyDescent="0.2">
      <c r="A1339">
        <v>1333</v>
      </c>
      <c r="B1339" t="s">
        <v>54</v>
      </c>
    </row>
    <row r="1340" spans="1:2" x14ac:dyDescent="0.2">
      <c r="A1340">
        <v>1334</v>
      </c>
      <c r="B1340" t="s">
        <v>54</v>
      </c>
    </row>
    <row r="1341" spans="1:2" x14ac:dyDescent="0.2">
      <c r="A1341">
        <v>1335</v>
      </c>
      <c r="B1341" t="s">
        <v>54</v>
      </c>
    </row>
    <row r="1342" spans="1:2" x14ac:dyDescent="0.2">
      <c r="A1342">
        <v>1336</v>
      </c>
      <c r="B1342" t="s">
        <v>54</v>
      </c>
    </row>
    <row r="1343" spans="1:2" x14ac:dyDescent="0.2">
      <c r="A1343">
        <v>1337</v>
      </c>
      <c r="B1343" t="s">
        <v>54</v>
      </c>
    </row>
    <row r="1344" spans="1:2" x14ac:dyDescent="0.2">
      <c r="A1344">
        <v>1338</v>
      </c>
      <c r="B1344" t="s">
        <v>54</v>
      </c>
    </row>
    <row r="1345" spans="1:2" x14ac:dyDescent="0.2">
      <c r="A1345">
        <v>1339</v>
      </c>
      <c r="B1345" t="s">
        <v>54</v>
      </c>
    </row>
    <row r="1346" spans="1:2" x14ac:dyDescent="0.2">
      <c r="A1346">
        <v>1340</v>
      </c>
      <c r="B1346" t="s">
        <v>54</v>
      </c>
    </row>
    <row r="1347" spans="1:2" x14ac:dyDescent="0.2">
      <c r="A1347">
        <v>1341</v>
      </c>
      <c r="B1347" t="s">
        <v>54</v>
      </c>
    </row>
    <row r="1348" spans="1:2" x14ac:dyDescent="0.2">
      <c r="A1348">
        <v>1342</v>
      </c>
      <c r="B1348" t="s">
        <v>54</v>
      </c>
    </row>
    <row r="1349" spans="1:2" x14ac:dyDescent="0.2">
      <c r="A1349">
        <v>1343</v>
      </c>
      <c r="B1349" t="s">
        <v>54</v>
      </c>
    </row>
    <row r="1350" spans="1:2" x14ac:dyDescent="0.2">
      <c r="A1350">
        <v>1344</v>
      </c>
      <c r="B1350" t="s">
        <v>54</v>
      </c>
    </row>
    <row r="1351" spans="1:2" x14ac:dyDescent="0.2">
      <c r="A1351">
        <v>1345</v>
      </c>
      <c r="B1351" t="s">
        <v>54</v>
      </c>
    </row>
    <row r="1352" spans="1:2" x14ac:dyDescent="0.2">
      <c r="A1352">
        <v>1346</v>
      </c>
      <c r="B1352" t="s">
        <v>54</v>
      </c>
    </row>
    <row r="1353" spans="1:2" x14ac:dyDescent="0.2">
      <c r="A1353">
        <v>1347</v>
      </c>
      <c r="B1353" t="s">
        <v>54</v>
      </c>
    </row>
    <row r="1354" spans="1:2" x14ac:dyDescent="0.2">
      <c r="A1354">
        <v>1348</v>
      </c>
      <c r="B1354" t="s">
        <v>54</v>
      </c>
    </row>
    <row r="1355" spans="1:2" x14ac:dyDescent="0.2">
      <c r="A1355">
        <v>1349</v>
      </c>
      <c r="B1355" t="s">
        <v>54</v>
      </c>
    </row>
    <row r="1356" spans="1:2" x14ac:dyDescent="0.2">
      <c r="A1356">
        <v>1350</v>
      </c>
      <c r="B1356" t="s">
        <v>54</v>
      </c>
    </row>
    <row r="1357" spans="1:2" x14ac:dyDescent="0.2">
      <c r="A1357">
        <v>1351</v>
      </c>
      <c r="B1357" t="s">
        <v>54</v>
      </c>
    </row>
    <row r="1358" spans="1:2" x14ac:dyDescent="0.2">
      <c r="A1358">
        <v>1352</v>
      </c>
      <c r="B1358" t="s">
        <v>54</v>
      </c>
    </row>
    <row r="1359" spans="1:2" x14ac:dyDescent="0.2">
      <c r="A1359">
        <v>1353</v>
      </c>
      <c r="B1359" t="s">
        <v>54</v>
      </c>
    </row>
    <row r="1360" spans="1:2" x14ac:dyDescent="0.2">
      <c r="A1360">
        <v>1354</v>
      </c>
      <c r="B1360" t="s">
        <v>54</v>
      </c>
    </row>
    <row r="1361" spans="1:2" x14ac:dyDescent="0.2">
      <c r="A1361">
        <v>1355</v>
      </c>
      <c r="B1361" t="s">
        <v>54</v>
      </c>
    </row>
    <row r="1362" spans="1:2" x14ac:dyDescent="0.2">
      <c r="A1362">
        <v>1356</v>
      </c>
      <c r="B1362" t="s">
        <v>54</v>
      </c>
    </row>
    <row r="1363" spans="1:2" x14ac:dyDescent="0.2">
      <c r="A1363">
        <v>1357</v>
      </c>
      <c r="B1363" t="s">
        <v>54</v>
      </c>
    </row>
    <row r="1364" spans="1:2" x14ac:dyDescent="0.2">
      <c r="A1364">
        <v>1358</v>
      </c>
      <c r="B1364" t="s">
        <v>54</v>
      </c>
    </row>
    <row r="1365" spans="1:2" x14ac:dyDescent="0.2">
      <c r="A1365">
        <v>1359</v>
      </c>
      <c r="B1365" t="s">
        <v>54</v>
      </c>
    </row>
    <row r="1366" spans="1:2" x14ac:dyDescent="0.2">
      <c r="A1366">
        <v>1360</v>
      </c>
      <c r="B1366" t="s">
        <v>54</v>
      </c>
    </row>
    <row r="1367" spans="1:2" x14ac:dyDescent="0.2">
      <c r="A1367">
        <v>1361</v>
      </c>
      <c r="B1367" t="s">
        <v>54</v>
      </c>
    </row>
    <row r="1368" spans="1:2" x14ac:dyDescent="0.2">
      <c r="A1368">
        <v>1362</v>
      </c>
      <c r="B1368" t="s">
        <v>54</v>
      </c>
    </row>
    <row r="1369" spans="1:2" x14ac:dyDescent="0.2">
      <c r="A1369">
        <v>1363</v>
      </c>
      <c r="B1369" t="s">
        <v>54</v>
      </c>
    </row>
    <row r="1370" spans="1:2" x14ac:dyDescent="0.2">
      <c r="A1370">
        <v>1364</v>
      </c>
      <c r="B1370" t="s">
        <v>54</v>
      </c>
    </row>
    <row r="1371" spans="1:2" x14ac:dyDescent="0.2">
      <c r="A1371">
        <v>1365</v>
      </c>
      <c r="B1371" t="s">
        <v>54</v>
      </c>
    </row>
    <row r="1372" spans="1:2" x14ac:dyDescent="0.2">
      <c r="A1372">
        <v>1366</v>
      </c>
      <c r="B1372" t="s">
        <v>54</v>
      </c>
    </row>
    <row r="1373" spans="1:2" x14ac:dyDescent="0.2">
      <c r="A1373">
        <v>1367</v>
      </c>
      <c r="B1373" t="s">
        <v>54</v>
      </c>
    </row>
    <row r="1374" spans="1:2" x14ac:dyDescent="0.2">
      <c r="A1374">
        <v>1368</v>
      </c>
      <c r="B1374" t="s">
        <v>54</v>
      </c>
    </row>
    <row r="1375" spans="1:2" x14ac:dyDescent="0.2">
      <c r="A1375">
        <v>1369</v>
      </c>
      <c r="B1375" t="s">
        <v>54</v>
      </c>
    </row>
    <row r="1376" spans="1:2" x14ac:dyDescent="0.2">
      <c r="A1376">
        <v>1370</v>
      </c>
      <c r="B1376" t="s">
        <v>54</v>
      </c>
    </row>
    <row r="1377" spans="1:2" x14ac:dyDescent="0.2">
      <c r="A1377">
        <v>1371</v>
      </c>
      <c r="B1377" t="s">
        <v>54</v>
      </c>
    </row>
    <row r="1378" spans="1:2" x14ac:dyDescent="0.2">
      <c r="A1378">
        <v>1372</v>
      </c>
      <c r="B1378" t="s">
        <v>54</v>
      </c>
    </row>
    <row r="1379" spans="1:2" x14ac:dyDescent="0.2">
      <c r="A1379">
        <v>1373</v>
      </c>
      <c r="B1379" t="s">
        <v>54</v>
      </c>
    </row>
    <row r="1380" spans="1:2" x14ac:dyDescent="0.2">
      <c r="A1380">
        <v>1374</v>
      </c>
      <c r="B1380" t="s">
        <v>54</v>
      </c>
    </row>
    <row r="1381" spans="1:2" x14ac:dyDescent="0.2">
      <c r="A1381">
        <v>1375</v>
      </c>
      <c r="B1381" t="s">
        <v>54</v>
      </c>
    </row>
    <row r="1382" spans="1:2" x14ac:dyDescent="0.2">
      <c r="A1382">
        <v>1376</v>
      </c>
      <c r="B1382" t="s">
        <v>54</v>
      </c>
    </row>
    <row r="1383" spans="1:2" x14ac:dyDescent="0.2">
      <c r="A1383">
        <v>1377</v>
      </c>
      <c r="B1383" t="s">
        <v>54</v>
      </c>
    </row>
    <row r="1384" spans="1:2" x14ac:dyDescent="0.2">
      <c r="A1384">
        <v>1378</v>
      </c>
      <c r="B1384" t="s">
        <v>54</v>
      </c>
    </row>
    <row r="1385" spans="1:2" x14ac:dyDescent="0.2">
      <c r="A1385">
        <v>1379</v>
      </c>
      <c r="B1385" t="s">
        <v>54</v>
      </c>
    </row>
    <row r="1386" spans="1:2" x14ac:dyDescent="0.2">
      <c r="A1386">
        <v>1380</v>
      </c>
      <c r="B1386" t="s">
        <v>54</v>
      </c>
    </row>
    <row r="1387" spans="1:2" x14ac:dyDescent="0.2">
      <c r="A1387">
        <v>1381</v>
      </c>
      <c r="B1387" t="s">
        <v>54</v>
      </c>
    </row>
    <row r="1388" spans="1:2" x14ac:dyDescent="0.2">
      <c r="A1388">
        <v>1382</v>
      </c>
      <c r="B1388" t="s">
        <v>54</v>
      </c>
    </row>
    <row r="1389" spans="1:2" x14ac:dyDescent="0.2">
      <c r="A1389">
        <v>1383</v>
      </c>
      <c r="B1389" t="s">
        <v>54</v>
      </c>
    </row>
    <row r="1390" spans="1:2" x14ac:dyDescent="0.2">
      <c r="A1390">
        <v>1384</v>
      </c>
      <c r="B1390" t="s">
        <v>54</v>
      </c>
    </row>
    <row r="1391" spans="1:2" x14ac:dyDescent="0.2">
      <c r="A1391">
        <v>1385</v>
      </c>
      <c r="B1391" t="s">
        <v>54</v>
      </c>
    </row>
    <row r="1392" spans="1:2" x14ac:dyDescent="0.2">
      <c r="A1392">
        <v>1386</v>
      </c>
      <c r="B1392" t="s">
        <v>54</v>
      </c>
    </row>
    <row r="1393" spans="1:2" x14ac:dyDescent="0.2">
      <c r="A1393">
        <v>1387</v>
      </c>
      <c r="B1393" t="s">
        <v>54</v>
      </c>
    </row>
    <row r="1394" spans="1:2" x14ac:dyDescent="0.2">
      <c r="A1394">
        <v>1388</v>
      </c>
      <c r="B1394" t="s">
        <v>54</v>
      </c>
    </row>
    <row r="1395" spans="1:2" x14ac:dyDescent="0.2">
      <c r="A1395">
        <v>1389</v>
      </c>
      <c r="B1395" t="s">
        <v>54</v>
      </c>
    </row>
    <row r="1396" spans="1:2" x14ac:dyDescent="0.2">
      <c r="A1396">
        <v>1390</v>
      </c>
      <c r="B1396" t="s">
        <v>54</v>
      </c>
    </row>
    <row r="1397" spans="1:2" x14ac:dyDescent="0.2">
      <c r="A1397">
        <v>1391</v>
      </c>
      <c r="B1397" t="s">
        <v>54</v>
      </c>
    </row>
    <row r="1398" spans="1:2" x14ac:dyDescent="0.2">
      <c r="A1398">
        <v>1392</v>
      </c>
      <c r="B1398" t="s">
        <v>54</v>
      </c>
    </row>
    <row r="1399" spans="1:2" x14ac:dyDescent="0.2">
      <c r="A1399">
        <v>1393</v>
      </c>
      <c r="B1399" t="s">
        <v>54</v>
      </c>
    </row>
    <row r="1400" spans="1:2" x14ac:dyDescent="0.2">
      <c r="A1400">
        <v>1394</v>
      </c>
      <c r="B1400" t="s">
        <v>54</v>
      </c>
    </row>
    <row r="1401" spans="1:2" x14ac:dyDescent="0.2">
      <c r="A1401">
        <v>1395</v>
      </c>
      <c r="B1401" t="s">
        <v>54</v>
      </c>
    </row>
    <row r="1402" spans="1:2" x14ac:dyDescent="0.2">
      <c r="A1402">
        <v>1396</v>
      </c>
      <c r="B1402" t="s">
        <v>54</v>
      </c>
    </row>
    <row r="1403" spans="1:2" x14ac:dyDescent="0.2">
      <c r="A1403">
        <v>1397</v>
      </c>
      <c r="B1403" t="s">
        <v>54</v>
      </c>
    </row>
    <row r="1404" spans="1:2" x14ac:dyDescent="0.2">
      <c r="A1404">
        <v>1398</v>
      </c>
      <c r="B1404" t="s">
        <v>54</v>
      </c>
    </row>
    <row r="1405" spans="1:2" x14ac:dyDescent="0.2">
      <c r="A1405">
        <v>1399</v>
      </c>
      <c r="B1405" t="s">
        <v>54</v>
      </c>
    </row>
    <row r="1406" spans="1:2" x14ac:dyDescent="0.2">
      <c r="A1406">
        <v>1400</v>
      </c>
      <c r="B1406" t="s">
        <v>54</v>
      </c>
    </row>
    <row r="1407" spans="1:2" x14ac:dyDescent="0.2">
      <c r="A1407">
        <v>1401</v>
      </c>
      <c r="B1407" t="s">
        <v>54</v>
      </c>
    </row>
    <row r="1408" spans="1:2" x14ac:dyDescent="0.2">
      <c r="A1408">
        <v>1402</v>
      </c>
      <c r="B1408" t="s">
        <v>54</v>
      </c>
    </row>
    <row r="1409" spans="1:2" x14ac:dyDescent="0.2">
      <c r="A1409">
        <v>1403</v>
      </c>
      <c r="B1409" t="s">
        <v>54</v>
      </c>
    </row>
    <row r="1410" spans="1:2" x14ac:dyDescent="0.2">
      <c r="A1410">
        <v>1404</v>
      </c>
      <c r="B1410" t="s">
        <v>54</v>
      </c>
    </row>
    <row r="1411" spans="1:2" x14ac:dyDescent="0.2">
      <c r="A1411">
        <v>1405</v>
      </c>
      <c r="B1411" t="s">
        <v>54</v>
      </c>
    </row>
    <row r="1412" spans="1:2" x14ac:dyDescent="0.2">
      <c r="A1412">
        <v>1406</v>
      </c>
      <c r="B1412" t="s">
        <v>54</v>
      </c>
    </row>
    <row r="1413" spans="1:2" x14ac:dyDescent="0.2">
      <c r="A1413">
        <v>1407</v>
      </c>
      <c r="B1413" t="s">
        <v>54</v>
      </c>
    </row>
    <row r="1414" spans="1:2" x14ac:dyDescent="0.2">
      <c r="A1414">
        <v>1408</v>
      </c>
      <c r="B1414" t="s">
        <v>54</v>
      </c>
    </row>
    <row r="1415" spans="1:2" x14ac:dyDescent="0.2">
      <c r="A1415">
        <v>1409</v>
      </c>
      <c r="B1415" t="s">
        <v>54</v>
      </c>
    </row>
    <row r="1416" spans="1:2" x14ac:dyDescent="0.2">
      <c r="A1416">
        <v>1410</v>
      </c>
      <c r="B1416" t="s">
        <v>54</v>
      </c>
    </row>
    <row r="1417" spans="1:2" x14ac:dyDescent="0.2">
      <c r="A1417">
        <v>1411</v>
      </c>
      <c r="B1417" t="s">
        <v>54</v>
      </c>
    </row>
    <row r="1418" spans="1:2" x14ac:dyDescent="0.2">
      <c r="A1418">
        <v>1412</v>
      </c>
      <c r="B1418" t="s">
        <v>54</v>
      </c>
    </row>
    <row r="1419" spans="1:2" x14ac:dyDescent="0.2">
      <c r="A1419">
        <v>1413</v>
      </c>
      <c r="B1419" t="s">
        <v>54</v>
      </c>
    </row>
    <row r="1420" spans="1:2" x14ac:dyDescent="0.2">
      <c r="A1420">
        <v>1414</v>
      </c>
      <c r="B1420" t="s">
        <v>54</v>
      </c>
    </row>
    <row r="1421" spans="1:2" x14ac:dyDescent="0.2">
      <c r="A1421">
        <v>1415</v>
      </c>
      <c r="B1421" t="s">
        <v>54</v>
      </c>
    </row>
    <row r="1422" spans="1:2" x14ac:dyDescent="0.2">
      <c r="A1422">
        <v>1416</v>
      </c>
      <c r="B1422" t="s">
        <v>54</v>
      </c>
    </row>
    <row r="1423" spans="1:2" x14ac:dyDescent="0.2">
      <c r="A1423">
        <v>1417</v>
      </c>
      <c r="B1423" t="s">
        <v>54</v>
      </c>
    </row>
    <row r="1424" spans="1:2" x14ac:dyDescent="0.2">
      <c r="A1424">
        <v>1418</v>
      </c>
      <c r="B1424" t="s">
        <v>54</v>
      </c>
    </row>
    <row r="1425" spans="1:2" x14ac:dyDescent="0.2">
      <c r="A1425">
        <v>1419</v>
      </c>
      <c r="B1425" t="s">
        <v>54</v>
      </c>
    </row>
    <row r="1426" spans="1:2" x14ac:dyDescent="0.2">
      <c r="A1426">
        <v>1420</v>
      </c>
      <c r="B1426" t="s">
        <v>54</v>
      </c>
    </row>
    <row r="1427" spans="1:2" x14ac:dyDescent="0.2">
      <c r="A1427">
        <v>1421</v>
      </c>
      <c r="B1427" t="s">
        <v>54</v>
      </c>
    </row>
    <row r="1428" spans="1:2" x14ac:dyDescent="0.2">
      <c r="A1428">
        <v>1422</v>
      </c>
      <c r="B1428" t="s">
        <v>54</v>
      </c>
    </row>
    <row r="1429" spans="1:2" x14ac:dyDescent="0.2">
      <c r="A1429">
        <v>1423</v>
      </c>
      <c r="B1429" t="s">
        <v>54</v>
      </c>
    </row>
    <row r="1430" spans="1:2" x14ac:dyDescent="0.2">
      <c r="A1430">
        <v>1424</v>
      </c>
      <c r="B1430" t="s">
        <v>54</v>
      </c>
    </row>
    <row r="1431" spans="1:2" x14ac:dyDescent="0.2">
      <c r="A1431">
        <v>1425</v>
      </c>
      <c r="B1431" t="s">
        <v>54</v>
      </c>
    </row>
    <row r="1432" spans="1:2" x14ac:dyDescent="0.2">
      <c r="A1432">
        <v>1426</v>
      </c>
      <c r="B1432" t="s">
        <v>54</v>
      </c>
    </row>
    <row r="1433" spans="1:2" x14ac:dyDescent="0.2">
      <c r="A1433">
        <v>1427</v>
      </c>
      <c r="B1433" t="s">
        <v>54</v>
      </c>
    </row>
    <row r="1434" spans="1:2" x14ac:dyDescent="0.2">
      <c r="A1434">
        <v>1428</v>
      </c>
      <c r="B1434" t="s">
        <v>54</v>
      </c>
    </row>
    <row r="1435" spans="1:2" x14ac:dyDescent="0.2">
      <c r="A1435">
        <v>1429</v>
      </c>
      <c r="B1435" t="s">
        <v>54</v>
      </c>
    </row>
    <row r="1436" spans="1:2" x14ac:dyDescent="0.2">
      <c r="A1436">
        <v>1430</v>
      </c>
      <c r="B1436" t="s">
        <v>54</v>
      </c>
    </row>
    <row r="1437" spans="1:2" x14ac:dyDescent="0.2">
      <c r="A1437">
        <v>1431</v>
      </c>
      <c r="B1437" t="s">
        <v>54</v>
      </c>
    </row>
    <row r="1438" spans="1:2" x14ac:dyDescent="0.2">
      <c r="A1438">
        <v>1432</v>
      </c>
      <c r="B1438" t="s">
        <v>54</v>
      </c>
    </row>
    <row r="1439" spans="1:2" x14ac:dyDescent="0.2">
      <c r="A1439">
        <v>1433</v>
      </c>
      <c r="B1439" t="s">
        <v>54</v>
      </c>
    </row>
    <row r="1440" spans="1:2" x14ac:dyDescent="0.2">
      <c r="A1440">
        <v>1434</v>
      </c>
      <c r="B1440" t="s">
        <v>54</v>
      </c>
    </row>
    <row r="1441" spans="1:2" x14ac:dyDescent="0.2">
      <c r="A1441">
        <v>1435</v>
      </c>
      <c r="B1441" t="s">
        <v>54</v>
      </c>
    </row>
    <row r="1442" spans="1:2" x14ac:dyDescent="0.2">
      <c r="A1442">
        <v>1436</v>
      </c>
      <c r="B1442" t="s">
        <v>54</v>
      </c>
    </row>
    <row r="1443" spans="1:2" x14ac:dyDescent="0.2">
      <c r="A1443">
        <v>1437</v>
      </c>
      <c r="B1443" t="s">
        <v>54</v>
      </c>
    </row>
    <row r="1444" spans="1:2" x14ac:dyDescent="0.2">
      <c r="A1444">
        <v>1438</v>
      </c>
      <c r="B1444" t="s">
        <v>54</v>
      </c>
    </row>
    <row r="1445" spans="1:2" x14ac:dyDescent="0.2">
      <c r="A1445">
        <v>1439</v>
      </c>
      <c r="B1445" t="s">
        <v>54</v>
      </c>
    </row>
    <row r="1446" spans="1:2" x14ac:dyDescent="0.2">
      <c r="A1446">
        <v>1440</v>
      </c>
      <c r="B1446" t="s">
        <v>54</v>
      </c>
    </row>
    <row r="1447" spans="1:2" x14ac:dyDescent="0.2">
      <c r="A1447">
        <v>1441</v>
      </c>
      <c r="B1447" t="s">
        <v>54</v>
      </c>
    </row>
    <row r="1448" spans="1:2" x14ac:dyDescent="0.2">
      <c r="A1448">
        <v>1442</v>
      </c>
      <c r="B1448" t="s">
        <v>54</v>
      </c>
    </row>
    <row r="1449" spans="1:2" x14ac:dyDescent="0.2">
      <c r="A1449">
        <v>1443</v>
      </c>
      <c r="B1449" t="s">
        <v>54</v>
      </c>
    </row>
    <row r="1450" spans="1:2" x14ac:dyDescent="0.2">
      <c r="A1450">
        <v>1444</v>
      </c>
      <c r="B1450" t="s">
        <v>54</v>
      </c>
    </row>
    <row r="1451" spans="1:2" x14ac:dyDescent="0.2">
      <c r="A1451">
        <v>1445</v>
      </c>
      <c r="B1451" t="s">
        <v>54</v>
      </c>
    </row>
    <row r="1452" spans="1:2" x14ac:dyDescent="0.2">
      <c r="A1452">
        <v>1446</v>
      </c>
      <c r="B1452" t="s">
        <v>54</v>
      </c>
    </row>
    <row r="1453" spans="1:2" x14ac:dyDescent="0.2">
      <c r="A1453">
        <v>1447</v>
      </c>
      <c r="B1453" t="s">
        <v>54</v>
      </c>
    </row>
    <row r="1454" spans="1:2" x14ac:dyDescent="0.2">
      <c r="A1454">
        <v>1448</v>
      </c>
      <c r="B1454" t="s">
        <v>54</v>
      </c>
    </row>
    <row r="1455" spans="1:2" x14ac:dyDescent="0.2">
      <c r="A1455">
        <v>1449</v>
      </c>
      <c r="B1455" t="s">
        <v>54</v>
      </c>
    </row>
    <row r="1456" spans="1:2" x14ac:dyDescent="0.2">
      <c r="A1456">
        <v>1450</v>
      </c>
      <c r="B1456" t="s">
        <v>54</v>
      </c>
    </row>
    <row r="1457" spans="1:2" x14ac:dyDescent="0.2">
      <c r="A1457">
        <v>1451</v>
      </c>
      <c r="B1457" t="s">
        <v>54</v>
      </c>
    </row>
    <row r="1458" spans="1:2" x14ac:dyDescent="0.2">
      <c r="A1458">
        <v>1452</v>
      </c>
      <c r="B1458" t="s">
        <v>54</v>
      </c>
    </row>
    <row r="1459" spans="1:2" x14ac:dyDescent="0.2">
      <c r="A1459">
        <v>1453</v>
      </c>
      <c r="B1459" t="s">
        <v>54</v>
      </c>
    </row>
    <row r="1460" spans="1:2" x14ac:dyDescent="0.2">
      <c r="A1460">
        <v>1454</v>
      </c>
      <c r="B1460" t="s">
        <v>54</v>
      </c>
    </row>
    <row r="1461" spans="1:2" x14ac:dyDescent="0.2">
      <c r="A1461">
        <v>1455</v>
      </c>
      <c r="B1461" t="s">
        <v>54</v>
      </c>
    </row>
    <row r="1462" spans="1:2" x14ac:dyDescent="0.2">
      <c r="A1462">
        <v>1456</v>
      </c>
      <c r="B1462" t="s">
        <v>54</v>
      </c>
    </row>
    <row r="1463" spans="1:2" x14ac:dyDescent="0.2">
      <c r="A1463">
        <v>1457</v>
      </c>
      <c r="B1463" t="s">
        <v>54</v>
      </c>
    </row>
    <row r="1464" spans="1:2" x14ac:dyDescent="0.2">
      <c r="A1464">
        <v>1458</v>
      </c>
      <c r="B1464" t="s">
        <v>54</v>
      </c>
    </row>
    <row r="1465" spans="1:2" x14ac:dyDescent="0.2">
      <c r="A1465">
        <v>1459</v>
      </c>
      <c r="B1465" t="s">
        <v>54</v>
      </c>
    </row>
    <row r="1466" spans="1:2" x14ac:dyDescent="0.2">
      <c r="A1466">
        <v>1460</v>
      </c>
      <c r="B1466" t="s">
        <v>54</v>
      </c>
    </row>
    <row r="1467" spans="1:2" x14ac:dyDescent="0.2">
      <c r="A1467">
        <v>1461</v>
      </c>
      <c r="B1467" t="s">
        <v>54</v>
      </c>
    </row>
    <row r="1468" spans="1:2" x14ac:dyDescent="0.2">
      <c r="A1468">
        <v>1462</v>
      </c>
      <c r="B1468" t="s">
        <v>54</v>
      </c>
    </row>
    <row r="1469" spans="1:2" x14ac:dyDescent="0.2">
      <c r="A1469">
        <v>1463</v>
      </c>
      <c r="B1469" t="s">
        <v>54</v>
      </c>
    </row>
    <row r="1470" spans="1:2" x14ac:dyDescent="0.2">
      <c r="A1470">
        <v>1464</v>
      </c>
      <c r="B1470" t="s">
        <v>54</v>
      </c>
    </row>
    <row r="1471" spans="1:2" x14ac:dyDescent="0.2">
      <c r="A1471">
        <v>1465</v>
      </c>
      <c r="B1471" t="s">
        <v>54</v>
      </c>
    </row>
    <row r="1472" spans="1:2" x14ac:dyDescent="0.2">
      <c r="A1472">
        <v>1466</v>
      </c>
      <c r="B1472" t="s">
        <v>54</v>
      </c>
    </row>
    <row r="1473" spans="1:2" x14ac:dyDescent="0.2">
      <c r="A1473">
        <v>1467</v>
      </c>
      <c r="B1473" t="s">
        <v>54</v>
      </c>
    </row>
    <row r="1474" spans="1:2" x14ac:dyDescent="0.2">
      <c r="A1474">
        <v>1468</v>
      </c>
      <c r="B1474" t="s">
        <v>54</v>
      </c>
    </row>
    <row r="1475" spans="1:2" x14ac:dyDescent="0.2">
      <c r="A1475">
        <v>1469</v>
      </c>
      <c r="B1475" t="s">
        <v>54</v>
      </c>
    </row>
    <row r="1476" spans="1:2" x14ac:dyDescent="0.2">
      <c r="A1476">
        <v>1470</v>
      </c>
      <c r="B1476" t="s">
        <v>54</v>
      </c>
    </row>
    <row r="1477" spans="1:2" x14ac:dyDescent="0.2">
      <c r="A1477">
        <v>1471</v>
      </c>
      <c r="B1477" t="s">
        <v>54</v>
      </c>
    </row>
    <row r="1478" spans="1:2" x14ac:dyDescent="0.2">
      <c r="A1478">
        <v>1472</v>
      </c>
      <c r="B1478" t="s">
        <v>54</v>
      </c>
    </row>
    <row r="1479" spans="1:2" x14ac:dyDescent="0.2">
      <c r="A1479">
        <v>1473</v>
      </c>
      <c r="B1479" t="s">
        <v>54</v>
      </c>
    </row>
    <row r="1480" spans="1:2" x14ac:dyDescent="0.2">
      <c r="A1480">
        <v>1474</v>
      </c>
      <c r="B1480" t="s">
        <v>54</v>
      </c>
    </row>
    <row r="1481" spans="1:2" x14ac:dyDescent="0.2">
      <c r="A1481">
        <v>1475</v>
      </c>
      <c r="B1481" t="s">
        <v>54</v>
      </c>
    </row>
    <row r="1482" spans="1:2" x14ac:dyDescent="0.2">
      <c r="A1482">
        <v>1476</v>
      </c>
      <c r="B1482" t="s">
        <v>54</v>
      </c>
    </row>
    <row r="1483" spans="1:2" x14ac:dyDescent="0.2">
      <c r="A1483">
        <v>1477</v>
      </c>
      <c r="B1483" t="s">
        <v>54</v>
      </c>
    </row>
    <row r="1484" spans="1:2" x14ac:dyDescent="0.2">
      <c r="A1484">
        <v>1478</v>
      </c>
      <c r="B1484" t="s">
        <v>54</v>
      </c>
    </row>
    <row r="1485" spans="1:2" x14ac:dyDescent="0.2">
      <c r="A1485">
        <v>1479</v>
      </c>
      <c r="B1485" t="s">
        <v>54</v>
      </c>
    </row>
    <row r="1486" spans="1:2" x14ac:dyDescent="0.2">
      <c r="A1486">
        <v>1480</v>
      </c>
      <c r="B1486" t="s">
        <v>54</v>
      </c>
    </row>
    <row r="1487" spans="1:2" x14ac:dyDescent="0.2">
      <c r="A1487">
        <v>1481</v>
      </c>
      <c r="B1487" t="s">
        <v>54</v>
      </c>
    </row>
    <row r="1488" spans="1:2" x14ac:dyDescent="0.2">
      <c r="A1488">
        <v>1482</v>
      </c>
      <c r="B1488" t="s">
        <v>54</v>
      </c>
    </row>
    <row r="1489" spans="1:2" x14ac:dyDescent="0.2">
      <c r="A1489">
        <v>1483</v>
      </c>
      <c r="B1489" t="s">
        <v>54</v>
      </c>
    </row>
    <row r="1490" spans="1:2" x14ac:dyDescent="0.2">
      <c r="A1490">
        <v>1484</v>
      </c>
      <c r="B1490" t="s">
        <v>54</v>
      </c>
    </row>
    <row r="1491" spans="1:2" x14ac:dyDescent="0.2">
      <c r="A1491">
        <v>1485</v>
      </c>
      <c r="B1491" t="s">
        <v>54</v>
      </c>
    </row>
    <row r="1492" spans="1:2" x14ac:dyDescent="0.2">
      <c r="A1492">
        <v>1486</v>
      </c>
      <c r="B1492" t="s">
        <v>54</v>
      </c>
    </row>
    <row r="1493" spans="1:2" x14ac:dyDescent="0.2">
      <c r="A1493">
        <v>1487</v>
      </c>
      <c r="B1493" t="s">
        <v>54</v>
      </c>
    </row>
    <row r="1494" spans="1:2" x14ac:dyDescent="0.2">
      <c r="A1494">
        <v>1488</v>
      </c>
      <c r="B1494" t="s">
        <v>54</v>
      </c>
    </row>
    <row r="1495" spans="1:2" x14ac:dyDescent="0.2">
      <c r="A1495">
        <v>1489</v>
      </c>
      <c r="B1495" t="s">
        <v>54</v>
      </c>
    </row>
    <row r="1496" spans="1:2" x14ac:dyDescent="0.2">
      <c r="A1496">
        <v>1490</v>
      </c>
      <c r="B1496" t="s">
        <v>54</v>
      </c>
    </row>
    <row r="1497" spans="1:2" x14ac:dyDescent="0.2">
      <c r="A1497">
        <v>1491</v>
      </c>
      <c r="B1497" t="s">
        <v>54</v>
      </c>
    </row>
    <row r="1498" spans="1:2" x14ac:dyDescent="0.2">
      <c r="A1498">
        <v>1492</v>
      </c>
      <c r="B1498" t="s">
        <v>54</v>
      </c>
    </row>
    <row r="1499" spans="1:2" x14ac:dyDescent="0.2">
      <c r="A1499">
        <v>1493</v>
      </c>
      <c r="B1499" t="s">
        <v>54</v>
      </c>
    </row>
    <row r="1500" spans="1:2" x14ac:dyDescent="0.2">
      <c r="A1500">
        <v>1494</v>
      </c>
      <c r="B1500" t="s">
        <v>54</v>
      </c>
    </row>
    <row r="1501" spans="1:2" x14ac:dyDescent="0.2">
      <c r="A1501">
        <v>1495</v>
      </c>
      <c r="B1501" t="s">
        <v>54</v>
      </c>
    </row>
    <row r="1502" spans="1:2" x14ac:dyDescent="0.2">
      <c r="A1502">
        <v>1496</v>
      </c>
      <c r="B1502" t="s">
        <v>54</v>
      </c>
    </row>
    <row r="1503" spans="1:2" x14ac:dyDescent="0.2">
      <c r="A1503">
        <v>1497</v>
      </c>
      <c r="B1503" t="s">
        <v>54</v>
      </c>
    </row>
    <row r="1504" spans="1:2" x14ac:dyDescent="0.2">
      <c r="A1504">
        <v>1498</v>
      </c>
      <c r="B1504" t="s">
        <v>54</v>
      </c>
    </row>
    <row r="1505" spans="1:2" x14ac:dyDescent="0.2">
      <c r="A1505">
        <v>1499</v>
      </c>
      <c r="B1505" t="s">
        <v>54</v>
      </c>
    </row>
    <row r="1506" spans="1:2" x14ac:dyDescent="0.2">
      <c r="A1506">
        <v>1500</v>
      </c>
      <c r="B1506" t="s">
        <v>54</v>
      </c>
    </row>
    <row r="1507" spans="1:2" x14ac:dyDescent="0.2">
      <c r="A1507">
        <v>1501</v>
      </c>
      <c r="B1507" t="s">
        <v>54</v>
      </c>
    </row>
    <row r="1508" spans="1:2" x14ac:dyDescent="0.2">
      <c r="A1508">
        <v>1502</v>
      </c>
      <c r="B1508" t="s">
        <v>54</v>
      </c>
    </row>
    <row r="1509" spans="1:2" x14ac:dyDescent="0.2">
      <c r="A1509">
        <v>1503</v>
      </c>
      <c r="B1509" t="s">
        <v>54</v>
      </c>
    </row>
    <row r="1510" spans="1:2" x14ac:dyDescent="0.2">
      <c r="A1510">
        <v>1504</v>
      </c>
      <c r="B1510" t="s">
        <v>54</v>
      </c>
    </row>
    <row r="1511" spans="1:2" x14ac:dyDescent="0.2">
      <c r="A1511">
        <v>1505</v>
      </c>
      <c r="B1511" t="s">
        <v>54</v>
      </c>
    </row>
    <row r="1512" spans="1:2" x14ac:dyDescent="0.2">
      <c r="A1512">
        <v>1506</v>
      </c>
      <c r="B1512" t="s">
        <v>54</v>
      </c>
    </row>
    <row r="1513" spans="1:2" x14ac:dyDescent="0.2">
      <c r="A1513">
        <v>1507</v>
      </c>
      <c r="B1513" t="s">
        <v>54</v>
      </c>
    </row>
    <row r="1514" spans="1:2" x14ac:dyDescent="0.2">
      <c r="A1514">
        <v>1508</v>
      </c>
      <c r="B1514" t="s">
        <v>54</v>
      </c>
    </row>
    <row r="1515" spans="1:2" x14ac:dyDescent="0.2">
      <c r="A1515">
        <v>1509</v>
      </c>
      <c r="B1515" t="s">
        <v>54</v>
      </c>
    </row>
    <row r="1516" spans="1:2" x14ac:dyDescent="0.2">
      <c r="A1516">
        <v>1510</v>
      </c>
      <c r="B1516" t="s">
        <v>54</v>
      </c>
    </row>
    <row r="1517" spans="1:2" x14ac:dyDescent="0.2">
      <c r="A1517">
        <v>1511</v>
      </c>
      <c r="B1517" t="s">
        <v>54</v>
      </c>
    </row>
    <row r="1518" spans="1:2" x14ac:dyDescent="0.2">
      <c r="A1518">
        <v>1512</v>
      </c>
      <c r="B1518" t="s">
        <v>54</v>
      </c>
    </row>
    <row r="1519" spans="1:2" x14ac:dyDescent="0.2">
      <c r="A1519">
        <v>1513</v>
      </c>
      <c r="B1519" t="s">
        <v>54</v>
      </c>
    </row>
    <row r="1520" spans="1:2" x14ac:dyDescent="0.2">
      <c r="A1520">
        <v>1514</v>
      </c>
      <c r="B1520" t="s">
        <v>54</v>
      </c>
    </row>
    <row r="1521" spans="1:2" x14ac:dyDescent="0.2">
      <c r="A1521">
        <v>1515</v>
      </c>
      <c r="B1521" t="s">
        <v>54</v>
      </c>
    </row>
    <row r="1522" spans="1:2" x14ac:dyDescent="0.2">
      <c r="A1522">
        <v>1516</v>
      </c>
      <c r="B1522" t="s">
        <v>54</v>
      </c>
    </row>
    <row r="1523" spans="1:2" x14ac:dyDescent="0.2">
      <c r="A1523">
        <v>1517</v>
      </c>
      <c r="B1523" t="s">
        <v>54</v>
      </c>
    </row>
    <row r="1524" spans="1:2" x14ac:dyDescent="0.2">
      <c r="A1524">
        <v>1518</v>
      </c>
      <c r="B1524" t="s">
        <v>54</v>
      </c>
    </row>
    <row r="1525" spans="1:2" x14ac:dyDescent="0.2">
      <c r="A1525">
        <v>1519</v>
      </c>
      <c r="B1525" t="s">
        <v>54</v>
      </c>
    </row>
    <row r="1526" spans="1:2" x14ac:dyDescent="0.2">
      <c r="A1526">
        <v>1520</v>
      </c>
      <c r="B1526" t="s">
        <v>54</v>
      </c>
    </row>
    <row r="1527" spans="1:2" x14ac:dyDescent="0.2">
      <c r="A1527">
        <v>1521</v>
      </c>
      <c r="B1527" t="s">
        <v>54</v>
      </c>
    </row>
    <row r="1528" spans="1:2" x14ac:dyDescent="0.2">
      <c r="A1528">
        <v>1522</v>
      </c>
      <c r="B1528" t="s">
        <v>54</v>
      </c>
    </row>
    <row r="1529" spans="1:2" x14ac:dyDescent="0.2">
      <c r="A1529">
        <v>1523</v>
      </c>
      <c r="B1529" t="s">
        <v>54</v>
      </c>
    </row>
    <row r="1530" spans="1:2" x14ac:dyDescent="0.2">
      <c r="A1530">
        <v>1524</v>
      </c>
      <c r="B1530" t="s">
        <v>54</v>
      </c>
    </row>
    <row r="1531" spans="1:2" x14ac:dyDescent="0.2">
      <c r="A1531">
        <v>1525</v>
      </c>
      <c r="B1531" t="s">
        <v>54</v>
      </c>
    </row>
    <row r="1532" spans="1:2" x14ac:dyDescent="0.2">
      <c r="A1532">
        <v>1526</v>
      </c>
      <c r="B1532" t="s">
        <v>54</v>
      </c>
    </row>
    <row r="1533" spans="1:2" x14ac:dyDescent="0.2">
      <c r="A1533">
        <v>1527</v>
      </c>
      <c r="B1533" t="s">
        <v>54</v>
      </c>
    </row>
    <row r="1534" spans="1:2" x14ac:dyDescent="0.2">
      <c r="A1534">
        <v>1528</v>
      </c>
      <c r="B1534" t="s">
        <v>54</v>
      </c>
    </row>
    <row r="1535" spans="1:2" x14ac:dyDescent="0.2">
      <c r="A1535">
        <v>1529</v>
      </c>
      <c r="B1535" t="s">
        <v>54</v>
      </c>
    </row>
    <row r="1536" spans="1:2" x14ac:dyDescent="0.2">
      <c r="A1536">
        <v>1530</v>
      </c>
      <c r="B1536" t="s">
        <v>54</v>
      </c>
    </row>
    <row r="1537" spans="1:2" x14ac:dyDescent="0.2">
      <c r="A1537">
        <v>1531</v>
      </c>
      <c r="B1537" t="s">
        <v>54</v>
      </c>
    </row>
    <row r="1538" spans="1:2" x14ac:dyDescent="0.2">
      <c r="A1538">
        <v>1532</v>
      </c>
      <c r="B1538" t="s">
        <v>54</v>
      </c>
    </row>
    <row r="1539" spans="1:2" x14ac:dyDescent="0.2">
      <c r="A1539">
        <v>1533</v>
      </c>
      <c r="B1539" t="s">
        <v>54</v>
      </c>
    </row>
    <row r="1540" spans="1:2" x14ac:dyDescent="0.2">
      <c r="A1540">
        <v>1534</v>
      </c>
      <c r="B1540" t="s">
        <v>54</v>
      </c>
    </row>
    <row r="1541" spans="1:2" x14ac:dyDescent="0.2">
      <c r="A1541">
        <v>1535</v>
      </c>
      <c r="B1541" t="s">
        <v>54</v>
      </c>
    </row>
    <row r="1542" spans="1:2" x14ac:dyDescent="0.2">
      <c r="A1542">
        <v>1536</v>
      </c>
      <c r="B1542" t="s">
        <v>54</v>
      </c>
    </row>
    <row r="1543" spans="1:2" x14ac:dyDescent="0.2">
      <c r="A1543">
        <v>1537</v>
      </c>
      <c r="B1543" t="s">
        <v>54</v>
      </c>
    </row>
    <row r="1544" spans="1:2" x14ac:dyDescent="0.2">
      <c r="A1544">
        <v>1538</v>
      </c>
      <c r="B1544" t="s">
        <v>54</v>
      </c>
    </row>
    <row r="1545" spans="1:2" x14ac:dyDescent="0.2">
      <c r="A1545">
        <v>1539</v>
      </c>
      <c r="B1545" t="s">
        <v>54</v>
      </c>
    </row>
    <row r="1546" spans="1:2" x14ac:dyDescent="0.2">
      <c r="A1546">
        <v>1540</v>
      </c>
      <c r="B1546" t="s">
        <v>54</v>
      </c>
    </row>
    <row r="1547" spans="1:2" x14ac:dyDescent="0.2">
      <c r="A1547">
        <v>1541</v>
      </c>
      <c r="B1547" t="s">
        <v>54</v>
      </c>
    </row>
    <row r="1548" spans="1:2" x14ac:dyDescent="0.2">
      <c r="A1548">
        <v>1542</v>
      </c>
      <c r="B1548" t="s">
        <v>54</v>
      </c>
    </row>
    <row r="1549" spans="1:2" x14ac:dyDescent="0.2">
      <c r="A1549">
        <v>1543</v>
      </c>
      <c r="B1549" t="s">
        <v>54</v>
      </c>
    </row>
    <row r="1550" spans="1:2" x14ac:dyDescent="0.2">
      <c r="A1550">
        <v>1544</v>
      </c>
      <c r="B1550" t="s">
        <v>54</v>
      </c>
    </row>
    <row r="1551" spans="1:2" x14ac:dyDescent="0.2">
      <c r="A1551">
        <v>1545</v>
      </c>
      <c r="B1551" t="s">
        <v>54</v>
      </c>
    </row>
    <row r="1552" spans="1:2" x14ac:dyDescent="0.2">
      <c r="A1552">
        <v>1546</v>
      </c>
      <c r="B1552" t="s">
        <v>54</v>
      </c>
    </row>
    <row r="1553" spans="1:2" x14ac:dyDescent="0.2">
      <c r="A1553">
        <v>1547</v>
      </c>
      <c r="B1553" t="s">
        <v>54</v>
      </c>
    </row>
    <row r="1554" spans="1:2" x14ac:dyDescent="0.2">
      <c r="A1554">
        <v>1548</v>
      </c>
      <c r="B1554" t="s">
        <v>54</v>
      </c>
    </row>
    <row r="1555" spans="1:2" x14ac:dyDescent="0.2">
      <c r="A1555">
        <v>1549</v>
      </c>
      <c r="B1555" t="s">
        <v>54</v>
      </c>
    </row>
    <row r="1556" spans="1:2" x14ac:dyDescent="0.2">
      <c r="A1556">
        <v>1550</v>
      </c>
      <c r="B1556" t="s">
        <v>54</v>
      </c>
    </row>
    <row r="1557" spans="1:2" x14ac:dyDescent="0.2">
      <c r="A1557">
        <v>1551</v>
      </c>
      <c r="B1557" t="s">
        <v>54</v>
      </c>
    </row>
    <row r="1558" spans="1:2" x14ac:dyDescent="0.2">
      <c r="A1558">
        <v>1552</v>
      </c>
      <c r="B1558" t="s">
        <v>54</v>
      </c>
    </row>
    <row r="1559" spans="1:2" x14ac:dyDescent="0.2">
      <c r="A1559">
        <v>1553</v>
      </c>
      <c r="B1559" t="s">
        <v>54</v>
      </c>
    </row>
    <row r="1560" spans="1:2" x14ac:dyDescent="0.2">
      <c r="A1560">
        <v>1554</v>
      </c>
      <c r="B1560" t="s">
        <v>54</v>
      </c>
    </row>
    <row r="1561" spans="1:2" x14ac:dyDescent="0.2">
      <c r="A1561">
        <v>1555</v>
      </c>
      <c r="B1561" t="s">
        <v>54</v>
      </c>
    </row>
    <row r="1562" spans="1:2" x14ac:dyDescent="0.2">
      <c r="A1562">
        <v>1556</v>
      </c>
      <c r="B1562" t="s">
        <v>54</v>
      </c>
    </row>
    <row r="1563" spans="1:2" x14ac:dyDescent="0.2">
      <c r="A1563">
        <v>1557</v>
      </c>
      <c r="B1563" t="s">
        <v>54</v>
      </c>
    </row>
    <row r="1564" spans="1:2" x14ac:dyDescent="0.2">
      <c r="A1564">
        <v>1558</v>
      </c>
      <c r="B1564" t="s">
        <v>54</v>
      </c>
    </row>
    <row r="1565" spans="1:2" x14ac:dyDescent="0.2">
      <c r="A1565">
        <v>1559</v>
      </c>
      <c r="B1565" t="s">
        <v>54</v>
      </c>
    </row>
    <row r="1566" spans="1:2" x14ac:dyDescent="0.2">
      <c r="A1566">
        <v>1560</v>
      </c>
      <c r="B1566" t="s">
        <v>54</v>
      </c>
    </row>
    <row r="1567" spans="1:2" x14ac:dyDescent="0.2">
      <c r="A1567">
        <v>1561</v>
      </c>
      <c r="B1567" t="s">
        <v>54</v>
      </c>
    </row>
    <row r="1568" spans="1:2" x14ac:dyDescent="0.2">
      <c r="A1568">
        <v>1562</v>
      </c>
      <c r="B1568" t="s">
        <v>54</v>
      </c>
    </row>
    <row r="1569" spans="1:2" x14ac:dyDescent="0.2">
      <c r="A1569">
        <v>1563</v>
      </c>
      <c r="B1569" t="s">
        <v>54</v>
      </c>
    </row>
    <row r="1570" spans="1:2" x14ac:dyDescent="0.2">
      <c r="A1570">
        <v>1564</v>
      </c>
      <c r="B1570" t="s">
        <v>54</v>
      </c>
    </row>
    <row r="1571" spans="1:2" x14ac:dyDescent="0.2">
      <c r="A1571">
        <v>1565</v>
      </c>
      <c r="B1571" t="s">
        <v>54</v>
      </c>
    </row>
    <row r="1572" spans="1:2" x14ac:dyDescent="0.2">
      <c r="A1572">
        <v>1566</v>
      </c>
      <c r="B1572" t="s">
        <v>54</v>
      </c>
    </row>
    <row r="1573" spans="1:2" x14ac:dyDescent="0.2">
      <c r="A1573">
        <v>1567</v>
      </c>
      <c r="B1573" t="s">
        <v>54</v>
      </c>
    </row>
    <row r="1574" spans="1:2" x14ac:dyDescent="0.2">
      <c r="A1574">
        <v>1568</v>
      </c>
      <c r="B1574" t="s">
        <v>54</v>
      </c>
    </row>
    <row r="1575" spans="1:2" x14ac:dyDescent="0.2">
      <c r="A1575">
        <v>1569</v>
      </c>
      <c r="B1575" t="s">
        <v>54</v>
      </c>
    </row>
    <row r="1576" spans="1:2" x14ac:dyDescent="0.2">
      <c r="A1576">
        <v>1570</v>
      </c>
      <c r="B1576" t="s">
        <v>54</v>
      </c>
    </row>
    <row r="1577" spans="1:2" x14ac:dyDescent="0.2">
      <c r="A1577">
        <v>1571</v>
      </c>
      <c r="B1577" t="s">
        <v>54</v>
      </c>
    </row>
    <row r="1578" spans="1:2" x14ac:dyDescent="0.2">
      <c r="A1578">
        <v>1572</v>
      </c>
      <c r="B1578" t="s">
        <v>54</v>
      </c>
    </row>
    <row r="1579" spans="1:2" x14ac:dyDescent="0.2">
      <c r="A1579">
        <v>1573</v>
      </c>
      <c r="B1579" t="s">
        <v>54</v>
      </c>
    </row>
    <row r="1580" spans="1:2" x14ac:dyDescent="0.2">
      <c r="A1580">
        <v>1574</v>
      </c>
      <c r="B1580" t="s">
        <v>54</v>
      </c>
    </row>
    <row r="1581" spans="1:2" x14ac:dyDescent="0.2">
      <c r="A1581">
        <v>1575</v>
      </c>
      <c r="B1581" t="s">
        <v>54</v>
      </c>
    </row>
    <row r="1582" spans="1:2" x14ac:dyDescent="0.2">
      <c r="A1582">
        <v>1576</v>
      </c>
      <c r="B1582" t="s">
        <v>54</v>
      </c>
    </row>
    <row r="1583" spans="1:2" x14ac:dyDescent="0.2">
      <c r="A1583">
        <v>1577</v>
      </c>
      <c r="B1583" t="s">
        <v>54</v>
      </c>
    </row>
    <row r="1584" spans="1:2" x14ac:dyDescent="0.2">
      <c r="A1584">
        <v>1578</v>
      </c>
      <c r="B1584" t="s">
        <v>54</v>
      </c>
    </row>
    <row r="1585" spans="1:2" x14ac:dyDescent="0.2">
      <c r="A1585">
        <v>1579</v>
      </c>
      <c r="B1585" t="s">
        <v>54</v>
      </c>
    </row>
    <row r="1586" spans="1:2" x14ac:dyDescent="0.2">
      <c r="A1586">
        <v>1580</v>
      </c>
      <c r="B1586" t="s">
        <v>54</v>
      </c>
    </row>
    <row r="1587" spans="1:2" x14ac:dyDescent="0.2">
      <c r="A1587">
        <v>1581</v>
      </c>
      <c r="B1587" t="s">
        <v>54</v>
      </c>
    </row>
    <row r="1588" spans="1:2" x14ac:dyDescent="0.2">
      <c r="A1588">
        <v>1582</v>
      </c>
      <c r="B1588" t="s">
        <v>54</v>
      </c>
    </row>
    <row r="1589" spans="1:2" x14ac:dyDescent="0.2">
      <c r="A1589">
        <v>1583</v>
      </c>
      <c r="B1589" t="s">
        <v>54</v>
      </c>
    </row>
    <row r="1590" spans="1:2" x14ac:dyDescent="0.2">
      <c r="A1590">
        <v>1584</v>
      </c>
      <c r="B1590" t="s">
        <v>54</v>
      </c>
    </row>
    <row r="1591" spans="1:2" x14ac:dyDescent="0.2">
      <c r="A1591">
        <v>1585</v>
      </c>
      <c r="B1591" t="s">
        <v>54</v>
      </c>
    </row>
    <row r="1592" spans="1:2" x14ac:dyDescent="0.2">
      <c r="A1592">
        <v>1586</v>
      </c>
      <c r="B1592" t="s">
        <v>54</v>
      </c>
    </row>
    <row r="1593" spans="1:2" x14ac:dyDescent="0.2">
      <c r="A1593">
        <v>1587</v>
      </c>
      <c r="B1593" t="s">
        <v>54</v>
      </c>
    </row>
    <row r="1594" spans="1:2" x14ac:dyDescent="0.2">
      <c r="A1594">
        <v>1588</v>
      </c>
      <c r="B1594" t="s">
        <v>54</v>
      </c>
    </row>
    <row r="1595" spans="1:2" x14ac:dyDescent="0.2">
      <c r="A1595">
        <v>1589</v>
      </c>
      <c r="B1595" t="s">
        <v>54</v>
      </c>
    </row>
    <row r="1596" spans="1:2" x14ac:dyDescent="0.2">
      <c r="A1596">
        <v>1590</v>
      </c>
      <c r="B1596" t="s">
        <v>54</v>
      </c>
    </row>
    <row r="1597" spans="1:2" x14ac:dyDescent="0.2">
      <c r="A1597">
        <v>1591</v>
      </c>
      <c r="B1597" t="s">
        <v>54</v>
      </c>
    </row>
    <row r="1598" spans="1:2" x14ac:dyDescent="0.2">
      <c r="A1598">
        <v>1592</v>
      </c>
      <c r="B1598" t="s">
        <v>54</v>
      </c>
    </row>
    <row r="1599" spans="1:2" x14ac:dyDescent="0.2">
      <c r="A1599">
        <v>1593</v>
      </c>
      <c r="B1599" t="s">
        <v>54</v>
      </c>
    </row>
    <row r="1600" spans="1:2" x14ac:dyDescent="0.2">
      <c r="A1600">
        <v>1594</v>
      </c>
      <c r="B1600" t="s">
        <v>54</v>
      </c>
    </row>
    <row r="1601" spans="1:2" x14ac:dyDescent="0.2">
      <c r="A1601">
        <v>1595</v>
      </c>
      <c r="B1601" t="s">
        <v>54</v>
      </c>
    </row>
    <row r="1602" spans="1:2" x14ac:dyDescent="0.2">
      <c r="A1602">
        <v>1596</v>
      </c>
      <c r="B1602" t="s">
        <v>54</v>
      </c>
    </row>
    <row r="1603" spans="1:2" x14ac:dyDescent="0.2">
      <c r="A1603">
        <v>1597</v>
      </c>
      <c r="B1603" t="s">
        <v>54</v>
      </c>
    </row>
    <row r="1604" spans="1:2" x14ac:dyDescent="0.2">
      <c r="A1604">
        <v>1598</v>
      </c>
      <c r="B1604" t="s">
        <v>54</v>
      </c>
    </row>
    <row r="1605" spans="1:2" x14ac:dyDescent="0.2">
      <c r="A1605">
        <v>1599</v>
      </c>
      <c r="B1605" t="s">
        <v>54</v>
      </c>
    </row>
    <row r="1606" spans="1:2" x14ac:dyDescent="0.2">
      <c r="A1606">
        <v>1600</v>
      </c>
      <c r="B1606" t="s">
        <v>54</v>
      </c>
    </row>
    <row r="1607" spans="1:2" x14ac:dyDescent="0.2">
      <c r="A1607">
        <v>1601</v>
      </c>
      <c r="B1607" t="s">
        <v>54</v>
      </c>
    </row>
    <row r="1608" spans="1:2" x14ac:dyDescent="0.2">
      <c r="A1608">
        <v>1602</v>
      </c>
      <c r="B1608" t="s">
        <v>54</v>
      </c>
    </row>
    <row r="1609" spans="1:2" x14ac:dyDescent="0.2">
      <c r="A1609">
        <v>1603</v>
      </c>
      <c r="B1609" t="s">
        <v>54</v>
      </c>
    </row>
    <row r="1610" spans="1:2" x14ac:dyDescent="0.2">
      <c r="A1610">
        <v>1604</v>
      </c>
      <c r="B1610" t="s">
        <v>54</v>
      </c>
    </row>
    <row r="1611" spans="1:2" x14ac:dyDescent="0.2">
      <c r="A1611">
        <v>1605</v>
      </c>
      <c r="B1611" t="s">
        <v>54</v>
      </c>
    </row>
    <row r="1612" spans="1:2" x14ac:dyDescent="0.2">
      <c r="A1612">
        <v>1606</v>
      </c>
      <c r="B1612" t="s">
        <v>54</v>
      </c>
    </row>
    <row r="1613" spans="1:2" x14ac:dyDescent="0.2">
      <c r="A1613">
        <v>1607</v>
      </c>
      <c r="B1613" t="s">
        <v>54</v>
      </c>
    </row>
    <row r="1614" spans="1:2" x14ac:dyDescent="0.2">
      <c r="A1614">
        <v>1608</v>
      </c>
      <c r="B1614" t="s">
        <v>54</v>
      </c>
    </row>
    <row r="1615" spans="1:2" x14ac:dyDescent="0.2">
      <c r="A1615">
        <v>1609</v>
      </c>
      <c r="B1615" t="s">
        <v>54</v>
      </c>
    </row>
    <row r="1616" spans="1:2" x14ac:dyDescent="0.2">
      <c r="A1616">
        <v>1610</v>
      </c>
      <c r="B1616" t="s">
        <v>54</v>
      </c>
    </row>
    <row r="1617" spans="1:2" x14ac:dyDescent="0.2">
      <c r="A1617">
        <v>1611</v>
      </c>
      <c r="B1617" t="s">
        <v>54</v>
      </c>
    </row>
    <row r="1618" spans="1:2" x14ac:dyDescent="0.2">
      <c r="A1618">
        <v>1612</v>
      </c>
      <c r="B1618" t="s">
        <v>54</v>
      </c>
    </row>
    <row r="1619" spans="1:2" x14ac:dyDescent="0.2">
      <c r="A1619">
        <v>1613</v>
      </c>
      <c r="B1619" t="s">
        <v>54</v>
      </c>
    </row>
    <row r="1620" spans="1:2" x14ac:dyDescent="0.2">
      <c r="A1620">
        <v>1614</v>
      </c>
      <c r="B1620" t="s">
        <v>54</v>
      </c>
    </row>
    <row r="1621" spans="1:2" x14ac:dyDescent="0.2">
      <c r="A1621">
        <v>1615</v>
      </c>
      <c r="B1621" t="s">
        <v>54</v>
      </c>
    </row>
    <row r="1622" spans="1:2" x14ac:dyDescent="0.2">
      <c r="A1622">
        <v>1616</v>
      </c>
      <c r="B1622" t="s">
        <v>54</v>
      </c>
    </row>
    <row r="1623" spans="1:2" x14ac:dyDescent="0.2">
      <c r="A1623">
        <v>1617</v>
      </c>
      <c r="B1623" t="s">
        <v>54</v>
      </c>
    </row>
    <row r="1624" spans="1:2" x14ac:dyDescent="0.2">
      <c r="A1624">
        <v>1618</v>
      </c>
      <c r="B1624" t="s">
        <v>54</v>
      </c>
    </row>
    <row r="1625" spans="1:2" x14ac:dyDescent="0.2">
      <c r="A1625">
        <v>1619</v>
      </c>
      <c r="B1625" t="s">
        <v>54</v>
      </c>
    </row>
    <row r="1626" spans="1:2" x14ac:dyDescent="0.2">
      <c r="A1626">
        <v>1620</v>
      </c>
      <c r="B1626" t="s">
        <v>54</v>
      </c>
    </row>
    <row r="1627" spans="1:2" x14ac:dyDescent="0.2">
      <c r="A1627">
        <v>1621</v>
      </c>
      <c r="B1627" t="s">
        <v>54</v>
      </c>
    </row>
    <row r="1628" spans="1:2" x14ac:dyDescent="0.2">
      <c r="A1628">
        <v>1622</v>
      </c>
      <c r="B1628" t="s">
        <v>54</v>
      </c>
    </row>
    <row r="1629" spans="1:2" x14ac:dyDescent="0.2">
      <c r="A1629">
        <v>1623</v>
      </c>
      <c r="B1629" t="s">
        <v>54</v>
      </c>
    </row>
    <row r="1630" spans="1:2" x14ac:dyDescent="0.2">
      <c r="A1630">
        <v>1624</v>
      </c>
      <c r="B1630" t="s">
        <v>54</v>
      </c>
    </row>
    <row r="1631" spans="1:2" x14ac:dyDescent="0.2">
      <c r="A1631">
        <v>1625</v>
      </c>
      <c r="B1631" t="s">
        <v>54</v>
      </c>
    </row>
    <row r="1632" spans="1:2" x14ac:dyDescent="0.2">
      <c r="A1632">
        <v>1626</v>
      </c>
      <c r="B1632" t="s">
        <v>54</v>
      </c>
    </row>
    <row r="1633" spans="1:2" x14ac:dyDescent="0.2">
      <c r="A1633">
        <v>1627</v>
      </c>
      <c r="B1633" t="s">
        <v>54</v>
      </c>
    </row>
    <row r="1634" spans="1:2" x14ac:dyDescent="0.2">
      <c r="A1634">
        <v>1628</v>
      </c>
      <c r="B1634" t="s">
        <v>54</v>
      </c>
    </row>
    <row r="1635" spans="1:2" x14ac:dyDescent="0.2">
      <c r="A1635">
        <v>1629</v>
      </c>
      <c r="B1635" t="s">
        <v>54</v>
      </c>
    </row>
    <row r="1636" spans="1:2" x14ac:dyDescent="0.2">
      <c r="A1636">
        <v>1630</v>
      </c>
      <c r="B1636" t="s">
        <v>54</v>
      </c>
    </row>
    <row r="1637" spans="1:2" x14ac:dyDescent="0.2">
      <c r="A1637">
        <v>1631</v>
      </c>
      <c r="B1637" t="s">
        <v>54</v>
      </c>
    </row>
    <row r="1638" spans="1:2" x14ac:dyDescent="0.2">
      <c r="A1638">
        <v>1632</v>
      </c>
      <c r="B1638" t="s">
        <v>54</v>
      </c>
    </row>
    <row r="1639" spans="1:2" x14ac:dyDescent="0.2">
      <c r="A1639">
        <v>1633</v>
      </c>
      <c r="B1639" t="s">
        <v>54</v>
      </c>
    </row>
    <row r="1640" spans="1:2" x14ac:dyDescent="0.2">
      <c r="A1640">
        <v>1634</v>
      </c>
      <c r="B1640" t="s">
        <v>54</v>
      </c>
    </row>
    <row r="1641" spans="1:2" x14ac:dyDescent="0.2">
      <c r="A1641">
        <v>1635</v>
      </c>
      <c r="B1641" t="s">
        <v>54</v>
      </c>
    </row>
    <row r="1642" spans="1:2" x14ac:dyDescent="0.2">
      <c r="A1642">
        <v>1636</v>
      </c>
      <c r="B1642" t="s">
        <v>54</v>
      </c>
    </row>
    <row r="1643" spans="1:2" x14ac:dyDescent="0.2">
      <c r="A1643">
        <v>1637</v>
      </c>
      <c r="B1643" t="s">
        <v>54</v>
      </c>
    </row>
    <row r="1644" spans="1:2" x14ac:dyDescent="0.2">
      <c r="A1644">
        <v>1638</v>
      </c>
      <c r="B1644" t="s">
        <v>54</v>
      </c>
    </row>
    <row r="1645" spans="1:2" x14ac:dyDescent="0.2">
      <c r="A1645">
        <v>1639</v>
      </c>
      <c r="B1645" t="s">
        <v>54</v>
      </c>
    </row>
    <row r="1646" spans="1:2" x14ac:dyDescent="0.2">
      <c r="A1646">
        <v>1640</v>
      </c>
      <c r="B1646" t="s">
        <v>54</v>
      </c>
    </row>
    <row r="1647" spans="1:2" x14ac:dyDescent="0.2">
      <c r="A1647">
        <v>1641</v>
      </c>
      <c r="B1647" t="s">
        <v>54</v>
      </c>
    </row>
    <row r="1648" spans="1:2" x14ac:dyDescent="0.2">
      <c r="A1648">
        <v>1642</v>
      </c>
      <c r="B1648" t="s">
        <v>54</v>
      </c>
    </row>
    <row r="1649" spans="1:2" x14ac:dyDescent="0.2">
      <c r="A1649">
        <v>1643</v>
      </c>
      <c r="B1649" t="s">
        <v>54</v>
      </c>
    </row>
    <row r="1650" spans="1:2" x14ac:dyDescent="0.2">
      <c r="A1650">
        <v>1644</v>
      </c>
      <c r="B1650" t="s">
        <v>54</v>
      </c>
    </row>
    <row r="1651" spans="1:2" x14ac:dyDescent="0.2">
      <c r="A1651">
        <v>1645</v>
      </c>
      <c r="B1651" t="s">
        <v>54</v>
      </c>
    </row>
    <row r="1652" spans="1:2" x14ac:dyDescent="0.2">
      <c r="A1652">
        <v>1646</v>
      </c>
      <c r="B1652" t="s">
        <v>54</v>
      </c>
    </row>
    <row r="1653" spans="1:2" x14ac:dyDescent="0.2">
      <c r="A1653">
        <v>1647</v>
      </c>
      <c r="B1653" t="s">
        <v>54</v>
      </c>
    </row>
    <row r="1654" spans="1:2" x14ac:dyDescent="0.2">
      <c r="A1654">
        <v>1648</v>
      </c>
      <c r="B1654" t="s">
        <v>54</v>
      </c>
    </row>
    <row r="1655" spans="1:2" x14ac:dyDescent="0.2">
      <c r="A1655">
        <v>1649</v>
      </c>
      <c r="B1655" t="s">
        <v>54</v>
      </c>
    </row>
    <row r="1656" spans="1:2" x14ac:dyDescent="0.2">
      <c r="A1656">
        <v>1650</v>
      </c>
      <c r="B1656" t="s">
        <v>54</v>
      </c>
    </row>
    <row r="1657" spans="1:2" x14ac:dyDescent="0.2">
      <c r="A1657">
        <v>1651</v>
      </c>
      <c r="B1657" t="s">
        <v>54</v>
      </c>
    </row>
    <row r="1658" spans="1:2" x14ac:dyDescent="0.2">
      <c r="A1658">
        <v>1652</v>
      </c>
      <c r="B1658" t="s">
        <v>54</v>
      </c>
    </row>
    <row r="1659" spans="1:2" x14ac:dyDescent="0.2">
      <c r="A1659">
        <v>1653</v>
      </c>
      <c r="B1659" t="s">
        <v>54</v>
      </c>
    </row>
    <row r="1660" spans="1:2" x14ac:dyDescent="0.2">
      <c r="A1660">
        <v>1654</v>
      </c>
      <c r="B1660" t="s">
        <v>54</v>
      </c>
    </row>
    <row r="1661" spans="1:2" x14ac:dyDescent="0.2">
      <c r="A1661">
        <v>1655</v>
      </c>
      <c r="B1661" t="s">
        <v>54</v>
      </c>
    </row>
    <row r="1662" spans="1:2" x14ac:dyDescent="0.2">
      <c r="A1662">
        <v>1656</v>
      </c>
      <c r="B1662" t="s">
        <v>54</v>
      </c>
    </row>
    <row r="1663" spans="1:2" x14ac:dyDescent="0.2">
      <c r="A1663">
        <v>1657</v>
      </c>
      <c r="B1663" t="s">
        <v>54</v>
      </c>
    </row>
    <row r="1664" spans="1:2" x14ac:dyDescent="0.2">
      <c r="A1664">
        <v>1658</v>
      </c>
      <c r="B1664" t="s">
        <v>54</v>
      </c>
    </row>
    <row r="1665" spans="1:2" x14ac:dyDescent="0.2">
      <c r="A1665">
        <v>1659</v>
      </c>
      <c r="B1665" t="s">
        <v>54</v>
      </c>
    </row>
    <row r="1666" spans="1:2" x14ac:dyDescent="0.2">
      <c r="A1666">
        <v>1660</v>
      </c>
      <c r="B1666" t="s">
        <v>54</v>
      </c>
    </row>
    <row r="1667" spans="1:2" x14ac:dyDescent="0.2">
      <c r="A1667">
        <v>1661</v>
      </c>
      <c r="B1667" t="s">
        <v>54</v>
      </c>
    </row>
    <row r="1668" spans="1:2" x14ac:dyDescent="0.2">
      <c r="A1668">
        <v>1662</v>
      </c>
      <c r="B1668" t="s">
        <v>54</v>
      </c>
    </row>
    <row r="1669" spans="1:2" x14ac:dyDescent="0.2">
      <c r="A1669">
        <v>1663</v>
      </c>
      <c r="B1669" t="s">
        <v>54</v>
      </c>
    </row>
    <row r="1670" spans="1:2" x14ac:dyDescent="0.2">
      <c r="A1670">
        <v>1664</v>
      </c>
      <c r="B1670" t="s">
        <v>54</v>
      </c>
    </row>
    <row r="1671" spans="1:2" x14ac:dyDescent="0.2">
      <c r="A1671">
        <v>1665</v>
      </c>
      <c r="B1671" t="s">
        <v>54</v>
      </c>
    </row>
    <row r="1672" spans="1:2" x14ac:dyDescent="0.2">
      <c r="A1672">
        <v>1666</v>
      </c>
      <c r="B1672" t="s">
        <v>54</v>
      </c>
    </row>
    <row r="1673" spans="1:2" x14ac:dyDescent="0.2">
      <c r="A1673">
        <v>1667</v>
      </c>
      <c r="B1673" t="s">
        <v>54</v>
      </c>
    </row>
    <row r="1674" spans="1:2" x14ac:dyDescent="0.2">
      <c r="A1674">
        <v>1668</v>
      </c>
      <c r="B1674" t="s">
        <v>54</v>
      </c>
    </row>
    <row r="1675" spans="1:2" x14ac:dyDescent="0.2">
      <c r="A1675">
        <v>1669</v>
      </c>
      <c r="B1675" t="s">
        <v>54</v>
      </c>
    </row>
    <row r="1676" spans="1:2" x14ac:dyDescent="0.2">
      <c r="A1676">
        <v>1670</v>
      </c>
      <c r="B1676" t="s">
        <v>54</v>
      </c>
    </row>
    <row r="1677" spans="1:2" x14ac:dyDescent="0.2">
      <c r="A1677">
        <v>1671</v>
      </c>
      <c r="B1677" t="s">
        <v>54</v>
      </c>
    </row>
    <row r="1678" spans="1:2" x14ac:dyDescent="0.2">
      <c r="A1678">
        <v>1672</v>
      </c>
      <c r="B1678" t="s">
        <v>54</v>
      </c>
    </row>
    <row r="1679" spans="1:2" x14ac:dyDescent="0.2">
      <c r="A1679">
        <v>1673</v>
      </c>
      <c r="B1679" t="s">
        <v>54</v>
      </c>
    </row>
    <row r="1680" spans="1:2" x14ac:dyDescent="0.2">
      <c r="A1680">
        <v>1674</v>
      </c>
      <c r="B1680" t="s">
        <v>54</v>
      </c>
    </row>
    <row r="1681" spans="1:2" x14ac:dyDescent="0.2">
      <c r="A1681">
        <v>1675</v>
      </c>
      <c r="B1681" t="s">
        <v>54</v>
      </c>
    </row>
    <row r="1682" spans="1:2" x14ac:dyDescent="0.2">
      <c r="A1682">
        <v>1676</v>
      </c>
      <c r="B1682" t="s">
        <v>54</v>
      </c>
    </row>
    <row r="1683" spans="1:2" x14ac:dyDescent="0.2">
      <c r="A1683">
        <v>1677</v>
      </c>
      <c r="B1683" t="s">
        <v>54</v>
      </c>
    </row>
    <row r="1684" spans="1:2" x14ac:dyDescent="0.2">
      <c r="A1684">
        <v>1678</v>
      </c>
      <c r="B1684" t="s">
        <v>54</v>
      </c>
    </row>
    <row r="1685" spans="1:2" x14ac:dyDescent="0.2">
      <c r="A1685">
        <v>1679</v>
      </c>
      <c r="B1685" t="s">
        <v>54</v>
      </c>
    </row>
    <row r="1686" spans="1:2" x14ac:dyDescent="0.2">
      <c r="A1686">
        <v>1680</v>
      </c>
      <c r="B1686" t="s">
        <v>54</v>
      </c>
    </row>
    <row r="1687" spans="1:2" x14ac:dyDescent="0.2">
      <c r="A1687">
        <v>1681</v>
      </c>
      <c r="B1687" t="s">
        <v>54</v>
      </c>
    </row>
    <row r="1688" spans="1:2" x14ac:dyDescent="0.2">
      <c r="A1688">
        <v>1682</v>
      </c>
      <c r="B1688" t="s">
        <v>54</v>
      </c>
    </row>
    <row r="1689" spans="1:2" x14ac:dyDescent="0.2">
      <c r="A1689">
        <v>1683</v>
      </c>
      <c r="B1689" t="s">
        <v>54</v>
      </c>
    </row>
    <row r="1690" spans="1:2" x14ac:dyDescent="0.2">
      <c r="A1690">
        <v>1684</v>
      </c>
      <c r="B1690" t="s">
        <v>54</v>
      </c>
    </row>
    <row r="1691" spans="1:2" x14ac:dyDescent="0.2">
      <c r="A1691">
        <v>1685</v>
      </c>
      <c r="B1691" t="s">
        <v>54</v>
      </c>
    </row>
    <row r="1692" spans="1:2" x14ac:dyDescent="0.2">
      <c r="A1692">
        <v>1686</v>
      </c>
      <c r="B1692" t="s">
        <v>54</v>
      </c>
    </row>
    <row r="1693" spans="1:2" x14ac:dyDescent="0.2">
      <c r="A1693">
        <v>1687</v>
      </c>
      <c r="B1693" t="s">
        <v>54</v>
      </c>
    </row>
    <row r="1694" spans="1:2" x14ac:dyDescent="0.2">
      <c r="A1694">
        <v>1688</v>
      </c>
      <c r="B1694" t="s">
        <v>54</v>
      </c>
    </row>
    <row r="1695" spans="1:2" x14ac:dyDescent="0.2">
      <c r="A1695">
        <v>1689</v>
      </c>
      <c r="B1695" t="s">
        <v>54</v>
      </c>
    </row>
    <row r="1696" spans="1:2" x14ac:dyDescent="0.2">
      <c r="A1696">
        <v>1690</v>
      </c>
      <c r="B1696" t="s">
        <v>54</v>
      </c>
    </row>
    <row r="1697" spans="1:2" x14ac:dyDescent="0.2">
      <c r="A1697">
        <v>1691</v>
      </c>
      <c r="B1697" t="s">
        <v>54</v>
      </c>
    </row>
    <row r="1698" spans="1:2" x14ac:dyDescent="0.2">
      <c r="A1698">
        <v>1692</v>
      </c>
      <c r="B1698" t="s">
        <v>54</v>
      </c>
    </row>
    <row r="1699" spans="1:2" x14ac:dyDescent="0.2">
      <c r="A1699">
        <v>1693</v>
      </c>
      <c r="B1699" t="s">
        <v>54</v>
      </c>
    </row>
    <row r="1700" spans="1:2" x14ac:dyDescent="0.2">
      <c r="A1700">
        <v>1694</v>
      </c>
      <c r="B1700" t="s">
        <v>54</v>
      </c>
    </row>
    <row r="1701" spans="1:2" x14ac:dyDescent="0.2">
      <c r="A1701">
        <v>1695</v>
      </c>
      <c r="B1701" t="s">
        <v>54</v>
      </c>
    </row>
    <row r="1702" spans="1:2" x14ac:dyDescent="0.2">
      <c r="A1702">
        <v>1696</v>
      </c>
      <c r="B1702" t="s">
        <v>54</v>
      </c>
    </row>
    <row r="1703" spans="1:2" x14ac:dyDescent="0.2">
      <c r="A1703">
        <v>1697</v>
      </c>
      <c r="B1703" t="s">
        <v>54</v>
      </c>
    </row>
    <row r="1704" spans="1:2" x14ac:dyDescent="0.2">
      <c r="A1704">
        <v>1698</v>
      </c>
      <c r="B1704" t="s">
        <v>54</v>
      </c>
    </row>
    <row r="1705" spans="1:2" x14ac:dyDescent="0.2">
      <c r="A1705">
        <v>1699</v>
      </c>
      <c r="B1705" t="s">
        <v>54</v>
      </c>
    </row>
    <row r="1706" spans="1:2" x14ac:dyDescent="0.2">
      <c r="A1706">
        <v>1700</v>
      </c>
      <c r="B1706" t="s">
        <v>54</v>
      </c>
    </row>
    <row r="1707" spans="1:2" x14ac:dyDescent="0.2">
      <c r="A1707">
        <v>1701</v>
      </c>
      <c r="B1707" t="s">
        <v>54</v>
      </c>
    </row>
    <row r="1708" spans="1:2" x14ac:dyDescent="0.2">
      <c r="A1708">
        <v>1702</v>
      </c>
      <c r="B1708" t="s">
        <v>54</v>
      </c>
    </row>
    <row r="1709" spans="1:2" x14ac:dyDescent="0.2">
      <c r="A1709">
        <v>1703</v>
      </c>
      <c r="B1709" t="s">
        <v>54</v>
      </c>
    </row>
    <row r="1710" spans="1:2" x14ac:dyDescent="0.2">
      <c r="A1710">
        <v>1704</v>
      </c>
      <c r="B1710" t="s">
        <v>54</v>
      </c>
    </row>
    <row r="1711" spans="1:2" x14ac:dyDescent="0.2">
      <c r="A1711">
        <v>1705</v>
      </c>
      <c r="B1711" t="s">
        <v>54</v>
      </c>
    </row>
    <row r="1712" spans="1:2" x14ac:dyDescent="0.2">
      <c r="A1712">
        <v>1706</v>
      </c>
      <c r="B1712" t="s">
        <v>54</v>
      </c>
    </row>
    <row r="1713" spans="1:2" x14ac:dyDescent="0.2">
      <c r="A1713">
        <v>1707</v>
      </c>
      <c r="B1713" t="s">
        <v>54</v>
      </c>
    </row>
    <row r="1714" spans="1:2" x14ac:dyDescent="0.2">
      <c r="A1714">
        <v>1708</v>
      </c>
      <c r="B1714" t="s">
        <v>54</v>
      </c>
    </row>
    <row r="1715" spans="1:2" x14ac:dyDescent="0.2">
      <c r="A1715">
        <v>1709</v>
      </c>
      <c r="B1715" t="s">
        <v>54</v>
      </c>
    </row>
    <row r="1716" spans="1:2" x14ac:dyDescent="0.2">
      <c r="A1716">
        <v>1710</v>
      </c>
      <c r="B1716" t="s">
        <v>54</v>
      </c>
    </row>
    <row r="1717" spans="1:2" x14ac:dyDescent="0.2">
      <c r="A1717">
        <v>1711</v>
      </c>
      <c r="B1717" t="s">
        <v>54</v>
      </c>
    </row>
    <row r="1718" spans="1:2" x14ac:dyDescent="0.2">
      <c r="A1718">
        <v>1712</v>
      </c>
      <c r="B1718" t="s">
        <v>54</v>
      </c>
    </row>
    <row r="1719" spans="1:2" x14ac:dyDescent="0.2">
      <c r="A1719">
        <v>1713</v>
      </c>
      <c r="B1719" t="s">
        <v>54</v>
      </c>
    </row>
    <row r="1720" spans="1:2" x14ac:dyDescent="0.2">
      <c r="A1720">
        <v>1714</v>
      </c>
      <c r="B1720" t="s">
        <v>54</v>
      </c>
    </row>
    <row r="1721" spans="1:2" x14ac:dyDescent="0.2">
      <c r="A1721">
        <v>1715</v>
      </c>
      <c r="B1721" t="s">
        <v>54</v>
      </c>
    </row>
    <row r="1722" spans="1:2" x14ac:dyDescent="0.2">
      <c r="A1722">
        <v>1716</v>
      </c>
      <c r="B1722" t="s">
        <v>54</v>
      </c>
    </row>
    <row r="1723" spans="1:2" x14ac:dyDescent="0.2">
      <c r="A1723">
        <v>1717</v>
      </c>
      <c r="B1723" t="s">
        <v>54</v>
      </c>
    </row>
    <row r="1724" spans="1:2" x14ac:dyDescent="0.2">
      <c r="A1724">
        <v>1718</v>
      </c>
      <c r="B1724" t="s">
        <v>54</v>
      </c>
    </row>
    <row r="1725" spans="1:2" x14ac:dyDescent="0.2">
      <c r="A1725">
        <v>1719</v>
      </c>
      <c r="B1725" t="s">
        <v>54</v>
      </c>
    </row>
    <row r="1726" spans="1:2" x14ac:dyDescent="0.2">
      <c r="A1726">
        <v>1720</v>
      </c>
      <c r="B1726" t="s">
        <v>54</v>
      </c>
    </row>
    <row r="1727" spans="1:2" x14ac:dyDescent="0.2">
      <c r="A1727">
        <v>1721</v>
      </c>
      <c r="B1727" t="s">
        <v>54</v>
      </c>
    </row>
    <row r="1728" spans="1:2" x14ac:dyDescent="0.2">
      <c r="A1728">
        <v>1722</v>
      </c>
      <c r="B1728" t="s">
        <v>54</v>
      </c>
    </row>
    <row r="1729" spans="1:2" x14ac:dyDescent="0.2">
      <c r="A1729">
        <v>1723</v>
      </c>
      <c r="B1729" t="s">
        <v>54</v>
      </c>
    </row>
    <row r="1730" spans="1:2" x14ac:dyDescent="0.2">
      <c r="A1730">
        <v>1724</v>
      </c>
      <c r="B1730" t="s">
        <v>54</v>
      </c>
    </row>
    <row r="1731" spans="1:2" x14ac:dyDescent="0.2">
      <c r="A1731">
        <v>1725</v>
      </c>
      <c r="B1731" t="s">
        <v>54</v>
      </c>
    </row>
    <row r="1732" spans="1:2" x14ac:dyDescent="0.2">
      <c r="A1732">
        <v>1726</v>
      </c>
      <c r="B1732" t="s">
        <v>54</v>
      </c>
    </row>
    <row r="1733" spans="1:2" x14ac:dyDescent="0.2">
      <c r="A1733">
        <v>1727</v>
      </c>
      <c r="B1733" t="s">
        <v>54</v>
      </c>
    </row>
    <row r="1734" spans="1:2" x14ac:dyDescent="0.2">
      <c r="A1734">
        <v>1728</v>
      </c>
      <c r="B1734" t="s">
        <v>54</v>
      </c>
    </row>
    <row r="1735" spans="1:2" x14ac:dyDescent="0.2">
      <c r="A1735">
        <v>1729</v>
      </c>
      <c r="B1735" t="s">
        <v>54</v>
      </c>
    </row>
    <row r="1736" spans="1:2" x14ac:dyDescent="0.2">
      <c r="A1736">
        <v>1730</v>
      </c>
      <c r="B1736" t="s">
        <v>54</v>
      </c>
    </row>
    <row r="1737" spans="1:2" x14ac:dyDescent="0.2">
      <c r="A1737">
        <v>1731</v>
      </c>
      <c r="B1737" t="s">
        <v>54</v>
      </c>
    </row>
    <row r="1738" spans="1:2" x14ac:dyDescent="0.2">
      <c r="A1738">
        <v>1732</v>
      </c>
      <c r="B1738" t="s">
        <v>54</v>
      </c>
    </row>
    <row r="1739" spans="1:2" x14ac:dyDescent="0.2">
      <c r="A1739">
        <v>1733</v>
      </c>
      <c r="B1739" t="s">
        <v>54</v>
      </c>
    </row>
    <row r="1740" spans="1:2" x14ac:dyDescent="0.2">
      <c r="A1740">
        <v>1734</v>
      </c>
      <c r="B1740" t="s">
        <v>54</v>
      </c>
    </row>
    <row r="1741" spans="1:2" x14ac:dyDescent="0.2">
      <c r="A1741">
        <v>1735</v>
      </c>
      <c r="B1741" t="s">
        <v>54</v>
      </c>
    </row>
    <row r="1742" spans="1:2" x14ac:dyDescent="0.2">
      <c r="A1742">
        <v>1736</v>
      </c>
      <c r="B1742" t="s">
        <v>54</v>
      </c>
    </row>
    <row r="1743" spans="1:2" x14ac:dyDescent="0.2">
      <c r="A1743">
        <v>1737</v>
      </c>
      <c r="B1743" t="s">
        <v>54</v>
      </c>
    </row>
    <row r="1744" spans="1:2" x14ac:dyDescent="0.2">
      <c r="A1744">
        <v>1738</v>
      </c>
      <c r="B1744" t="s">
        <v>54</v>
      </c>
    </row>
    <row r="1745" spans="1:2" x14ac:dyDescent="0.2">
      <c r="A1745">
        <v>1739</v>
      </c>
      <c r="B1745" t="s">
        <v>54</v>
      </c>
    </row>
    <row r="1746" spans="1:2" x14ac:dyDescent="0.2">
      <c r="A1746">
        <v>1740</v>
      </c>
      <c r="B1746" t="s">
        <v>54</v>
      </c>
    </row>
    <row r="1747" spans="1:2" x14ac:dyDescent="0.2">
      <c r="A1747">
        <v>1741</v>
      </c>
      <c r="B1747" t="s">
        <v>54</v>
      </c>
    </row>
    <row r="1748" spans="1:2" x14ac:dyDescent="0.2">
      <c r="A1748">
        <v>1742</v>
      </c>
      <c r="B1748" t="s">
        <v>54</v>
      </c>
    </row>
    <row r="1749" spans="1:2" x14ac:dyDescent="0.2">
      <c r="A1749">
        <v>1743</v>
      </c>
      <c r="B1749" t="s">
        <v>54</v>
      </c>
    </row>
    <row r="1750" spans="1:2" x14ac:dyDescent="0.2">
      <c r="A1750">
        <v>1744</v>
      </c>
      <c r="B1750" t="s">
        <v>54</v>
      </c>
    </row>
    <row r="1751" spans="1:2" x14ac:dyDescent="0.2">
      <c r="A1751">
        <v>1745</v>
      </c>
      <c r="B1751" t="s">
        <v>54</v>
      </c>
    </row>
    <row r="1752" spans="1:2" x14ac:dyDescent="0.2">
      <c r="A1752">
        <v>1746</v>
      </c>
      <c r="B1752" t="s">
        <v>54</v>
      </c>
    </row>
    <row r="1753" spans="1:2" x14ac:dyDescent="0.2">
      <c r="A1753">
        <v>1747</v>
      </c>
      <c r="B1753" t="s">
        <v>54</v>
      </c>
    </row>
    <row r="1754" spans="1:2" x14ac:dyDescent="0.2">
      <c r="A1754">
        <v>1748</v>
      </c>
      <c r="B1754" t="s">
        <v>54</v>
      </c>
    </row>
    <row r="1755" spans="1:2" x14ac:dyDescent="0.2">
      <c r="A1755">
        <v>1749</v>
      </c>
      <c r="B1755" t="s">
        <v>54</v>
      </c>
    </row>
    <row r="1756" spans="1:2" x14ac:dyDescent="0.2">
      <c r="A1756">
        <v>1750</v>
      </c>
      <c r="B1756" t="s">
        <v>54</v>
      </c>
    </row>
    <row r="1757" spans="1:2" x14ac:dyDescent="0.2">
      <c r="A1757">
        <v>1751</v>
      </c>
      <c r="B1757" t="s">
        <v>54</v>
      </c>
    </row>
    <row r="1758" spans="1:2" x14ac:dyDescent="0.2">
      <c r="A1758">
        <v>1752</v>
      </c>
      <c r="B1758" t="s">
        <v>54</v>
      </c>
    </row>
    <row r="1759" spans="1:2" x14ac:dyDescent="0.2">
      <c r="A1759">
        <v>1753</v>
      </c>
      <c r="B1759" t="s">
        <v>54</v>
      </c>
    </row>
    <row r="1760" spans="1:2" x14ac:dyDescent="0.2">
      <c r="A1760">
        <v>1754</v>
      </c>
      <c r="B1760" t="s">
        <v>54</v>
      </c>
    </row>
    <row r="1761" spans="1:2" x14ac:dyDescent="0.2">
      <c r="A1761">
        <v>1755</v>
      </c>
      <c r="B1761" t="s">
        <v>54</v>
      </c>
    </row>
    <row r="1762" spans="1:2" x14ac:dyDescent="0.2">
      <c r="A1762">
        <v>1756</v>
      </c>
      <c r="B1762" t="s">
        <v>54</v>
      </c>
    </row>
    <row r="1763" spans="1:2" x14ac:dyDescent="0.2">
      <c r="A1763">
        <v>1757</v>
      </c>
      <c r="B1763" t="s">
        <v>54</v>
      </c>
    </row>
    <row r="1764" spans="1:2" x14ac:dyDescent="0.2">
      <c r="A1764">
        <v>1758</v>
      </c>
      <c r="B1764" t="s">
        <v>54</v>
      </c>
    </row>
    <row r="1765" spans="1:2" x14ac:dyDescent="0.2">
      <c r="A1765">
        <v>1759</v>
      </c>
      <c r="B1765" t="s">
        <v>54</v>
      </c>
    </row>
    <row r="1766" spans="1:2" x14ac:dyDescent="0.2">
      <c r="A1766">
        <v>1760</v>
      </c>
      <c r="B1766" t="s">
        <v>54</v>
      </c>
    </row>
    <row r="1767" spans="1:2" x14ac:dyDescent="0.2">
      <c r="A1767">
        <v>1761</v>
      </c>
      <c r="B1767" t="s">
        <v>54</v>
      </c>
    </row>
    <row r="1768" spans="1:2" x14ac:dyDescent="0.2">
      <c r="A1768">
        <v>1762</v>
      </c>
      <c r="B1768" t="s">
        <v>54</v>
      </c>
    </row>
    <row r="1769" spans="1:2" x14ac:dyDescent="0.2">
      <c r="A1769">
        <v>1763</v>
      </c>
      <c r="B1769" t="s">
        <v>54</v>
      </c>
    </row>
    <row r="1770" spans="1:2" x14ac:dyDescent="0.2">
      <c r="A1770">
        <v>1764</v>
      </c>
      <c r="B1770" t="s">
        <v>54</v>
      </c>
    </row>
    <row r="1771" spans="1:2" x14ac:dyDescent="0.2">
      <c r="A1771">
        <v>1765</v>
      </c>
      <c r="B1771" t="s">
        <v>54</v>
      </c>
    </row>
    <row r="1772" spans="1:2" x14ac:dyDescent="0.2">
      <c r="A1772">
        <v>1766</v>
      </c>
      <c r="B1772" t="s">
        <v>54</v>
      </c>
    </row>
    <row r="1773" spans="1:2" x14ac:dyDescent="0.2">
      <c r="A1773">
        <v>1767</v>
      </c>
      <c r="B1773" t="s">
        <v>54</v>
      </c>
    </row>
    <row r="1774" spans="1:2" x14ac:dyDescent="0.2">
      <c r="A1774">
        <v>1768</v>
      </c>
      <c r="B1774" t="s">
        <v>54</v>
      </c>
    </row>
    <row r="1775" spans="1:2" x14ac:dyDescent="0.2">
      <c r="A1775">
        <v>1769</v>
      </c>
      <c r="B1775" t="s">
        <v>54</v>
      </c>
    </row>
    <row r="1776" spans="1:2" x14ac:dyDescent="0.2">
      <c r="A1776">
        <v>1770</v>
      </c>
      <c r="B1776" t="s">
        <v>54</v>
      </c>
    </row>
    <row r="1777" spans="1:2" x14ac:dyDescent="0.2">
      <c r="A1777">
        <v>1771</v>
      </c>
      <c r="B1777" t="s">
        <v>54</v>
      </c>
    </row>
    <row r="1778" spans="1:2" x14ac:dyDescent="0.2">
      <c r="A1778">
        <v>1772</v>
      </c>
      <c r="B1778" t="s">
        <v>54</v>
      </c>
    </row>
    <row r="1779" spans="1:2" x14ac:dyDescent="0.2">
      <c r="A1779">
        <v>1773</v>
      </c>
      <c r="B1779" t="s">
        <v>54</v>
      </c>
    </row>
    <row r="1780" spans="1:2" x14ac:dyDescent="0.2">
      <c r="A1780">
        <v>1774</v>
      </c>
      <c r="B1780" t="s">
        <v>54</v>
      </c>
    </row>
    <row r="1781" spans="1:2" x14ac:dyDescent="0.2">
      <c r="A1781">
        <v>1775</v>
      </c>
      <c r="B1781" t="s">
        <v>54</v>
      </c>
    </row>
    <row r="1782" spans="1:2" x14ac:dyDescent="0.2">
      <c r="A1782">
        <v>1776</v>
      </c>
      <c r="B1782" t="s">
        <v>54</v>
      </c>
    </row>
    <row r="1783" spans="1:2" x14ac:dyDescent="0.2">
      <c r="A1783">
        <v>1777</v>
      </c>
      <c r="B1783" t="s">
        <v>54</v>
      </c>
    </row>
    <row r="1784" spans="1:2" x14ac:dyDescent="0.2">
      <c r="A1784">
        <v>1778</v>
      </c>
      <c r="B1784" t="s">
        <v>54</v>
      </c>
    </row>
    <row r="1785" spans="1:2" x14ac:dyDescent="0.2">
      <c r="A1785">
        <v>1779</v>
      </c>
      <c r="B1785" t="s">
        <v>54</v>
      </c>
    </row>
    <row r="1786" spans="1:2" x14ac:dyDescent="0.2">
      <c r="A1786">
        <v>1780</v>
      </c>
      <c r="B1786" t="s">
        <v>54</v>
      </c>
    </row>
    <row r="1787" spans="1:2" x14ac:dyDescent="0.2">
      <c r="A1787">
        <v>1781</v>
      </c>
      <c r="B1787" t="s">
        <v>54</v>
      </c>
    </row>
    <row r="1788" spans="1:2" x14ac:dyDescent="0.2">
      <c r="A1788">
        <v>1782</v>
      </c>
      <c r="B1788" t="s">
        <v>54</v>
      </c>
    </row>
    <row r="1789" spans="1:2" x14ac:dyDescent="0.2">
      <c r="A1789">
        <v>1783</v>
      </c>
      <c r="B1789" t="s">
        <v>54</v>
      </c>
    </row>
    <row r="1790" spans="1:2" x14ac:dyDescent="0.2">
      <c r="A1790">
        <v>1784</v>
      </c>
      <c r="B1790" t="s">
        <v>54</v>
      </c>
    </row>
    <row r="1791" spans="1:2" x14ac:dyDescent="0.2">
      <c r="A1791">
        <v>1785</v>
      </c>
      <c r="B1791" t="s">
        <v>54</v>
      </c>
    </row>
    <row r="1792" spans="1:2" x14ac:dyDescent="0.2">
      <c r="A1792">
        <v>1786</v>
      </c>
      <c r="B1792" t="s">
        <v>54</v>
      </c>
    </row>
    <row r="1793" spans="1:2" x14ac:dyDescent="0.2">
      <c r="A1793">
        <v>1787</v>
      </c>
      <c r="B1793" t="s">
        <v>54</v>
      </c>
    </row>
    <row r="1794" spans="1:2" x14ac:dyDescent="0.2">
      <c r="A1794">
        <v>1788</v>
      </c>
      <c r="B1794" t="s">
        <v>54</v>
      </c>
    </row>
    <row r="1795" spans="1:2" x14ac:dyDescent="0.2">
      <c r="A1795">
        <v>1789</v>
      </c>
      <c r="B1795" t="s">
        <v>54</v>
      </c>
    </row>
    <row r="1796" spans="1:2" x14ac:dyDescent="0.2">
      <c r="A1796">
        <v>1790</v>
      </c>
      <c r="B1796" t="s">
        <v>54</v>
      </c>
    </row>
    <row r="1797" spans="1:2" x14ac:dyDescent="0.2">
      <c r="A1797">
        <v>1791</v>
      </c>
      <c r="B1797" t="s">
        <v>54</v>
      </c>
    </row>
    <row r="1798" spans="1:2" x14ac:dyDescent="0.2">
      <c r="A1798">
        <v>1792</v>
      </c>
      <c r="B1798" t="s">
        <v>54</v>
      </c>
    </row>
    <row r="1799" spans="1:2" x14ac:dyDescent="0.2">
      <c r="A1799">
        <v>1793</v>
      </c>
      <c r="B1799" t="s">
        <v>54</v>
      </c>
    </row>
    <row r="1800" spans="1:2" x14ac:dyDescent="0.2">
      <c r="A1800">
        <v>1794</v>
      </c>
      <c r="B1800" t="s">
        <v>54</v>
      </c>
    </row>
    <row r="1801" spans="1:2" x14ac:dyDescent="0.2">
      <c r="A1801">
        <v>1795</v>
      </c>
      <c r="B1801" t="s">
        <v>54</v>
      </c>
    </row>
    <row r="1802" spans="1:2" x14ac:dyDescent="0.2">
      <c r="A1802">
        <v>1796</v>
      </c>
      <c r="B1802" t="s">
        <v>54</v>
      </c>
    </row>
    <row r="1803" spans="1:2" x14ac:dyDescent="0.2">
      <c r="A1803">
        <v>1797</v>
      </c>
      <c r="B1803" t="s">
        <v>54</v>
      </c>
    </row>
    <row r="1804" spans="1:2" x14ac:dyDescent="0.2">
      <c r="A1804">
        <v>1798</v>
      </c>
      <c r="B1804" t="s">
        <v>54</v>
      </c>
    </row>
    <row r="1805" spans="1:2" x14ac:dyDescent="0.2">
      <c r="A1805">
        <v>1799</v>
      </c>
      <c r="B1805" t="s">
        <v>54</v>
      </c>
    </row>
    <row r="1806" spans="1:2" x14ac:dyDescent="0.2">
      <c r="A1806">
        <v>1800</v>
      </c>
      <c r="B1806" t="s">
        <v>54</v>
      </c>
    </row>
    <row r="1807" spans="1:2" x14ac:dyDescent="0.2">
      <c r="A1807">
        <v>1801</v>
      </c>
      <c r="B1807" t="s">
        <v>54</v>
      </c>
    </row>
    <row r="1808" spans="1:2" x14ac:dyDescent="0.2">
      <c r="A1808">
        <v>1802</v>
      </c>
      <c r="B1808" t="s">
        <v>54</v>
      </c>
    </row>
    <row r="1809" spans="1:2" x14ac:dyDescent="0.2">
      <c r="A1809">
        <v>1803</v>
      </c>
      <c r="B1809" t="s">
        <v>54</v>
      </c>
    </row>
    <row r="1810" spans="1:2" x14ac:dyDescent="0.2">
      <c r="A1810">
        <v>1804</v>
      </c>
      <c r="B1810" t="s">
        <v>54</v>
      </c>
    </row>
    <row r="1811" spans="1:2" x14ac:dyDescent="0.2">
      <c r="A1811">
        <v>1805</v>
      </c>
      <c r="B1811" t="s">
        <v>54</v>
      </c>
    </row>
    <row r="1812" spans="1:2" x14ac:dyDescent="0.2">
      <c r="A1812">
        <v>1806</v>
      </c>
      <c r="B1812" t="s">
        <v>54</v>
      </c>
    </row>
    <row r="1813" spans="1:2" x14ac:dyDescent="0.2">
      <c r="A1813">
        <v>1807</v>
      </c>
      <c r="B1813" t="s">
        <v>54</v>
      </c>
    </row>
    <row r="1814" spans="1:2" x14ac:dyDescent="0.2">
      <c r="A1814">
        <v>1808</v>
      </c>
      <c r="B1814" t="s">
        <v>54</v>
      </c>
    </row>
    <row r="1815" spans="1:2" x14ac:dyDescent="0.2">
      <c r="A1815">
        <v>1809</v>
      </c>
      <c r="B1815" t="s">
        <v>54</v>
      </c>
    </row>
    <row r="1816" spans="1:2" x14ac:dyDescent="0.2">
      <c r="A1816">
        <v>1810</v>
      </c>
      <c r="B1816" t="s">
        <v>54</v>
      </c>
    </row>
    <row r="1817" spans="1:2" x14ac:dyDescent="0.2">
      <c r="A1817">
        <v>1811</v>
      </c>
      <c r="B1817" t="s">
        <v>54</v>
      </c>
    </row>
    <row r="1818" spans="1:2" x14ac:dyDescent="0.2">
      <c r="A1818">
        <v>1812</v>
      </c>
      <c r="B1818" t="s">
        <v>54</v>
      </c>
    </row>
    <row r="1819" spans="1:2" x14ac:dyDescent="0.2">
      <c r="A1819">
        <v>1813</v>
      </c>
      <c r="B1819" t="s">
        <v>54</v>
      </c>
    </row>
    <row r="1820" spans="1:2" x14ac:dyDescent="0.2">
      <c r="A1820">
        <v>1814</v>
      </c>
      <c r="B1820" t="s">
        <v>54</v>
      </c>
    </row>
    <row r="1821" spans="1:2" x14ac:dyDescent="0.2">
      <c r="A1821">
        <v>1815</v>
      </c>
      <c r="B1821" t="s">
        <v>54</v>
      </c>
    </row>
    <row r="1822" spans="1:2" x14ac:dyDescent="0.2">
      <c r="A1822">
        <v>1816</v>
      </c>
      <c r="B1822" t="s">
        <v>54</v>
      </c>
    </row>
    <row r="1823" spans="1:2" x14ac:dyDescent="0.2">
      <c r="A1823">
        <v>1817</v>
      </c>
      <c r="B1823" t="s">
        <v>54</v>
      </c>
    </row>
    <row r="1824" spans="1:2" x14ac:dyDescent="0.2">
      <c r="A1824">
        <v>1818</v>
      </c>
      <c r="B1824" t="s">
        <v>54</v>
      </c>
    </row>
    <row r="1825" spans="1:2" x14ac:dyDescent="0.2">
      <c r="A1825">
        <v>1819</v>
      </c>
      <c r="B1825" t="s">
        <v>54</v>
      </c>
    </row>
    <row r="1826" spans="1:2" x14ac:dyDescent="0.2">
      <c r="A1826">
        <v>1820</v>
      </c>
      <c r="B1826" t="s">
        <v>54</v>
      </c>
    </row>
    <row r="1827" spans="1:2" x14ac:dyDescent="0.2">
      <c r="A1827">
        <v>1821</v>
      </c>
      <c r="B1827" t="s">
        <v>54</v>
      </c>
    </row>
    <row r="1828" spans="1:2" x14ac:dyDescent="0.2">
      <c r="A1828">
        <v>1822</v>
      </c>
      <c r="B1828" t="s">
        <v>54</v>
      </c>
    </row>
    <row r="1829" spans="1:2" x14ac:dyDescent="0.2">
      <c r="A1829">
        <v>1823</v>
      </c>
      <c r="B1829" t="s">
        <v>54</v>
      </c>
    </row>
    <row r="1830" spans="1:2" x14ac:dyDescent="0.2">
      <c r="A1830">
        <v>1824</v>
      </c>
      <c r="B1830" t="s">
        <v>54</v>
      </c>
    </row>
    <row r="1831" spans="1:2" x14ac:dyDescent="0.2">
      <c r="A1831">
        <v>1825</v>
      </c>
      <c r="B1831" t="s">
        <v>54</v>
      </c>
    </row>
    <row r="1832" spans="1:2" x14ac:dyDescent="0.2">
      <c r="A1832">
        <v>1826</v>
      </c>
      <c r="B1832" t="s">
        <v>54</v>
      </c>
    </row>
    <row r="1833" spans="1:2" x14ac:dyDescent="0.2">
      <c r="A1833">
        <v>1827</v>
      </c>
      <c r="B1833" t="s">
        <v>54</v>
      </c>
    </row>
    <row r="1834" spans="1:2" x14ac:dyDescent="0.2">
      <c r="A1834">
        <v>1828</v>
      </c>
      <c r="B1834" t="s">
        <v>54</v>
      </c>
    </row>
    <row r="1835" spans="1:2" x14ac:dyDescent="0.2">
      <c r="A1835">
        <v>1829</v>
      </c>
      <c r="B1835" t="s">
        <v>54</v>
      </c>
    </row>
    <row r="1836" spans="1:2" x14ac:dyDescent="0.2">
      <c r="A1836">
        <v>1830</v>
      </c>
      <c r="B1836" t="s">
        <v>54</v>
      </c>
    </row>
    <row r="1837" spans="1:2" x14ac:dyDescent="0.2">
      <c r="A1837">
        <v>1831</v>
      </c>
      <c r="B1837" t="s">
        <v>54</v>
      </c>
    </row>
    <row r="1838" spans="1:2" x14ac:dyDescent="0.2">
      <c r="A1838">
        <v>1832</v>
      </c>
      <c r="B1838" t="s">
        <v>54</v>
      </c>
    </row>
    <row r="1839" spans="1:2" x14ac:dyDescent="0.2">
      <c r="A1839">
        <v>1833</v>
      </c>
      <c r="B1839" t="s">
        <v>54</v>
      </c>
    </row>
    <row r="1840" spans="1:2" x14ac:dyDescent="0.2">
      <c r="A1840">
        <v>1834</v>
      </c>
      <c r="B1840" t="s">
        <v>54</v>
      </c>
    </row>
    <row r="1841" spans="1:2" x14ac:dyDescent="0.2">
      <c r="A1841">
        <v>1835</v>
      </c>
      <c r="B1841" t="s">
        <v>54</v>
      </c>
    </row>
    <row r="1842" spans="1:2" x14ac:dyDescent="0.2">
      <c r="A1842">
        <v>1836</v>
      </c>
      <c r="B1842" t="s">
        <v>54</v>
      </c>
    </row>
    <row r="1843" spans="1:2" x14ac:dyDescent="0.2">
      <c r="A1843">
        <v>1837</v>
      </c>
      <c r="B1843" t="s">
        <v>54</v>
      </c>
    </row>
    <row r="1844" spans="1:2" x14ac:dyDescent="0.2">
      <c r="A1844">
        <v>1838</v>
      </c>
      <c r="B1844" t="s">
        <v>54</v>
      </c>
    </row>
    <row r="1845" spans="1:2" x14ac:dyDescent="0.2">
      <c r="A1845">
        <v>1839</v>
      </c>
      <c r="B1845" t="s">
        <v>54</v>
      </c>
    </row>
    <row r="1846" spans="1:2" x14ac:dyDescent="0.2">
      <c r="A1846">
        <v>1840</v>
      </c>
      <c r="B1846" t="s">
        <v>54</v>
      </c>
    </row>
    <row r="1847" spans="1:2" x14ac:dyDescent="0.2">
      <c r="A1847">
        <v>1841</v>
      </c>
      <c r="B1847" t="s">
        <v>54</v>
      </c>
    </row>
    <row r="1848" spans="1:2" x14ac:dyDescent="0.2">
      <c r="A1848">
        <v>1842</v>
      </c>
      <c r="B1848" t="s">
        <v>54</v>
      </c>
    </row>
    <row r="1849" spans="1:2" x14ac:dyDescent="0.2">
      <c r="A1849">
        <v>1843</v>
      </c>
      <c r="B1849" t="s">
        <v>54</v>
      </c>
    </row>
    <row r="1850" spans="1:2" x14ac:dyDescent="0.2">
      <c r="A1850">
        <v>1844</v>
      </c>
      <c r="B1850" t="s">
        <v>54</v>
      </c>
    </row>
    <row r="1851" spans="1:2" x14ac:dyDescent="0.2">
      <c r="A1851">
        <v>1845</v>
      </c>
      <c r="B1851" t="s">
        <v>54</v>
      </c>
    </row>
    <row r="1852" spans="1:2" x14ac:dyDescent="0.2">
      <c r="A1852">
        <v>1846</v>
      </c>
      <c r="B1852" t="s">
        <v>54</v>
      </c>
    </row>
    <row r="1853" spans="1:2" x14ac:dyDescent="0.2">
      <c r="A1853">
        <v>1847</v>
      </c>
      <c r="B1853" t="s">
        <v>54</v>
      </c>
    </row>
    <row r="1854" spans="1:2" x14ac:dyDescent="0.2">
      <c r="A1854">
        <v>1848</v>
      </c>
      <c r="B1854" t="s">
        <v>54</v>
      </c>
    </row>
    <row r="1855" spans="1:2" x14ac:dyDescent="0.2">
      <c r="A1855">
        <v>1849</v>
      </c>
      <c r="B1855" t="s">
        <v>54</v>
      </c>
    </row>
    <row r="1856" spans="1:2" x14ac:dyDescent="0.2">
      <c r="A1856">
        <v>1850</v>
      </c>
      <c r="B1856" t="s">
        <v>54</v>
      </c>
    </row>
    <row r="1857" spans="1:2" x14ac:dyDescent="0.2">
      <c r="A1857">
        <v>1851</v>
      </c>
      <c r="B1857" t="s">
        <v>54</v>
      </c>
    </row>
    <row r="1858" spans="1:2" x14ac:dyDescent="0.2">
      <c r="A1858">
        <v>1852</v>
      </c>
      <c r="B1858" t="s">
        <v>54</v>
      </c>
    </row>
    <row r="1859" spans="1:2" x14ac:dyDescent="0.2">
      <c r="A1859">
        <v>1853</v>
      </c>
      <c r="B1859" t="s">
        <v>54</v>
      </c>
    </row>
    <row r="1860" spans="1:2" x14ac:dyDescent="0.2">
      <c r="A1860">
        <v>1854</v>
      </c>
      <c r="B1860" t="s">
        <v>54</v>
      </c>
    </row>
    <row r="1861" spans="1:2" x14ac:dyDescent="0.2">
      <c r="A1861">
        <v>1855</v>
      </c>
      <c r="B1861" t="s">
        <v>54</v>
      </c>
    </row>
    <row r="1862" spans="1:2" x14ac:dyDescent="0.2">
      <c r="A1862">
        <v>1856</v>
      </c>
      <c r="B1862" t="s">
        <v>54</v>
      </c>
    </row>
    <row r="1863" spans="1:2" x14ac:dyDescent="0.2">
      <c r="A1863">
        <v>1857</v>
      </c>
      <c r="B1863" t="s">
        <v>54</v>
      </c>
    </row>
    <row r="1864" spans="1:2" x14ac:dyDescent="0.2">
      <c r="A1864">
        <v>1858</v>
      </c>
      <c r="B1864" t="s">
        <v>54</v>
      </c>
    </row>
    <row r="1865" spans="1:2" x14ac:dyDescent="0.2">
      <c r="A1865">
        <v>1859</v>
      </c>
      <c r="B1865" t="s">
        <v>54</v>
      </c>
    </row>
    <row r="1866" spans="1:2" x14ac:dyDescent="0.2">
      <c r="A1866">
        <v>1860</v>
      </c>
      <c r="B1866" t="s">
        <v>54</v>
      </c>
    </row>
    <row r="1867" spans="1:2" x14ac:dyDescent="0.2">
      <c r="A1867">
        <v>1861</v>
      </c>
      <c r="B1867" t="s">
        <v>54</v>
      </c>
    </row>
    <row r="1868" spans="1:2" x14ac:dyDescent="0.2">
      <c r="A1868">
        <v>1862</v>
      </c>
      <c r="B1868" t="s">
        <v>54</v>
      </c>
    </row>
    <row r="1869" spans="1:2" x14ac:dyDescent="0.2">
      <c r="A1869">
        <v>1863</v>
      </c>
      <c r="B1869" t="s">
        <v>54</v>
      </c>
    </row>
    <row r="1870" spans="1:2" x14ac:dyDescent="0.2">
      <c r="A1870">
        <v>1864</v>
      </c>
      <c r="B1870" t="s">
        <v>54</v>
      </c>
    </row>
    <row r="1871" spans="1:2" x14ac:dyDescent="0.2">
      <c r="A1871">
        <v>1865</v>
      </c>
      <c r="B1871" t="s">
        <v>54</v>
      </c>
    </row>
    <row r="1872" spans="1:2" x14ac:dyDescent="0.2">
      <c r="A1872">
        <v>1866</v>
      </c>
      <c r="B1872" t="s">
        <v>54</v>
      </c>
    </row>
    <row r="1873" spans="1:2" x14ac:dyDescent="0.2">
      <c r="A1873">
        <v>1867</v>
      </c>
      <c r="B1873" t="s">
        <v>54</v>
      </c>
    </row>
    <row r="1874" spans="1:2" x14ac:dyDescent="0.2">
      <c r="A1874">
        <v>1868</v>
      </c>
      <c r="B1874" t="s">
        <v>54</v>
      </c>
    </row>
    <row r="1875" spans="1:2" x14ac:dyDescent="0.2">
      <c r="A1875">
        <v>1869</v>
      </c>
      <c r="B1875" t="s">
        <v>54</v>
      </c>
    </row>
    <row r="1876" spans="1:2" x14ac:dyDescent="0.2">
      <c r="A1876">
        <v>1870</v>
      </c>
      <c r="B1876" t="s">
        <v>54</v>
      </c>
    </row>
    <row r="1877" spans="1:2" x14ac:dyDescent="0.2">
      <c r="A1877">
        <v>1871</v>
      </c>
      <c r="B1877" t="s">
        <v>54</v>
      </c>
    </row>
    <row r="1878" spans="1:2" x14ac:dyDescent="0.2">
      <c r="A1878">
        <v>1872</v>
      </c>
      <c r="B1878" t="s">
        <v>54</v>
      </c>
    </row>
    <row r="1879" spans="1:2" x14ac:dyDescent="0.2">
      <c r="A1879">
        <v>1873</v>
      </c>
      <c r="B1879" t="s">
        <v>54</v>
      </c>
    </row>
    <row r="1880" spans="1:2" x14ac:dyDescent="0.2">
      <c r="A1880">
        <v>1874</v>
      </c>
      <c r="B1880" t="s">
        <v>54</v>
      </c>
    </row>
    <row r="1881" spans="1:2" x14ac:dyDescent="0.2">
      <c r="A1881">
        <v>1875</v>
      </c>
      <c r="B1881" t="s">
        <v>54</v>
      </c>
    </row>
    <row r="1882" spans="1:2" x14ac:dyDescent="0.2">
      <c r="A1882">
        <v>1876</v>
      </c>
      <c r="B1882" t="s">
        <v>54</v>
      </c>
    </row>
    <row r="1883" spans="1:2" x14ac:dyDescent="0.2">
      <c r="A1883">
        <v>1877</v>
      </c>
      <c r="B1883" t="s">
        <v>54</v>
      </c>
    </row>
    <row r="1884" spans="1:2" x14ac:dyDescent="0.2">
      <c r="A1884">
        <v>1878</v>
      </c>
      <c r="B1884" t="s">
        <v>54</v>
      </c>
    </row>
    <row r="1885" spans="1:2" x14ac:dyDescent="0.2">
      <c r="A1885">
        <v>1879</v>
      </c>
      <c r="B1885" t="s">
        <v>54</v>
      </c>
    </row>
    <row r="1886" spans="1:2" x14ac:dyDescent="0.2">
      <c r="A1886">
        <v>1880</v>
      </c>
      <c r="B1886" t="s">
        <v>54</v>
      </c>
    </row>
    <row r="1887" spans="1:2" x14ac:dyDescent="0.2">
      <c r="A1887">
        <v>1881</v>
      </c>
      <c r="B1887" t="s">
        <v>54</v>
      </c>
    </row>
    <row r="1888" spans="1:2" x14ac:dyDescent="0.2">
      <c r="A1888">
        <v>1882</v>
      </c>
      <c r="B1888" t="s">
        <v>54</v>
      </c>
    </row>
    <row r="1889" spans="1:2" x14ac:dyDescent="0.2">
      <c r="A1889">
        <v>1883</v>
      </c>
      <c r="B1889" t="s">
        <v>54</v>
      </c>
    </row>
    <row r="1890" spans="1:2" x14ac:dyDescent="0.2">
      <c r="A1890">
        <v>1884</v>
      </c>
      <c r="B1890" t="s">
        <v>54</v>
      </c>
    </row>
    <row r="1891" spans="1:2" x14ac:dyDescent="0.2">
      <c r="A1891">
        <v>1885</v>
      </c>
      <c r="B1891" t="s">
        <v>54</v>
      </c>
    </row>
    <row r="1892" spans="1:2" x14ac:dyDescent="0.2">
      <c r="A1892">
        <v>1886</v>
      </c>
      <c r="B1892" t="s">
        <v>54</v>
      </c>
    </row>
    <row r="1893" spans="1:2" x14ac:dyDescent="0.2">
      <c r="A1893">
        <v>1887</v>
      </c>
      <c r="B1893" t="s">
        <v>54</v>
      </c>
    </row>
    <row r="1894" spans="1:2" x14ac:dyDescent="0.2">
      <c r="A1894">
        <v>1888</v>
      </c>
      <c r="B1894" t="s">
        <v>54</v>
      </c>
    </row>
    <row r="1895" spans="1:2" x14ac:dyDescent="0.2">
      <c r="A1895">
        <v>1889</v>
      </c>
      <c r="B1895" t="s">
        <v>54</v>
      </c>
    </row>
    <row r="1896" spans="1:2" x14ac:dyDescent="0.2">
      <c r="A1896">
        <v>1890</v>
      </c>
      <c r="B1896" t="s">
        <v>54</v>
      </c>
    </row>
    <row r="1897" spans="1:2" x14ac:dyDescent="0.2">
      <c r="A1897">
        <v>1891</v>
      </c>
      <c r="B1897" t="s">
        <v>54</v>
      </c>
    </row>
    <row r="1898" spans="1:2" x14ac:dyDescent="0.2">
      <c r="A1898">
        <v>1892</v>
      </c>
      <c r="B1898" t="s">
        <v>54</v>
      </c>
    </row>
    <row r="1899" spans="1:2" x14ac:dyDescent="0.2">
      <c r="A1899">
        <v>1893</v>
      </c>
      <c r="B1899" t="s">
        <v>54</v>
      </c>
    </row>
    <row r="1900" spans="1:2" x14ac:dyDescent="0.2">
      <c r="A1900">
        <v>1894</v>
      </c>
      <c r="B1900" t="s">
        <v>54</v>
      </c>
    </row>
    <row r="1901" spans="1:2" x14ac:dyDescent="0.2">
      <c r="A1901">
        <v>1895</v>
      </c>
      <c r="B1901" t="s">
        <v>54</v>
      </c>
    </row>
    <row r="1902" spans="1:2" x14ac:dyDescent="0.2">
      <c r="A1902">
        <v>1896</v>
      </c>
      <c r="B1902" t="s">
        <v>54</v>
      </c>
    </row>
    <row r="1903" spans="1:2" x14ac:dyDescent="0.2">
      <c r="A1903">
        <v>1897</v>
      </c>
      <c r="B1903" t="s">
        <v>54</v>
      </c>
    </row>
    <row r="1904" spans="1:2" x14ac:dyDescent="0.2">
      <c r="A1904">
        <v>1898</v>
      </c>
      <c r="B1904" t="s">
        <v>54</v>
      </c>
    </row>
    <row r="1905" spans="1:2" x14ac:dyDescent="0.2">
      <c r="A1905">
        <v>1899</v>
      </c>
      <c r="B1905" t="s">
        <v>54</v>
      </c>
    </row>
    <row r="1906" spans="1:2" x14ac:dyDescent="0.2">
      <c r="A1906">
        <v>1900</v>
      </c>
      <c r="B1906" t="s">
        <v>54</v>
      </c>
    </row>
    <row r="1907" spans="1:2" x14ac:dyDescent="0.2">
      <c r="A1907">
        <v>1901</v>
      </c>
      <c r="B1907" t="s">
        <v>54</v>
      </c>
    </row>
    <row r="1908" spans="1:2" x14ac:dyDescent="0.2">
      <c r="A1908">
        <v>1902</v>
      </c>
      <c r="B1908" t="s">
        <v>54</v>
      </c>
    </row>
    <row r="1909" spans="1:2" x14ac:dyDescent="0.2">
      <c r="A1909">
        <v>1903</v>
      </c>
      <c r="B1909" t="s">
        <v>54</v>
      </c>
    </row>
    <row r="1910" spans="1:2" x14ac:dyDescent="0.2">
      <c r="A1910">
        <v>1904</v>
      </c>
      <c r="B1910" t="s">
        <v>54</v>
      </c>
    </row>
    <row r="1911" spans="1:2" x14ac:dyDescent="0.2">
      <c r="A1911">
        <v>1905</v>
      </c>
      <c r="B1911" t="s">
        <v>54</v>
      </c>
    </row>
    <row r="1912" spans="1:2" x14ac:dyDescent="0.2">
      <c r="A1912">
        <v>1906</v>
      </c>
      <c r="B1912" t="s">
        <v>54</v>
      </c>
    </row>
    <row r="1913" spans="1:2" x14ac:dyDescent="0.2">
      <c r="A1913">
        <v>1907</v>
      </c>
      <c r="B1913" t="s">
        <v>54</v>
      </c>
    </row>
    <row r="1914" spans="1:2" x14ac:dyDescent="0.2">
      <c r="A1914">
        <v>1908</v>
      </c>
      <c r="B1914" t="s">
        <v>54</v>
      </c>
    </row>
    <row r="1915" spans="1:2" x14ac:dyDescent="0.2">
      <c r="A1915">
        <v>1909</v>
      </c>
      <c r="B1915" t="s">
        <v>54</v>
      </c>
    </row>
    <row r="1916" spans="1:2" x14ac:dyDescent="0.2">
      <c r="A1916">
        <v>1910</v>
      </c>
      <c r="B1916" t="s">
        <v>54</v>
      </c>
    </row>
    <row r="1917" spans="1:2" x14ac:dyDescent="0.2">
      <c r="A1917">
        <v>1911</v>
      </c>
      <c r="B1917" t="s">
        <v>54</v>
      </c>
    </row>
    <row r="1918" spans="1:2" x14ac:dyDescent="0.2">
      <c r="A1918">
        <v>1912</v>
      </c>
      <c r="B1918" t="s">
        <v>54</v>
      </c>
    </row>
    <row r="1919" spans="1:2" x14ac:dyDescent="0.2">
      <c r="A1919">
        <v>1913</v>
      </c>
      <c r="B1919" t="s">
        <v>54</v>
      </c>
    </row>
    <row r="1920" spans="1:2" x14ac:dyDescent="0.2">
      <c r="A1920">
        <v>1914</v>
      </c>
      <c r="B1920" t="s">
        <v>54</v>
      </c>
    </row>
    <row r="1921" spans="1:2" x14ac:dyDescent="0.2">
      <c r="A1921">
        <v>1915</v>
      </c>
      <c r="B1921" t="s">
        <v>54</v>
      </c>
    </row>
    <row r="1922" spans="1:2" x14ac:dyDescent="0.2">
      <c r="A1922">
        <v>1916</v>
      </c>
      <c r="B1922" t="s">
        <v>54</v>
      </c>
    </row>
    <row r="1923" spans="1:2" x14ac:dyDescent="0.2">
      <c r="A1923">
        <v>1917</v>
      </c>
      <c r="B1923" t="s">
        <v>54</v>
      </c>
    </row>
    <row r="1924" spans="1:2" x14ac:dyDescent="0.2">
      <c r="A1924">
        <v>1918</v>
      </c>
      <c r="B1924" t="s">
        <v>54</v>
      </c>
    </row>
    <row r="1925" spans="1:2" x14ac:dyDescent="0.2">
      <c r="A1925">
        <v>1919</v>
      </c>
      <c r="B1925" t="s">
        <v>54</v>
      </c>
    </row>
    <row r="1926" spans="1:2" x14ac:dyDescent="0.2">
      <c r="A1926">
        <v>1920</v>
      </c>
      <c r="B1926" t="s">
        <v>54</v>
      </c>
    </row>
    <row r="1927" spans="1:2" x14ac:dyDescent="0.2">
      <c r="A1927">
        <v>1921</v>
      </c>
      <c r="B1927" t="s">
        <v>54</v>
      </c>
    </row>
    <row r="1928" spans="1:2" x14ac:dyDescent="0.2">
      <c r="A1928">
        <v>1922</v>
      </c>
      <c r="B1928" t="s">
        <v>54</v>
      </c>
    </row>
    <row r="1929" spans="1:2" x14ac:dyDescent="0.2">
      <c r="A1929">
        <v>1923</v>
      </c>
      <c r="B1929" t="s">
        <v>54</v>
      </c>
    </row>
    <row r="1930" spans="1:2" x14ac:dyDescent="0.2">
      <c r="A1930">
        <v>1924</v>
      </c>
      <c r="B1930" t="s">
        <v>54</v>
      </c>
    </row>
    <row r="1931" spans="1:2" x14ac:dyDescent="0.2">
      <c r="A1931">
        <v>1925</v>
      </c>
      <c r="B1931" t="s">
        <v>54</v>
      </c>
    </row>
    <row r="1932" spans="1:2" x14ac:dyDescent="0.2">
      <c r="A1932">
        <v>1926</v>
      </c>
      <c r="B1932" t="s">
        <v>54</v>
      </c>
    </row>
    <row r="1933" spans="1:2" x14ac:dyDescent="0.2">
      <c r="A1933">
        <v>1927</v>
      </c>
      <c r="B1933" t="s">
        <v>54</v>
      </c>
    </row>
    <row r="1934" spans="1:2" x14ac:dyDescent="0.2">
      <c r="A1934">
        <v>1928</v>
      </c>
      <c r="B1934" t="s">
        <v>54</v>
      </c>
    </row>
    <row r="1935" spans="1:2" x14ac:dyDescent="0.2">
      <c r="A1935">
        <v>1929</v>
      </c>
      <c r="B1935" t="s">
        <v>54</v>
      </c>
    </row>
    <row r="1936" spans="1:2" x14ac:dyDescent="0.2">
      <c r="A1936">
        <v>1930</v>
      </c>
      <c r="B1936" t="s">
        <v>54</v>
      </c>
    </row>
    <row r="1937" spans="1:2" x14ac:dyDescent="0.2">
      <c r="A1937">
        <v>1931</v>
      </c>
      <c r="B1937" t="s">
        <v>54</v>
      </c>
    </row>
    <row r="1938" spans="1:2" x14ac:dyDescent="0.2">
      <c r="A1938">
        <v>1932</v>
      </c>
      <c r="B1938" t="s">
        <v>54</v>
      </c>
    </row>
    <row r="1939" spans="1:2" x14ac:dyDescent="0.2">
      <c r="A1939">
        <v>1933</v>
      </c>
      <c r="B1939" t="s">
        <v>54</v>
      </c>
    </row>
    <row r="1940" spans="1:2" x14ac:dyDescent="0.2">
      <c r="A1940">
        <v>1934</v>
      </c>
      <c r="B1940" t="s">
        <v>54</v>
      </c>
    </row>
    <row r="1941" spans="1:2" x14ac:dyDescent="0.2">
      <c r="A1941">
        <v>1935</v>
      </c>
      <c r="B1941" t="s">
        <v>54</v>
      </c>
    </row>
    <row r="1942" spans="1:2" x14ac:dyDescent="0.2">
      <c r="A1942">
        <v>1936</v>
      </c>
      <c r="B1942" t="s">
        <v>54</v>
      </c>
    </row>
    <row r="1943" spans="1:2" x14ac:dyDescent="0.2">
      <c r="A1943">
        <v>1937</v>
      </c>
      <c r="B1943" t="s">
        <v>54</v>
      </c>
    </row>
    <row r="1944" spans="1:2" x14ac:dyDescent="0.2">
      <c r="A1944">
        <v>1938</v>
      </c>
      <c r="B1944" t="s">
        <v>54</v>
      </c>
    </row>
    <row r="1945" spans="1:2" x14ac:dyDescent="0.2">
      <c r="A1945">
        <v>1939</v>
      </c>
      <c r="B1945" t="s">
        <v>54</v>
      </c>
    </row>
    <row r="1946" spans="1:2" x14ac:dyDescent="0.2">
      <c r="A1946">
        <v>1940</v>
      </c>
      <c r="B1946" t="s">
        <v>54</v>
      </c>
    </row>
    <row r="1947" spans="1:2" x14ac:dyDescent="0.2">
      <c r="A1947">
        <v>1941</v>
      </c>
      <c r="B1947" t="s">
        <v>54</v>
      </c>
    </row>
    <row r="1948" spans="1:2" x14ac:dyDescent="0.2">
      <c r="A1948">
        <v>1942</v>
      </c>
      <c r="B1948" t="s">
        <v>54</v>
      </c>
    </row>
    <row r="1949" spans="1:2" x14ac:dyDescent="0.2">
      <c r="A1949">
        <v>1943</v>
      </c>
      <c r="B1949" t="s">
        <v>54</v>
      </c>
    </row>
    <row r="1950" spans="1:2" x14ac:dyDescent="0.2">
      <c r="A1950">
        <v>1944</v>
      </c>
      <c r="B1950" t="s">
        <v>54</v>
      </c>
    </row>
    <row r="1951" spans="1:2" x14ac:dyDescent="0.2">
      <c r="A1951">
        <v>1945</v>
      </c>
      <c r="B1951" t="s">
        <v>54</v>
      </c>
    </row>
    <row r="1952" spans="1:2" x14ac:dyDescent="0.2">
      <c r="A1952">
        <v>1946</v>
      </c>
      <c r="B1952" t="s">
        <v>54</v>
      </c>
    </row>
    <row r="1953" spans="1:2" x14ac:dyDescent="0.2">
      <c r="A1953">
        <v>1947</v>
      </c>
      <c r="B1953" t="s">
        <v>54</v>
      </c>
    </row>
    <row r="1954" spans="1:2" x14ac:dyDescent="0.2">
      <c r="A1954">
        <v>1948</v>
      </c>
      <c r="B1954" t="s">
        <v>54</v>
      </c>
    </row>
    <row r="1955" spans="1:2" x14ac:dyDescent="0.2">
      <c r="A1955">
        <v>1949</v>
      </c>
      <c r="B1955" t="s">
        <v>54</v>
      </c>
    </row>
    <row r="1956" spans="1:2" x14ac:dyDescent="0.2">
      <c r="A1956">
        <v>1950</v>
      </c>
      <c r="B1956" t="s">
        <v>54</v>
      </c>
    </row>
    <row r="1957" spans="1:2" x14ac:dyDescent="0.2">
      <c r="A1957">
        <v>1951</v>
      </c>
      <c r="B1957" t="s">
        <v>54</v>
      </c>
    </row>
    <row r="1958" spans="1:2" x14ac:dyDescent="0.2">
      <c r="A1958">
        <v>1952</v>
      </c>
      <c r="B1958" t="s">
        <v>54</v>
      </c>
    </row>
    <row r="1959" spans="1:2" x14ac:dyDescent="0.2">
      <c r="A1959">
        <v>1953</v>
      </c>
      <c r="B1959" t="s">
        <v>54</v>
      </c>
    </row>
    <row r="1960" spans="1:2" x14ac:dyDescent="0.2">
      <c r="A1960">
        <v>1954</v>
      </c>
      <c r="B1960" t="s">
        <v>54</v>
      </c>
    </row>
    <row r="1961" spans="1:2" x14ac:dyDescent="0.2">
      <c r="A1961">
        <v>1955</v>
      </c>
      <c r="B1961" t="s">
        <v>54</v>
      </c>
    </row>
    <row r="1962" spans="1:2" x14ac:dyDescent="0.2">
      <c r="A1962">
        <v>1956</v>
      </c>
      <c r="B1962" t="s">
        <v>54</v>
      </c>
    </row>
    <row r="1963" spans="1:2" x14ac:dyDescent="0.2">
      <c r="A1963">
        <v>1957</v>
      </c>
      <c r="B1963" t="s">
        <v>54</v>
      </c>
    </row>
    <row r="1964" spans="1:2" x14ac:dyDescent="0.2">
      <c r="A1964">
        <v>1958</v>
      </c>
      <c r="B1964" t="s">
        <v>54</v>
      </c>
    </row>
    <row r="1965" spans="1:2" x14ac:dyDescent="0.2">
      <c r="A1965">
        <v>1959</v>
      </c>
      <c r="B1965" t="s">
        <v>54</v>
      </c>
    </row>
    <row r="1966" spans="1:2" x14ac:dyDescent="0.2">
      <c r="A1966">
        <v>1960</v>
      </c>
      <c r="B1966" t="s">
        <v>54</v>
      </c>
    </row>
    <row r="1967" spans="1:2" x14ac:dyDescent="0.2">
      <c r="A1967">
        <v>1961</v>
      </c>
      <c r="B1967" t="s">
        <v>54</v>
      </c>
    </row>
    <row r="1968" spans="1:2" x14ac:dyDescent="0.2">
      <c r="A1968">
        <v>1962</v>
      </c>
      <c r="B1968" t="s">
        <v>54</v>
      </c>
    </row>
    <row r="1969" spans="1:2" x14ac:dyDescent="0.2">
      <c r="A1969">
        <v>1963</v>
      </c>
      <c r="B1969" t="s">
        <v>54</v>
      </c>
    </row>
    <row r="1970" spans="1:2" x14ac:dyDescent="0.2">
      <c r="A1970">
        <v>1964</v>
      </c>
      <c r="B1970" t="s">
        <v>54</v>
      </c>
    </row>
    <row r="1971" spans="1:2" x14ac:dyDescent="0.2">
      <c r="A1971">
        <v>1965</v>
      </c>
      <c r="B1971" t="s">
        <v>54</v>
      </c>
    </row>
    <row r="1972" spans="1:2" x14ac:dyDescent="0.2">
      <c r="A1972">
        <v>1966</v>
      </c>
      <c r="B1972" t="s">
        <v>54</v>
      </c>
    </row>
    <row r="1973" spans="1:2" x14ac:dyDescent="0.2">
      <c r="A1973">
        <v>1967</v>
      </c>
      <c r="B1973" t="s">
        <v>54</v>
      </c>
    </row>
    <row r="1974" spans="1:2" x14ac:dyDescent="0.2">
      <c r="A1974">
        <v>1968</v>
      </c>
      <c r="B1974" t="s">
        <v>54</v>
      </c>
    </row>
    <row r="1975" spans="1:2" x14ac:dyDescent="0.2">
      <c r="A1975">
        <v>1969</v>
      </c>
      <c r="B1975" t="s">
        <v>54</v>
      </c>
    </row>
    <row r="1976" spans="1:2" x14ac:dyDescent="0.2">
      <c r="A1976">
        <v>1970</v>
      </c>
      <c r="B1976" t="s">
        <v>54</v>
      </c>
    </row>
    <row r="1977" spans="1:2" x14ac:dyDescent="0.2">
      <c r="A1977">
        <v>1971</v>
      </c>
      <c r="B1977" t="s">
        <v>54</v>
      </c>
    </row>
    <row r="1978" spans="1:2" x14ac:dyDescent="0.2">
      <c r="A1978">
        <v>1972</v>
      </c>
      <c r="B1978" t="s">
        <v>54</v>
      </c>
    </row>
    <row r="1979" spans="1:2" x14ac:dyDescent="0.2">
      <c r="A1979">
        <v>1973</v>
      </c>
      <c r="B1979" t="s">
        <v>54</v>
      </c>
    </row>
    <row r="1980" spans="1:2" x14ac:dyDescent="0.2">
      <c r="A1980">
        <v>1974</v>
      </c>
      <c r="B1980" t="s">
        <v>54</v>
      </c>
    </row>
    <row r="1981" spans="1:2" x14ac:dyDescent="0.2">
      <c r="A1981">
        <v>1975</v>
      </c>
      <c r="B1981" t="s">
        <v>54</v>
      </c>
    </row>
    <row r="1982" spans="1:2" x14ac:dyDescent="0.2">
      <c r="A1982">
        <v>1976</v>
      </c>
      <c r="B1982" t="s">
        <v>54</v>
      </c>
    </row>
    <row r="1983" spans="1:2" x14ac:dyDescent="0.2">
      <c r="A1983">
        <v>1977</v>
      </c>
      <c r="B1983" t="s">
        <v>54</v>
      </c>
    </row>
    <row r="1984" spans="1:2" x14ac:dyDescent="0.2">
      <c r="A1984">
        <v>1978</v>
      </c>
      <c r="B1984" t="s">
        <v>54</v>
      </c>
    </row>
    <row r="1985" spans="1:2" x14ac:dyDescent="0.2">
      <c r="A1985">
        <v>1979</v>
      </c>
      <c r="B1985" t="s">
        <v>54</v>
      </c>
    </row>
    <row r="1986" spans="1:2" x14ac:dyDescent="0.2">
      <c r="A1986">
        <v>1980</v>
      </c>
      <c r="B1986" t="s">
        <v>54</v>
      </c>
    </row>
    <row r="1987" spans="1:2" x14ac:dyDescent="0.2">
      <c r="A1987">
        <v>1981</v>
      </c>
      <c r="B1987" t="s">
        <v>54</v>
      </c>
    </row>
    <row r="1988" spans="1:2" x14ac:dyDescent="0.2">
      <c r="A1988">
        <v>1982</v>
      </c>
      <c r="B1988" t="s">
        <v>54</v>
      </c>
    </row>
    <row r="1989" spans="1:2" x14ac:dyDescent="0.2">
      <c r="A1989">
        <v>1983</v>
      </c>
      <c r="B1989" t="s">
        <v>54</v>
      </c>
    </row>
    <row r="1990" spans="1:2" x14ac:dyDescent="0.2">
      <c r="A1990">
        <v>1984</v>
      </c>
      <c r="B1990" t="s">
        <v>54</v>
      </c>
    </row>
    <row r="1991" spans="1:2" x14ac:dyDescent="0.2">
      <c r="A1991">
        <v>1985</v>
      </c>
      <c r="B1991" t="s">
        <v>54</v>
      </c>
    </row>
    <row r="1992" spans="1:2" x14ac:dyDescent="0.2">
      <c r="A1992">
        <v>1986</v>
      </c>
      <c r="B1992" t="s">
        <v>54</v>
      </c>
    </row>
    <row r="1993" spans="1:2" x14ac:dyDescent="0.2">
      <c r="A1993">
        <v>1987</v>
      </c>
      <c r="B1993" t="s">
        <v>54</v>
      </c>
    </row>
    <row r="1994" spans="1:2" x14ac:dyDescent="0.2">
      <c r="A1994">
        <v>1988</v>
      </c>
      <c r="B1994" t="s">
        <v>54</v>
      </c>
    </row>
    <row r="1995" spans="1:2" x14ac:dyDescent="0.2">
      <c r="A1995">
        <v>1989</v>
      </c>
      <c r="B1995" t="s">
        <v>54</v>
      </c>
    </row>
    <row r="1996" spans="1:2" x14ac:dyDescent="0.2">
      <c r="A1996">
        <v>1990</v>
      </c>
      <c r="B1996" t="s">
        <v>54</v>
      </c>
    </row>
    <row r="1997" spans="1:2" x14ac:dyDescent="0.2">
      <c r="A1997">
        <v>1991</v>
      </c>
      <c r="B1997" t="s">
        <v>54</v>
      </c>
    </row>
    <row r="1998" spans="1:2" x14ac:dyDescent="0.2">
      <c r="A1998">
        <v>1992</v>
      </c>
      <c r="B1998" t="s">
        <v>54</v>
      </c>
    </row>
    <row r="1999" spans="1:2" x14ac:dyDescent="0.2">
      <c r="A1999">
        <v>1993</v>
      </c>
      <c r="B1999" t="s">
        <v>54</v>
      </c>
    </row>
    <row r="2000" spans="1:2" x14ac:dyDescent="0.2">
      <c r="A2000">
        <v>1994</v>
      </c>
      <c r="B2000" t="s">
        <v>54</v>
      </c>
    </row>
    <row r="2001" spans="1:2" x14ac:dyDescent="0.2">
      <c r="A2001">
        <v>1995</v>
      </c>
      <c r="B2001" t="s">
        <v>54</v>
      </c>
    </row>
    <row r="2002" spans="1:2" x14ac:dyDescent="0.2">
      <c r="A2002">
        <v>1996</v>
      </c>
      <c r="B2002" t="s">
        <v>54</v>
      </c>
    </row>
    <row r="2003" spans="1:2" x14ac:dyDescent="0.2">
      <c r="A2003">
        <v>1997</v>
      </c>
      <c r="B2003" t="s">
        <v>54</v>
      </c>
    </row>
    <row r="2004" spans="1:2" x14ac:dyDescent="0.2">
      <c r="A2004">
        <v>1998</v>
      </c>
      <c r="B2004" t="s">
        <v>54</v>
      </c>
    </row>
    <row r="2005" spans="1:2" x14ac:dyDescent="0.2">
      <c r="A2005">
        <v>1999</v>
      </c>
      <c r="B2005" t="s">
        <v>54</v>
      </c>
    </row>
    <row r="2006" spans="1:2" x14ac:dyDescent="0.2">
      <c r="A2006">
        <v>2000</v>
      </c>
      <c r="B2006" t="s">
        <v>54</v>
      </c>
    </row>
    <row r="2007" spans="1:2" x14ac:dyDescent="0.2">
      <c r="A2007">
        <v>2001</v>
      </c>
      <c r="B2007" t="s">
        <v>54</v>
      </c>
    </row>
    <row r="2008" spans="1:2" x14ac:dyDescent="0.2">
      <c r="A2008">
        <v>2002</v>
      </c>
      <c r="B2008" t="s">
        <v>54</v>
      </c>
    </row>
    <row r="2009" spans="1:2" x14ac:dyDescent="0.2">
      <c r="A2009">
        <v>2003</v>
      </c>
      <c r="B2009" t="s">
        <v>54</v>
      </c>
    </row>
    <row r="2010" spans="1:2" x14ac:dyDescent="0.2">
      <c r="A2010">
        <v>2004</v>
      </c>
      <c r="B2010" t="s">
        <v>54</v>
      </c>
    </row>
    <row r="2011" spans="1:2" x14ac:dyDescent="0.2">
      <c r="A2011">
        <v>2005</v>
      </c>
      <c r="B2011" t="s">
        <v>54</v>
      </c>
    </row>
    <row r="2012" spans="1:2" x14ac:dyDescent="0.2">
      <c r="A2012">
        <v>2006</v>
      </c>
      <c r="B2012" t="s">
        <v>54</v>
      </c>
    </row>
    <row r="2013" spans="1:2" x14ac:dyDescent="0.2">
      <c r="A2013">
        <v>2007</v>
      </c>
      <c r="B2013" t="s">
        <v>54</v>
      </c>
    </row>
    <row r="2014" spans="1:2" x14ac:dyDescent="0.2">
      <c r="A2014">
        <v>2008</v>
      </c>
      <c r="B2014" t="s">
        <v>54</v>
      </c>
    </row>
    <row r="2015" spans="1:2" x14ac:dyDescent="0.2">
      <c r="A2015">
        <v>2009</v>
      </c>
      <c r="B2015" t="s">
        <v>54</v>
      </c>
    </row>
    <row r="2016" spans="1:2" x14ac:dyDescent="0.2">
      <c r="A2016">
        <v>2010</v>
      </c>
      <c r="B2016" t="s">
        <v>54</v>
      </c>
    </row>
    <row r="2017" spans="1:2" x14ac:dyDescent="0.2">
      <c r="A2017">
        <v>2011</v>
      </c>
      <c r="B2017" t="s">
        <v>54</v>
      </c>
    </row>
    <row r="2018" spans="1:2" x14ac:dyDescent="0.2">
      <c r="A2018">
        <v>2012</v>
      </c>
      <c r="B2018" t="s">
        <v>54</v>
      </c>
    </row>
    <row r="2019" spans="1:2" x14ac:dyDescent="0.2">
      <c r="A2019">
        <v>2013</v>
      </c>
      <c r="B2019" t="s">
        <v>54</v>
      </c>
    </row>
    <row r="2020" spans="1:2" x14ac:dyDescent="0.2">
      <c r="A2020">
        <v>2014</v>
      </c>
      <c r="B2020" t="s">
        <v>54</v>
      </c>
    </row>
    <row r="2021" spans="1:2" x14ac:dyDescent="0.2">
      <c r="A2021">
        <v>2015</v>
      </c>
      <c r="B2021" t="s">
        <v>54</v>
      </c>
    </row>
    <row r="2022" spans="1:2" x14ac:dyDescent="0.2">
      <c r="A2022">
        <v>2016</v>
      </c>
      <c r="B2022" t="s">
        <v>54</v>
      </c>
    </row>
    <row r="2023" spans="1:2" x14ac:dyDescent="0.2">
      <c r="A2023">
        <v>2017</v>
      </c>
      <c r="B2023" t="s">
        <v>54</v>
      </c>
    </row>
    <row r="2024" spans="1:2" x14ac:dyDescent="0.2">
      <c r="A2024">
        <v>2018</v>
      </c>
      <c r="B2024" t="s">
        <v>54</v>
      </c>
    </row>
    <row r="2025" spans="1:2" x14ac:dyDescent="0.2">
      <c r="A2025">
        <v>2019</v>
      </c>
      <c r="B2025" t="s">
        <v>54</v>
      </c>
    </row>
    <row r="2026" spans="1:2" x14ac:dyDescent="0.2">
      <c r="A2026">
        <v>2020</v>
      </c>
      <c r="B2026" t="s">
        <v>54</v>
      </c>
    </row>
    <row r="2027" spans="1:2" x14ac:dyDescent="0.2">
      <c r="A2027">
        <v>2021</v>
      </c>
      <c r="B2027" t="s">
        <v>54</v>
      </c>
    </row>
    <row r="2028" spans="1:2" x14ac:dyDescent="0.2">
      <c r="A2028">
        <v>2022</v>
      </c>
      <c r="B2028" t="s">
        <v>54</v>
      </c>
    </row>
    <row r="2029" spans="1:2" x14ac:dyDescent="0.2">
      <c r="A2029">
        <v>2023</v>
      </c>
      <c r="B2029" t="s">
        <v>54</v>
      </c>
    </row>
    <row r="2030" spans="1:2" x14ac:dyDescent="0.2">
      <c r="A2030">
        <v>2024</v>
      </c>
      <c r="B2030" t="s">
        <v>54</v>
      </c>
    </row>
    <row r="2031" spans="1:2" x14ac:dyDescent="0.2">
      <c r="A2031">
        <v>2025</v>
      </c>
      <c r="B2031" t="s">
        <v>54</v>
      </c>
    </row>
    <row r="2032" spans="1:2" x14ac:dyDescent="0.2">
      <c r="A2032">
        <v>2026</v>
      </c>
      <c r="B2032" t="s">
        <v>54</v>
      </c>
    </row>
    <row r="2033" spans="1:2" x14ac:dyDescent="0.2">
      <c r="A2033">
        <v>2027</v>
      </c>
      <c r="B2033" t="s">
        <v>54</v>
      </c>
    </row>
    <row r="2034" spans="1:2" x14ac:dyDescent="0.2">
      <c r="A2034">
        <v>2028</v>
      </c>
      <c r="B2034" t="s">
        <v>54</v>
      </c>
    </row>
    <row r="2035" spans="1:2" x14ac:dyDescent="0.2">
      <c r="A2035">
        <v>2029</v>
      </c>
      <c r="B2035" t="s">
        <v>54</v>
      </c>
    </row>
    <row r="2036" spans="1:2" x14ac:dyDescent="0.2">
      <c r="A2036">
        <v>2030</v>
      </c>
      <c r="B2036" t="s">
        <v>54</v>
      </c>
    </row>
    <row r="2037" spans="1:2" x14ac:dyDescent="0.2">
      <c r="A2037">
        <v>2031</v>
      </c>
      <c r="B2037" t="s">
        <v>54</v>
      </c>
    </row>
    <row r="2038" spans="1:2" x14ac:dyDescent="0.2">
      <c r="A2038">
        <v>2032</v>
      </c>
      <c r="B2038" t="s">
        <v>54</v>
      </c>
    </row>
    <row r="2039" spans="1:2" x14ac:dyDescent="0.2">
      <c r="A2039">
        <v>2033</v>
      </c>
      <c r="B2039" t="s">
        <v>54</v>
      </c>
    </row>
    <row r="2040" spans="1:2" x14ac:dyDescent="0.2">
      <c r="A2040">
        <v>2034</v>
      </c>
      <c r="B2040" t="s">
        <v>54</v>
      </c>
    </row>
    <row r="2041" spans="1:2" x14ac:dyDescent="0.2">
      <c r="A2041">
        <v>2035</v>
      </c>
      <c r="B2041" t="s">
        <v>54</v>
      </c>
    </row>
    <row r="2042" spans="1:2" x14ac:dyDescent="0.2">
      <c r="A2042">
        <v>2036</v>
      </c>
      <c r="B2042" t="s">
        <v>54</v>
      </c>
    </row>
    <row r="2043" spans="1:2" x14ac:dyDescent="0.2">
      <c r="A2043">
        <v>2037</v>
      </c>
      <c r="B2043" t="s">
        <v>54</v>
      </c>
    </row>
    <row r="2044" spans="1:2" x14ac:dyDescent="0.2">
      <c r="A2044">
        <v>2038</v>
      </c>
      <c r="B2044" t="s">
        <v>54</v>
      </c>
    </row>
    <row r="2045" spans="1:2" x14ac:dyDescent="0.2">
      <c r="A2045">
        <v>2039</v>
      </c>
      <c r="B2045" t="s">
        <v>54</v>
      </c>
    </row>
    <row r="2046" spans="1:2" x14ac:dyDescent="0.2">
      <c r="A2046">
        <v>2040</v>
      </c>
      <c r="B2046" t="s">
        <v>54</v>
      </c>
    </row>
    <row r="2047" spans="1:2" x14ac:dyDescent="0.2">
      <c r="A2047">
        <v>2041</v>
      </c>
      <c r="B2047" t="s">
        <v>54</v>
      </c>
    </row>
    <row r="2048" spans="1:2" x14ac:dyDescent="0.2">
      <c r="A2048">
        <v>2042</v>
      </c>
      <c r="B2048" t="s">
        <v>54</v>
      </c>
    </row>
    <row r="2049" spans="1:2" x14ac:dyDescent="0.2">
      <c r="A2049">
        <v>2043</v>
      </c>
      <c r="B2049" t="s">
        <v>54</v>
      </c>
    </row>
    <row r="2050" spans="1:2" x14ac:dyDescent="0.2">
      <c r="A2050">
        <v>2044</v>
      </c>
      <c r="B2050" t="s">
        <v>54</v>
      </c>
    </row>
    <row r="2051" spans="1:2" x14ac:dyDescent="0.2">
      <c r="A2051">
        <v>2045</v>
      </c>
      <c r="B2051" t="s">
        <v>54</v>
      </c>
    </row>
    <row r="2052" spans="1:2" x14ac:dyDescent="0.2">
      <c r="A2052">
        <v>2046</v>
      </c>
      <c r="B2052" t="s">
        <v>54</v>
      </c>
    </row>
    <row r="2053" spans="1:2" x14ac:dyDescent="0.2">
      <c r="A2053">
        <v>2047</v>
      </c>
      <c r="B2053" t="s">
        <v>54</v>
      </c>
    </row>
    <row r="2054" spans="1:2" x14ac:dyDescent="0.2">
      <c r="A2054">
        <v>2048</v>
      </c>
      <c r="B2054" t="s">
        <v>54</v>
      </c>
    </row>
    <row r="2055" spans="1:2" x14ac:dyDescent="0.2">
      <c r="A2055">
        <v>2049</v>
      </c>
      <c r="B2055" t="s">
        <v>54</v>
      </c>
    </row>
    <row r="2056" spans="1:2" x14ac:dyDescent="0.2">
      <c r="A2056">
        <v>2050</v>
      </c>
      <c r="B2056" t="s">
        <v>54</v>
      </c>
    </row>
    <row r="2057" spans="1:2" x14ac:dyDescent="0.2">
      <c r="A2057">
        <v>2051</v>
      </c>
      <c r="B2057" t="s">
        <v>54</v>
      </c>
    </row>
    <row r="2058" spans="1:2" x14ac:dyDescent="0.2">
      <c r="A2058">
        <v>2052</v>
      </c>
      <c r="B2058" t="s">
        <v>54</v>
      </c>
    </row>
    <row r="2059" spans="1:2" x14ac:dyDescent="0.2">
      <c r="A2059">
        <v>2053</v>
      </c>
      <c r="B2059" t="s">
        <v>54</v>
      </c>
    </row>
    <row r="2060" spans="1:2" x14ac:dyDescent="0.2">
      <c r="A2060">
        <v>2054</v>
      </c>
      <c r="B2060" t="s">
        <v>54</v>
      </c>
    </row>
    <row r="2061" spans="1:2" x14ac:dyDescent="0.2">
      <c r="A2061">
        <v>2055</v>
      </c>
      <c r="B2061" t="s">
        <v>54</v>
      </c>
    </row>
    <row r="2062" spans="1:2" x14ac:dyDescent="0.2">
      <c r="A2062">
        <v>2056</v>
      </c>
      <c r="B2062" t="s">
        <v>54</v>
      </c>
    </row>
    <row r="2063" spans="1:2" x14ac:dyDescent="0.2">
      <c r="A2063">
        <v>2057</v>
      </c>
      <c r="B2063" t="s">
        <v>54</v>
      </c>
    </row>
    <row r="2064" spans="1:2" x14ac:dyDescent="0.2">
      <c r="A2064">
        <v>2058</v>
      </c>
      <c r="B2064" t="s">
        <v>54</v>
      </c>
    </row>
    <row r="2065" spans="1:2" x14ac:dyDescent="0.2">
      <c r="A2065">
        <v>2059</v>
      </c>
      <c r="B2065" t="s">
        <v>54</v>
      </c>
    </row>
    <row r="2066" spans="1:2" x14ac:dyDescent="0.2">
      <c r="A2066">
        <v>2060</v>
      </c>
      <c r="B2066" t="s">
        <v>54</v>
      </c>
    </row>
    <row r="2067" spans="1:2" x14ac:dyDescent="0.2">
      <c r="A2067">
        <v>2061</v>
      </c>
      <c r="B2067" t="s">
        <v>54</v>
      </c>
    </row>
    <row r="2068" spans="1:2" x14ac:dyDescent="0.2">
      <c r="A2068">
        <v>2062</v>
      </c>
      <c r="B2068" t="s">
        <v>54</v>
      </c>
    </row>
    <row r="2069" spans="1:2" x14ac:dyDescent="0.2">
      <c r="A2069">
        <v>2063</v>
      </c>
      <c r="B2069" t="s">
        <v>54</v>
      </c>
    </row>
    <row r="2070" spans="1:2" x14ac:dyDescent="0.2">
      <c r="A2070">
        <v>2064</v>
      </c>
      <c r="B2070" t="s">
        <v>54</v>
      </c>
    </row>
    <row r="2071" spans="1:2" x14ac:dyDescent="0.2">
      <c r="A2071">
        <v>2065</v>
      </c>
      <c r="B2071" t="s">
        <v>54</v>
      </c>
    </row>
    <row r="2072" spans="1:2" x14ac:dyDescent="0.2">
      <c r="A2072">
        <v>2066</v>
      </c>
      <c r="B2072" t="s">
        <v>54</v>
      </c>
    </row>
    <row r="2073" spans="1:2" x14ac:dyDescent="0.2">
      <c r="A2073">
        <v>2067</v>
      </c>
      <c r="B2073" t="s">
        <v>54</v>
      </c>
    </row>
    <row r="2074" spans="1:2" x14ac:dyDescent="0.2">
      <c r="A2074">
        <v>2068</v>
      </c>
      <c r="B2074" t="s">
        <v>54</v>
      </c>
    </row>
    <row r="2075" spans="1:2" x14ac:dyDescent="0.2">
      <c r="A2075">
        <v>2069</v>
      </c>
      <c r="B2075" t="s">
        <v>54</v>
      </c>
    </row>
    <row r="2076" spans="1:2" x14ac:dyDescent="0.2">
      <c r="A2076">
        <v>2070</v>
      </c>
      <c r="B2076" t="s">
        <v>54</v>
      </c>
    </row>
    <row r="2077" spans="1:2" x14ac:dyDescent="0.2">
      <c r="A2077">
        <v>2071</v>
      </c>
      <c r="B2077" t="s">
        <v>54</v>
      </c>
    </row>
    <row r="2078" spans="1:2" x14ac:dyDescent="0.2">
      <c r="A2078">
        <v>2072</v>
      </c>
      <c r="B2078" t="s">
        <v>54</v>
      </c>
    </row>
    <row r="2079" spans="1:2" x14ac:dyDescent="0.2">
      <c r="A2079">
        <v>2073</v>
      </c>
      <c r="B2079" t="s">
        <v>54</v>
      </c>
    </row>
    <row r="2080" spans="1:2" x14ac:dyDescent="0.2">
      <c r="A2080">
        <v>2074</v>
      </c>
      <c r="B2080" t="s">
        <v>54</v>
      </c>
    </row>
    <row r="2081" spans="1:2" x14ac:dyDescent="0.2">
      <c r="A2081">
        <v>2075</v>
      </c>
      <c r="B2081" t="s">
        <v>54</v>
      </c>
    </row>
    <row r="2082" spans="1:2" x14ac:dyDescent="0.2">
      <c r="A2082">
        <v>2076</v>
      </c>
      <c r="B2082" t="s">
        <v>54</v>
      </c>
    </row>
    <row r="2083" spans="1:2" x14ac:dyDescent="0.2">
      <c r="A2083">
        <v>2077</v>
      </c>
      <c r="B2083" t="s">
        <v>54</v>
      </c>
    </row>
    <row r="2084" spans="1:2" x14ac:dyDescent="0.2">
      <c r="A2084">
        <v>2078</v>
      </c>
      <c r="B2084" t="s">
        <v>54</v>
      </c>
    </row>
    <row r="2085" spans="1:2" x14ac:dyDescent="0.2">
      <c r="A2085">
        <v>2079</v>
      </c>
      <c r="B2085" t="s">
        <v>54</v>
      </c>
    </row>
    <row r="2086" spans="1:2" x14ac:dyDescent="0.2">
      <c r="A2086">
        <v>2080</v>
      </c>
      <c r="B2086" t="s">
        <v>54</v>
      </c>
    </row>
    <row r="2087" spans="1:2" x14ac:dyDescent="0.2">
      <c r="A2087">
        <v>2081</v>
      </c>
      <c r="B2087" t="s">
        <v>54</v>
      </c>
    </row>
    <row r="2088" spans="1:2" x14ac:dyDescent="0.2">
      <c r="A2088">
        <v>2082</v>
      </c>
      <c r="B2088" t="s">
        <v>54</v>
      </c>
    </row>
    <row r="2089" spans="1:2" x14ac:dyDescent="0.2">
      <c r="A2089">
        <v>2083</v>
      </c>
      <c r="B2089" t="s">
        <v>54</v>
      </c>
    </row>
    <row r="2090" spans="1:2" x14ac:dyDescent="0.2">
      <c r="A2090">
        <v>2084</v>
      </c>
      <c r="B2090" t="s">
        <v>54</v>
      </c>
    </row>
    <row r="2091" spans="1:2" x14ac:dyDescent="0.2">
      <c r="A2091">
        <v>2085</v>
      </c>
      <c r="B2091" t="s">
        <v>54</v>
      </c>
    </row>
    <row r="2092" spans="1:2" x14ac:dyDescent="0.2">
      <c r="A2092">
        <v>2086</v>
      </c>
      <c r="B2092" t="s">
        <v>54</v>
      </c>
    </row>
    <row r="2093" spans="1:2" x14ac:dyDescent="0.2">
      <c r="A2093">
        <v>2087</v>
      </c>
      <c r="B2093" t="s">
        <v>54</v>
      </c>
    </row>
    <row r="2094" spans="1:2" x14ac:dyDescent="0.2">
      <c r="A2094">
        <v>2088</v>
      </c>
      <c r="B2094" t="s">
        <v>54</v>
      </c>
    </row>
    <row r="2095" spans="1:2" x14ac:dyDescent="0.2">
      <c r="A2095">
        <v>2089</v>
      </c>
      <c r="B2095" t="s">
        <v>54</v>
      </c>
    </row>
    <row r="2096" spans="1:2" x14ac:dyDescent="0.2">
      <c r="A2096">
        <v>2090</v>
      </c>
      <c r="B2096" t="s">
        <v>54</v>
      </c>
    </row>
    <row r="2097" spans="1:2" x14ac:dyDescent="0.2">
      <c r="A2097">
        <v>2091</v>
      </c>
      <c r="B2097" t="s">
        <v>54</v>
      </c>
    </row>
    <row r="2098" spans="1:2" x14ac:dyDescent="0.2">
      <c r="A2098">
        <v>2092</v>
      </c>
      <c r="B2098" t="s">
        <v>54</v>
      </c>
    </row>
    <row r="2099" spans="1:2" x14ac:dyDescent="0.2">
      <c r="A2099">
        <v>2093</v>
      </c>
      <c r="B2099" t="s">
        <v>54</v>
      </c>
    </row>
    <row r="2100" spans="1:2" x14ac:dyDescent="0.2">
      <c r="A2100">
        <v>2094</v>
      </c>
      <c r="B2100" t="s">
        <v>54</v>
      </c>
    </row>
    <row r="2101" spans="1:2" x14ac:dyDescent="0.2">
      <c r="A2101">
        <v>2095</v>
      </c>
      <c r="B2101" t="s">
        <v>54</v>
      </c>
    </row>
    <row r="2102" spans="1:2" x14ac:dyDescent="0.2">
      <c r="A2102">
        <v>2096</v>
      </c>
      <c r="B2102" t="s">
        <v>54</v>
      </c>
    </row>
    <row r="2103" spans="1:2" x14ac:dyDescent="0.2">
      <c r="A2103">
        <v>2097</v>
      </c>
      <c r="B2103" t="s">
        <v>54</v>
      </c>
    </row>
    <row r="2104" spans="1:2" x14ac:dyDescent="0.2">
      <c r="A2104">
        <v>2098</v>
      </c>
      <c r="B2104" t="s">
        <v>54</v>
      </c>
    </row>
    <row r="2105" spans="1:2" x14ac:dyDescent="0.2">
      <c r="A2105">
        <v>2099</v>
      </c>
      <c r="B2105" t="s">
        <v>54</v>
      </c>
    </row>
    <row r="2106" spans="1:2" x14ac:dyDescent="0.2">
      <c r="A2106">
        <v>2100</v>
      </c>
      <c r="B2106" t="s">
        <v>54</v>
      </c>
    </row>
    <row r="2107" spans="1:2" x14ac:dyDescent="0.2">
      <c r="A2107">
        <v>2101</v>
      </c>
      <c r="B2107" t="s">
        <v>54</v>
      </c>
    </row>
    <row r="2108" spans="1:2" x14ac:dyDescent="0.2">
      <c r="A2108">
        <v>2102</v>
      </c>
      <c r="B2108" t="s">
        <v>54</v>
      </c>
    </row>
    <row r="2109" spans="1:2" x14ac:dyDescent="0.2">
      <c r="A2109">
        <v>2103</v>
      </c>
      <c r="B2109" t="s">
        <v>54</v>
      </c>
    </row>
    <row r="2110" spans="1:2" x14ac:dyDescent="0.2">
      <c r="A2110">
        <v>2104</v>
      </c>
      <c r="B2110" t="s">
        <v>54</v>
      </c>
    </row>
    <row r="2111" spans="1:2" x14ac:dyDescent="0.2">
      <c r="A2111">
        <v>2105</v>
      </c>
      <c r="B2111" t="s">
        <v>54</v>
      </c>
    </row>
    <row r="2112" spans="1:2" x14ac:dyDescent="0.2">
      <c r="A2112">
        <v>2106</v>
      </c>
      <c r="B2112" t="s">
        <v>54</v>
      </c>
    </row>
    <row r="2113" spans="1:2" x14ac:dyDescent="0.2">
      <c r="A2113">
        <v>2107</v>
      </c>
      <c r="B2113" t="s">
        <v>54</v>
      </c>
    </row>
    <row r="2114" spans="1:2" x14ac:dyDescent="0.2">
      <c r="A2114">
        <v>2108</v>
      </c>
      <c r="B2114" t="s">
        <v>54</v>
      </c>
    </row>
    <row r="2115" spans="1:2" x14ac:dyDescent="0.2">
      <c r="A2115">
        <v>2109</v>
      </c>
      <c r="B2115" t="s">
        <v>54</v>
      </c>
    </row>
    <row r="2116" spans="1:2" x14ac:dyDescent="0.2">
      <c r="A2116">
        <v>2110</v>
      </c>
      <c r="B2116" t="s">
        <v>54</v>
      </c>
    </row>
    <row r="2117" spans="1:2" x14ac:dyDescent="0.2">
      <c r="A2117">
        <v>2111</v>
      </c>
      <c r="B2117" t="s">
        <v>54</v>
      </c>
    </row>
    <row r="2118" spans="1:2" x14ac:dyDescent="0.2">
      <c r="A2118">
        <v>2112</v>
      </c>
      <c r="B2118" t="s">
        <v>54</v>
      </c>
    </row>
    <row r="2119" spans="1:2" x14ac:dyDescent="0.2">
      <c r="A2119">
        <v>2113</v>
      </c>
      <c r="B2119" t="s">
        <v>54</v>
      </c>
    </row>
    <row r="2120" spans="1:2" x14ac:dyDescent="0.2">
      <c r="A2120">
        <v>2114</v>
      </c>
      <c r="B2120" t="s">
        <v>54</v>
      </c>
    </row>
    <row r="2121" spans="1:2" x14ac:dyDescent="0.2">
      <c r="A2121">
        <v>2115</v>
      </c>
      <c r="B2121" t="s">
        <v>54</v>
      </c>
    </row>
    <row r="2122" spans="1:2" x14ac:dyDescent="0.2">
      <c r="A2122">
        <v>2116</v>
      </c>
      <c r="B2122" t="s">
        <v>54</v>
      </c>
    </row>
    <row r="2123" spans="1:2" x14ac:dyDescent="0.2">
      <c r="A2123">
        <v>2117</v>
      </c>
      <c r="B2123" t="s">
        <v>54</v>
      </c>
    </row>
    <row r="2124" spans="1:2" x14ac:dyDescent="0.2">
      <c r="A2124">
        <v>2118</v>
      </c>
      <c r="B2124" t="s">
        <v>54</v>
      </c>
    </row>
    <row r="2125" spans="1:2" x14ac:dyDescent="0.2">
      <c r="A2125">
        <v>2119</v>
      </c>
      <c r="B2125" t="s">
        <v>54</v>
      </c>
    </row>
    <row r="2126" spans="1:2" x14ac:dyDescent="0.2">
      <c r="A2126">
        <v>2120</v>
      </c>
      <c r="B2126" t="s">
        <v>54</v>
      </c>
    </row>
    <row r="2127" spans="1:2" x14ac:dyDescent="0.2">
      <c r="A2127">
        <v>2121</v>
      </c>
      <c r="B2127" t="s">
        <v>54</v>
      </c>
    </row>
    <row r="2128" spans="1:2" x14ac:dyDescent="0.2">
      <c r="A2128">
        <v>2122</v>
      </c>
      <c r="B2128" t="s">
        <v>54</v>
      </c>
    </row>
    <row r="2129" spans="1:2" x14ac:dyDescent="0.2">
      <c r="A2129">
        <v>2123</v>
      </c>
      <c r="B2129" t="s">
        <v>54</v>
      </c>
    </row>
    <row r="2130" spans="1:2" x14ac:dyDescent="0.2">
      <c r="A2130">
        <v>2124</v>
      </c>
      <c r="B2130" t="s">
        <v>54</v>
      </c>
    </row>
    <row r="2131" spans="1:2" x14ac:dyDescent="0.2">
      <c r="A2131">
        <v>2125</v>
      </c>
      <c r="B2131" t="s">
        <v>54</v>
      </c>
    </row>
    <row r="2132" spans="1:2" x14ac:dyDescent="0.2">
      <c r="A2132">
        <v>2126</v>
      </c>
      <c r="B2132" t="s">
        <v>54</v>
      </c>
    </row>
    <row r="2133" spans="1:2" x14ac:dyDescent="0.2">
      <c r="A2133">
        <v>2127</v>
      </c>
      <c r="B2133" t="s">
        <v>54</v>
      </c>
    </row>
    <row r="2134" spans="1:2" x14ac:dyDescent="0.2">
      <c r="A2134">
        <v>2128</v>
      </c>
      <c r="B2134" t="s">
        <v>54</v>
      </c>
    </row>
    <row r="2135" spans="1:2" x14ac:dyDescent="0.2">
      <c r="A2135">
        <v>2129</v>
      </c>
      <c r="B2135" t="s">
        <v>54</v>
      </c>
    </row>
    <row r="2136" spans="1:2" x14ac:dyDescent="0.2">
      <c r="A2136">
        <v>2130</v>
      </c>
      <c r="B2136" t="s">
        <v>54</v>
      </c>
    </row>
    <row r="2137" spans="1:2" x14ac:dyDescent="0.2">
      <c r="A2137">
        <v>2131</v>
      </c>
      <c r="B2137" t="s">
        <v>54</v>
      </c>
    </row>
    <row r="2138" spans="1:2" x14ac:dyDescent="0.2">
      <c r="A2138">
        <v>2132</v>
      </c>
      <c r="B2138" t="s">
        <v>54</v>
      </c>
    </row>
    <row r="2139" spans="1:2" x14ac:dyDescent="0.2">
      <c r="A2139">
        <v>2133</v>
      </c>
      <c r="B2139" t="s">
        <v>54</v>
      </c>
    </row>
    <row r="2140" spans="1:2" x14ac:dyDescent="0.2">
      <c r="A2140">
        <v>2134</v>
      </c>
      <c r="B2140" t="s">
        <v>54</v>
      </c>
    </row>
    <row r="2141" spans="1:2" x14ac:dyDescent="0.2">
      <c r="A2141">
        <v>2135</v>
      </c>
      <c r="B2141" t="s">
        <v>54</v>
      </c>
    </row>
    <row r="2142" spans="1:2" x14ac:dyDescent="0.2">
      <c r="A2142">
        <v>2136</v>
      </c>
      <c r="B2142" t="s">
        <v>54</v>
      </c>
    </row>
    <row r="2143" spans="1:2" x14ac:dyDescent="0.2">
      <c r="A2143">
        <v>2137</v>
      </c>
      <c r="B2143" t="s">
        <v>54</v>
      </c>
    </row>
    <row r="2144" spans="1:2" x14ac:dyDescent="0.2">
      <c r="A2144">
        <v>2138</v>
      </c>
      <c r="B2144" t="s">
        <v>54</v>
      </c>
    </row>
    <row r="2145" spans="1:2" x14ac:dyDescent="0.2">
      <c r="A2145">
        <v>2139</v>
      </c>
      <c r="B2145" t="s">
        <v>54</v>
      </c>
    </row>
    <row r="2146" spans="1:2" x14ac:dyDescent="0.2">
      <c r="A2146">
        <v>2140</v>
      </c>
      <c r="B2146" t="s">
        <v>54</v>
      </c>
    </row>
    <row r="2147" spans="1:2" x14ac:dyDescent="0.2">
      <c r="A2147">
        <v>2141</v>
      </c>
      <c r="B2147" t="s">
        <v>54</v>
      </c>
    </row>
    <row r="2148" spans="1:2" x14ac:dyDescent="0.2">
      <c r="A2148">
        <v>2142</v>
      </c>
      <c r="B2148" t="s">
        <v>54</v>
      </c>
    </row>
    <row r="2149" spans="1:2" x14ac:dyDescent="0.2">
      <c r="A2149">
        <v>2143</v>
      </c>
      <c r="B2149" t="s">
        <v>54</v>
      </c>
    </row>
    <row r="2150" spans="1:2" x14ac:dyDescent="0.2">
      <c r="A2150">
        <v>2144</v>
      </c>
      <c r="B2150" t="s">
        <v>54</v>
      </c>
    </row>
    <row r="2151" spans="1:2" x14ac:dyDescent="0.2">
      <c r="A2151">
        <v>2145</v>
      </c>
      <c r="B2151" t="s">
        <v>54</v>
      </c>
    </row>
    <row r="2152" spans="1:2" x14ac:dyDescent="0.2">
      <c r="A2152">
        <v>2146</v>
      </c>
      <c r="B2152" t="s">
        <v>54</v>
      </c>
    </row>
    <row r="2153" spans="1:2" x14ac:dyDescent="0.2">
      <c r="A2153">
        <v>2147</v>
      </c>
      <c r="B2153" t="s">
        <v>54</v>
      </c>
    </row>
    <row r="2154" spans="1:2" x14ac:dyDescent="0.2">
      <c r="A2154">
        <v>2148</v>
      </c>
      <c r="B2154" t="s">
        <v>54</v>
      </c>
    </row>
    <row r="2155" spans="1:2" x14ac:dyDescent="0.2">
      <c r="A2155">
        <v>2149</v>
      </c>
      <c r="B2155" t="s">
        <v>54</v>
      </c>
    </row>
    <row r="2156" spans="1:2" x14ac:dyDescent="0.2">
      <c r="A2156">
        <v>2150</v>
      </c>
      <c r="B2156" t="s">
        <v>54</v>
      </c>
    </row>
    <row r="2157" spans="1:2" x14ac:dyDescent="0.2">
      <c r="A2157">
        <v>2151</v>
      </c>
      <c r="B2157" t="s">
        <v>54</v>
      </c>
    </row>
    <row r="2158" spans="1:2" x14ac:dyDescent="0.2">
      <c r="A2158">
        <v>2152</v>
      </c>
      <c r="B2158" t="s">
        <v>54</v>
      </c>
    </row>
    <row r="2159" spans="1:2" x14ac:dyDescent="0.2">
      <c r="A2159">
        <v>2153</v>
      </c>
      <c r="B2159" t="s">
        <v>54</v>
      </c>
    </row>
    <row r="2160" spans="1:2" x14ac:dyDescent="0.2">
      <c r="A2160">
        <v>2154</v>
      </c>
      <c r="B2160" t="s">
        <v>54</v>
      </c>
    </row>
    <row r="2161" spans="1:2" x14ac:dyDescent="0.2">
      <c r="A2161">
        <v>2155</v>
      </c>
      <c r="B2161" t="s">
        <v>54</v>
      </c>
    </row>
    <row r="2162" spans="1:2" x14ac:dyDescent="0.2">
      <c r="A2162">
        <v>2156</v>
      </c>
      <c r="B2162" t="s">
        <v>54</v>
      </c>
    </row>
    <row r="2163" spans="1:2" x14ac:dyDescent="0.2">
      <c r="A2163">
        <v>2157</v>
      </c>
      <c r="B2163" t="s">
        <v>54</v>
      </c>
    </row>
    <row r="2164" spans="1:2" x14ac:dyDescent="0.2">
      <c r="A2164">
        <v>2158</v>
      </c>
      <c r="B2164" t="s">
        <v>54</v>
      </c>
    </row>
    <row r="2165" spans="1:2" x14ac:dyDescent="0.2">
      <c r="A2165">
        <v>2159</v>
      </c>
      <c r="B2165" t="s">
        <v>54</v>
      </c>
    </row>
    <row r="2166" spans="1:2" x14ac:dyDescent="0.2">
      <c r="A2166">
        <v>2160</v>
      </c>
      <c r="B2166" t="s">
        <v>54</v>
      </c>
    </row>
    <row r="2167" spans="1:2" x14ac:dyDescent="0.2">
      <c r="A2167">
        <v>2161</v>
      </c>
      <c r="B2167" t="s">
        <v>54</v>
      </c>
    </row>
    <row r="2168" spans="1:2" x14ac:dyDescent="0.2">
      <c r="A2168">
        <v>2162</v>
      </c>
      <c r="B2168" t="s">
        <v>54</v>
      </c>
    </row>
    <row r="2169" spans="1:2" x14ac:dyDescent="0.2">
      <c r="A2169">
        <v>2163</v>
      </c>
      <c r="B2169" t="s">
        <v>54</v>
      </c>
    </row>
    <row r="2170" spans="1:2" x14ac:dyDescent="0.2">
      <c r="A2170">
        <v>2164</v>
      </c>
      <c r="B2170" t="s">
        <v>54</v>
      </c>
    </row>
    <row r="2171" spans="1:2" x14ac:dyDescent="0.2">
      <c r="A2171">
        <v>2165</v>
      </c>
      <c r="B2171" t="s">
        <v>54</v>
      </c>
    </row>
    <row r="2172" spans="1:2" x14ac:dyDescent="0.2">
      <c r="A2172">
        <v>2166</v>
      </c>
      <c r="B2172" t="s">
        <v>54</v>
      </c>
    </row>
    <row r="2173" spans="1:2" x14ac:dyDescent="0.2">
      <c r="A2173">
        <v>2167</v>
      </c>
      <c r="B2173" t="s">
        <v>54</v>
      </c>
    </row>
    <row r="2174" spans="1:2" x14ac:dyDescent="0.2">
      <c r="A2174">
        <v>2168</v>
      </c>
      <c r="B2174" t="s">
        <v>54</v>
      </c>
    </row>
    <row r="2175" spans="1:2" x14ac:dyDescent="0.2">
      <c r="A2175">
        <v>2169</v>
      </c>
      <c r="B2175" t="s">
        <v>54</v>
      </c>
    </row>
    <row r="2176" spans="1:2" x14ac:dyDescent="0.2">
      <c r="A2176">
        <v>2170</v>
      </c>
      <c r="B2176" t="s">
        <v>54</v>
      </c>
    </row>
    <row r="2177" spans="1:2" x14ac:dyDescent="0.2">
      <c r="A2177">
        <v>2171</v>
      </c>
      <c r="B2177" t="s">
        <v>54</v>
      </c>
    </row>
    <row r="2178" spans="1:2" x14ac:dyDescent="0.2">
      <c r="A2178">
        <v>2172</v>
      </c>
      <c r="B2178" t="s">
        <v>54</v>
      </c>
    </row>
    <row r="2179" spans="1:2" x14ac:dyDescent="0.2">
      <c r="A2179">
        <v>2173</v>
      </c>
      <c r="B2179" t="s">
        <v>54</v>
      </c>
    </row>
    <row r="2180" spans="1:2" x14ac:dyDescent="0.2">
      <c r="A2180">
        <v>2174</v>
      </c>
      <c r="B2180" t="s">
        <v>54</v>
      </c>
    </row>
    <row r="2181" spans="1:2" x14ac:dyDescent="0.2">
      <c r="A2181">
        <v>2175</v>
      </c>
      <c r="B2181" t="s">
        <v>54</v>
      </c>
    </row>
    <row r="2182" spans="1:2" x14ac:dyDescent="0.2">
      <c r="A2182">
        <v>2176</v>
      </c>
      <c r="B2182" t="s">
        <v>54</v>
      </c>
    </row>
    <row r="2183" spans="1:2" x14ac:dyDescent="0.2">
      <c r="A2183">
        <v>2177</v>
      </c>
      <c r="B2183" t="s">
        <v>54</v>
      </c>
    </row>
    <row r="2184" spans="1:2" x14ac:dyDescent="0.2">
      <c r="A2184">
        <v>2178</v>
      </c>
      <c r="B2184" t="s">
        <v>54</v>
      </c>
    </row>
    <row r="2185" spans="1:2" x14ac:dyDescent="0.2">
      <c r="A2185">
        <v>2179</v>
      </c>
      <c r="B2185" t="s">
        <v>54</v>
      </c>
    </row>
    <row r="2186" spans="1:2" x14ac:dyDescent="0.2">
      <c r="A2186">
        <v>2180</v>
      </c>
      <c r="B2186" t="s">
        <v>54</v>
      </c>
    </row>
    <row r="2187" spans="1:2" x14ac:dyDescent="0.2">
      <c r="A2187">
        <v>2181</v>
      </c>
      <c r="B2187" t="s">
        <v>54</v>
      </c>
    </row>
    <row r="2188" spans="1:2" x14ac:dyDescent="0.2">
      <c r="A2188">
        <v>2182</v>
      </c>
      <c r="B2188" t="s">
        <v>54</v>
      </c>
    </row>
    <row r="2189" spans="1:2" x14ac:dyDescent="0.2">
      <c r="A2189">
        <v>2183</v>
      </c>
      <c r="B2189" t="s">
        <v>54</v>
      </c>
    </row>
    <row r="2190" spans="1:2" x14ac:dyDescent="0.2">
      <c r="A2190">
        <v>2184</v>
      </c>
      <c r="B2190" t="s">
        <v>54</v>
      </c>
    </row>
    <row r="2191" spans="1:2" x14ac:dyDescent="0.2">
      <c r="A2191">
        <v>2185</v>
      </c>
      <c r="B2191" t="s">
        <v>54</v>
      </c>
    </row>
    <row r="2192" spans="1:2" x14ac:dyDescent="0.2">
      <c r="A2192">
        <v>2186</v>
      </c>
      <c r="B2192" t="s">
        <v>54</v>
      </c>
    </row>
    <row r="2193" spans="1:2" x14ac:dyDescent="0.2">
      <c r="A2193">
        <v>2187</v>
      </c>
      <c r="B2193" t="s">
        <v>54</v>
      </c>
    </row>
    <row r="2194" spans="1:2" x14ac:dyDescent="0.2">
      <c r="A2194">
        <v>2188</v>
      </c>
      <c r="B2194" t="s">
        <v>54</v>
      </c>
    </row>
    <row r="2195" spans="1:2" x14ac:dyDescent="0.2">
      <c r="A2195">
        <v>2189</v>
      </c>
      <c r="B2195" t="s">
        <v>54</v>
      </c>
    </row>
    <row r="2196" spans="1:2" x14ac:dyDescent="0.2">
      <c r="A2196">
        <v>2190</v>
      </c>
      <c r="B2196" t="s">
        <v>54</v>
      </c>
    </row>
    <row r="2197" spans="1:2" x14ac:dyDescent="0.2">
      <c r="A2197">
        <v>2191</v>
      </c>
      <c r="B2197" t="s">
        <v>54</v>
      </c>
    </row>
    <row r="2198" spans="1:2" x14ac:dyDescent="0.2">
      <c r="A2198">
        <v>2192</v>
      </c>
      <c r="B2198" t="s">
        <v>54</v>
      </c>
    </row>
    <row r="2199" spans="1:2" x14ac:dyDescent="0.2">
      <c r="A2199">
        <v>2193</v>
      </c>
      <c r="B2199" t="s">
        <v>54</v>
      </c>
    </row>
    <row r="2200" spans="1:2" x14ac:dyDescent="0.2">
      <c r="A2200">
        <v>2194</v>
      </c>
      <c r="B2200" t="s">
        <v>54</v>
      </c>
    </row>
    <row r="2201" spans="1:2" x14ac:dyDescent="0.2">
      <c r="A2201">
        <v>2195</v>
      </c>
      <c r="B2201" t="s">
        <v>54</v>
      </c>
    </row>
    <row r="2202" spans="1:2" x14ac:dyDescent="0.2">
      <c r="A2202">
        <v>2196</v>
      </c>
      <c r="B2202" t="s">
        <v>54</v>
      </c>
    </row>
    <row r="2203" spans="1:2" x14ac:dyDescent="0.2">
      <c r="A2203">
        <v>2197</v>
      </c>
      <c r="B2203" t="s">
        <v>54</v>
      </c>
    </row>
    <row r="2204" spans="1:2" x14ac:dyDescent="0.2">
      <c r="A2204">
        <v>2198</v>
      </c>
      <c r="B2204" t="s">
        <v>54</v>
      </c>
    </row>
    <row r="2205" spans="1:2" x14ac:dyDescent="0.2">
      <c r="A2205">
        <v>2199</v>
      </c>
      <c r="B2205" t="s">
        <v>54</v>
      </c>
    </row>
    <row r="2206" spans="1:2" x14ac:dyDescent="0.2">
      <c r="A2206">
        <v>2200</v>
      </c>
      <c r="B2206" t="s">
        <v>54</v>
      </c>
    </row>
    <row r="2207" spans="1:2" x14ac:dyDescent="0.2">
      <c r="A2207">
        <v>2201</v>
      </c>
      <c r="B2207" t="s">
        <v>54</v>
      </c>
    </row>
    <row r="2208" spans="1:2" x14ac:dyDescent="0.2">
      <c r="A2208">
        <v>2202</v>
      </c>
      <c r="B2208" t="s">
        <v>54</v>
      </c>
    </row>
    <row r="2209" spans="1:2" x14ac:dyDescent="0.2">
      <c r="A2209">
        <v>2203</v>
      </c>
      <c r="B2209" t="s">
        <v>54</v>
      </c>
    </row>
    <row r="2210" spans="1:2" x14ac:dyDescent="0.2">
      <c r="A2210">
        <v>2204</v>
      </c>
      <c r="B2210" t="s">
        <v>54</v>
      </c>
    </row>
    <row r="2211" spans="1:2" x14ac:dyDescent="0.2">
      <c r="A2211">
        <v>2205</v>
      </c>
      <c r="B2211" t="s">
        <v>54</v>
      </c>
    </row>
    <row r="2212" spans="1:2" x14ac:dyDescent="0.2">
      <c r="A2212">
        <v>2206</v>
      </c>
      <c r="B2212" t="s">
        <v>54</v>
      </c>
    </row>
    <row r="2213" spans="1:2" x14ac:dyDescent="0.2">
      <c r="A2213">
        <v>2207</v>
      </c>
      <c r="B2213" t="s">
        <v>54</v>
      </c>
    </row>
    <row r="2214" spans="1:2" x14ac:dyDescent="0.2">
      <c r="A2214">
        <v>2208</v>
      </c>
      <c r="B2214" t="s">
        <v>54</v>
      </c>
    </row>
    <row r="2215" spans="1:2" x14ac:dyDescent="0.2">
      <c r="A2215">
        <v>2209</v>
      </c>
      <c r="B2215" t="s">
        <v>54</v>
      </c>
    </row>
    <row r="2216" spans="1:2" x14ac:dyDescent="0.2">
      <c r="A2216">
        <v>2210</v>
      </c>
      <c r="B2216" t="s">
        <v>54</v>
      </c>
    </row>
    <row r="2217" spans="1:2" x14ac:dyDescent="0.2">
      <c r="A2217">
        <v>2211</v>
      </c>
      <c r="B2217" t="s">
        <v>54</v>
      </c>
    </row>
    <row r="2218" spans="1:2" x14ac:dyDescent="0.2">
      <c r="A2218">
        <v>2212</v>
      </c>
      <c r="B2218" t="s">
        <v>54</v>
      </c>
    </row>
    <row r="2219" spans="1:2" x14ac:dyDescent="0.2">
      <c r="A2219">
        <v>2213</v>
      </c>
      <c r="B2219" t="s">
        <v>54</v>
      </c>
    </row>
    <row r="2220" spans="1:2" x14ac:dyDescent="0.2">
      <c r="A2220">
        <v>2214</v>
      </c>
      <c r="B2220" t="s">
        <v>54</v>
      </c>
    </row>
    <row r="2221" spans="1:2" x14ac:dyDescent="0.2">
      <c r="A2221">
        <v>2215</v>
      </c>
      <c r="B2221" t="s">
        <v>54</v>
      </c>
    </row>
    <row r="2222" spans="1:2" x14ac:dyDescent="0.2">
      <c r="A2222">
        <v>2216</v>
      </c>
      <c r="B2222" t="s">
        <v>54</v>
      </c>
    </row>
    <row r="2223" spans="1:2" x14ac:dyDescent="0.2">
      <c r="A2223">
        <v>2217</v>
      </c>
      <c r="B2223" t="s">
        <v>54</v>
      </c>
    </row>
    <row r="2224" spans="1:2" x14ac:dyDescent="0.2">
      <c r="A2224">
        <v>2218</v>
      </c>
      <c r="B2224" t="s">
        <v>54</v>
      </c>
    </row>
    <row r="2225" spans="1:2" x14ac:dyDescent="0.2">
      <c r="A2225">
        <v>2219</v>
      </c>
      <c r="B2225" t="s">
        <v>54</v>
      </c>
    </row>
    <row r="2226" spans="1:2" x14ac:dyDescent="0.2">
      <c r="A2226">
        <v>2220</v>
      </c>
      <c r="B2226" t="s">
        <v>54</v>
      </c>
    </row>
    <row r="2227" spans="1:2" x14ac:dyDescent="0.2">
      <c r="A2227">
        <v>2221</v>
      </c>
      <c r="B2227" t="s">
        <v>54</v>
      </c>
    </row>
    <row r="2228" spans="1:2" x14ac:dyDescent="0.2">
      <c r="A2228">
        <v>2222</v>
      </c>
      <c r="B2228" t="s">
        <v>54</v>
      </c>
    </row>
    <row r="2229" spans="1:2" x14ac:dyDescent="0.2">
      <c r="A2229">
        <v>2223</v>
      </c>
      <c r="B2229" t="s">
        <v>54</v>
      </c>
    </row>
    <row r="2230" spans="1:2" x14ac:dyDescent="0.2">
      <c r="A2230">
        <v>2224</v>
      </c>
      <c r="B2230" t="s">
        <v>54</v>
      </c>
    </row>
    <row r="2231" spans="1:2" x14ac:dyDescent="0.2">
      <c r="A2231">
        <v>2225</v>
      </c>
      <c r="B2231" t="s">
        <v>54</v>
      </c>
    </row>
    <row r="2232" spans="1:2" x14ac:dyDescent="0.2">
      <c r="A2232">
        <v>2226</v>
      </c>
      <c r="B2232" t="s">
        <v>54</v>
      </c>
    </row>
    <row r="2233" spans="1:2" x14ac:dyDescent="0.2">
      <c r="A2233">
        <v>2227</v>
      </c>
      <c r="B2233" t="s">
        <v>54</v>
      </c>
    </row>
    <row r="2234" spans="1:2" x14ac:dyDescent="0.2">
      <c r="A2234">
        <v>2228</v>
      </c>
      <c r="B2234" t="s">
        <v>54</v>
      </c>
    </row>
    <row r="2235" spans="1:2" x14ac:dyDescent="0.2">
      <c r="A2235">
        <v>2229</v>
      </c>
      <c r="B2235" t="s">
        <v>54</v>
      </c>
    </row>
    <row r="2236" spans="1:2" x14ac:dyDescent="0.2">
      <c r="A2236">
        <v>2230</v>
      </c>
      <c r="B2236" t="s">
        <v>54</v>
      </c>
    </row>
    <row r="2237" spans="1:2" x14ac:dyDescent="0.2">
      <c r="A2237">
        <v>2231</v>
      </c>
      <c r="B2237" t="s">
        <v>54</v>
      </c>
    </row>
    <row r="2238" spans="1:2" x14ac:dyDescent="0.2">
      <c r="A2238">
        <v>2232</v>
      </c>
      <c r="B2238" t="s">
        <v>54</v>
      </c>
    </row>
    <row r="2239" spans="1:2" x14ac:dyDescent="0.2">
      <c r="A2239">
        <v>2233</v>
      </c>
      <c r="B2239" t="s">
        <v>54</v>
      </c>
    </row>
    <row r="2240" spans="1:2" x14ac:dyDescent="0.2">
      <c r="A2240">
        <v>2234</v>
      </c>
      <c r="B2240" t="s">
        <v>54</v>
      </c>
    </row>
    <row r="2241" spans="1:2" x14ac:dyDescent="0.2">
      <c r="A2241">
        <v>2235</v>
      </c>
      <c r="B2241" t="s">
        <v>54</v>
      </c>
    </row>
    <row r="2242" spans="1:2" x14ac:dyDescent="0.2">
      <c r="A2242">
        <v>2236</v>
      </c>
      <c r="B2242" t="s">
        <v>54</v>
      </c>
    </row>
    <row r="2243" spans="1:2" x14ac:dyDescent="0.2">
      <c r="A2243">
        <v>2237</v>
      </c>
      <c r="B2243" t="s">
        <v>54</v>
      </c>
    </row>
    <row r="2244" spans="1:2" x14ac:dyDescent="0.2">
      <c r="A2244">
        <v>2238</v>
      </c>
      <c r="B2244" t="s">
        <v>54</v>
      </c>
    </row>
    <row r="2245" spans="1:2" x14ac:dyDescent="0.2">
      <c r="A2245">
        <v>2239</v>
      </c>
      <c r="B2245" t="s">
        <v>54</v>
      </c>
    </row>
    <row r="2246" spans="1:2" x14ac:dyDescent="0.2">
      <c r="A2246">
        <v>2240</v>
      </c>
      <c r="B2246" t="s">
        <v>54</v>
      </c>
    </row>
    <row r="2247" spans="1:2" x14ac:dyDescent="0.2">
      <c r="A2247">
        <v>2241</v>
      </c>
      <c r="B2247" t="s">
        <v>54</v>
      </c>
    </row>
    <row r="2248" spans="1:2" x14ac:dyDescent="0.2">
      <c r="A2248">
        <v>2242</v>
      </c>
      <c r="B2248" t="s">
        <v>54</v>
      </c>
    </row>
    <row r="2249" spans="1:2" x14ac:dyDescent="0.2">
      <c r="A2249">
        <v>2243</v>
      </c>
      <c r="B2249" t="s">
        <v>54</v>
      </c>
    </row>
    <row r="2250" spans="1:2" x14ac:dyDescent="0.2">
      <c r="A2250">
        <v>2244</v>
      </c>
      <c r="B2250" t="s">
        <v>54</v>
      </c>
    </row>
    <row r="2251" spans="1:2" x14ac:dyDescent="0.2">
      <c r="A2251">
        <v>2245</v>
      </c>
      <c r="B2251" t="s">
        <v>54</v>
      </c>
    </row>
    <row r="2252" spans="1:2" x14ac:dyDescent="0.2">
      <c r="A2252">
        <v>2246</v>
      </c>
      <c r="B2252" t="s">
        <v>54</v>
      </c>
    </row>
    <row r="2253" spans="1:2" x14ac:dyDescent="0.2">
      <c r="A2253">
        <v>2247</v>
      </c>
      <c r="B2253" t="s">
        <v>54</v>
      </c>
    </row>
    <row r="2254" spans="1:2" x14ac:dyDescent="0.2">
      <c r="A2254">
        <v>2248</v>
      </c>
      <c r="B2254" t="s">
        <v>54</v>
      </c>
    </row>
    <row r="2255" spans="1:2" x14ac:dyDescent="0.2">
      <c r="A2255">
        <v>2249</v>
      </c>
      <c r="B2255" t="s">
        <v>54</v>
      </c>
    </row>
    <row r="2256" spans="1:2" x14ac:dyDescent="0.2">
      <c r="A2256">
        <v>2250</v>
      </c>
      <c r="B2256" t="s">
        <v>54</v>
      </c>
    </row>
    <row r="2257" spans="1:2" x14ac:dyDescent="0.2">
      <c r="A2257">
        <v>2251</v>
      </c>
      <c r="B2257" t="s">
        <v>54</v>
      </c>
    </row>
    <row r="2258" spans="1:2" x14ac:dyDescent="0.2">
      <c r="A2258">
        <v>2252</v>
      </c>
      <c r="B2258" t="s">
        <v>54</v>
      </c>
    </row>
    <row r="2259" spans="1:2" x14ac:dyDescent="0.2">
      <c r="A2259">
        <v>2253</v>
      </c>
      <c r="B2259" t="s">
        <v>54</v>
      </c>
    </row>
    <row r="2260" spans="1:2" x14ac:dyDescent="0.2">
      <c r="A2260">
        <v>2254</v>
      </c>
      <c r="B2260" t="s">
        <v>54</v>
      </c>
    </row>
    <row r="2261" spans="1:2" x14ac:dyDescent="0.2">
      <c r="A2261">
        <v>2255</v>
      </c>
      <c r="B2261" t="s">
        <v>54</v>
      </c>
    </row>
    <row r="2262" spans="1:2" x14ac:dyDescent="0.2">
      <c r="A2262">
        <v>2256</v>
      </c>
      <c r="B2262" t="s">
        <v>54</v>
      </c>
    </row>
    <row r="2263" spans="1:2" x14ac:dyDescent="0.2">
      <c r="A2263">
        <v>2257</v>
      </c>
      <c r="B2263" t="s">
        <v>54</v>
      </c>
    </row>
    <row r="2264" spans="1:2" x14ac:dyDescent="0.2">
      <c r="A2264">
        <v>2258</v>
      </c>
      <c r="B2264" t="s">
        <v>54</v>
      </c>
    </row>
    <row r="2265" spans="1:2" x14ac:dyDescent="0.2">
      <c r="A2265">
        <v>2259</v>
      </c>
      <c r="B2265" t="s">
        <v>54</v>
      </c>
    </row>
    <row r="2266" spans="1:2" x14ac:dyDescent="0.2">
      <c r="A2266">
        <v>2260</v>
      </c>
      <c r="B2266" t="s">
        <v>54</v>
      </c>
    </row>
    <row r="2267" spans="1:2" x14ac:dyDescent="0.2">
      <c r="A2267">
        <v>2261</v>
      </c>
      <c r="B2267" t="s">
        <v>54</v>
      </c>
    </row>
    <row r="2268" spans="1:2" x14ac:dyDescent="0.2">
      <c r="A2268">
        <v>2262</v>
      </c>
      <c r="B2268" t="s">
        <v>54</v>
      </c>
    </row>
    <row r="2269" spans="1:2" x14ac:dyDescent="0.2">
      <c r="A2269">
        <v>2263</v>
      </c>
      <c r="B2269" t="s">
        <v>54</v>
      </c>
    </row>
    <row r="2270" spans="1:2" x14ac:dyDescent="0.2">
      <c r="A2270">
        <v>2264</v>
      </c>
      <c r="B2270" t="s">
        <v>54</v>
      </c>
    </row>
    <row r="2271" spans="1:2" x14ac:dyDescent="0.2">
      <c r="A2271">
        <v>2265</v>
      </c>
      <c r="B2271" t="s">
        <v>54</v>
      </c>
    </row>
    <row r="2272" spans="1:2" x14ac:dyDescent="0.2">
      <c r="A2272">
        <v>2266</v>
      </c>
      <c r="B2272" t="s">
        <v>54</v>
      </c>
    </row>
    <row r="2273" spans="1:2" x14ac:dyDescent="0.2">
      <c r="A2273">
        <v>2267</v>
      </c>
      <c r="B2273" t="s">
        <v>54</v>
      </c>
    </row>
    <row r="2274" spans="1:2" x14ac:dyDescent="0.2">
      <c r="A2274">
        <v>2268</v>
      </c>
      <c r="B2274" t="s">
        <v>54</v>
      </c>
    </row>
    <row r="2275" spans="1:2" x14ac:dyDescent="0.2">
      <c r="A2275">
        <v>2269</v>
      </c>
      <c r="B2275" t="s">
        <v>54</v>
      </c>
    </row>
    <row r="2276" spans="1:2" x14ac:dyDescent="0.2">
      <c r="A2276">
        <v>2270</v>
      </c>
      <c r="B2276" t="s">
        <v>54</v>
      </c>
    </row>
    <row r="2277" spans="1:2" x14ac:dyDescent="0.2">
      <c r="A2277">
        <v>2271</v>
      </c>
      <c r="B2277" t="s">
        <v>54</v>
      </c>
    </row>
    <row r="2278" spans="1:2" x14ac:dyDescent="0.2">
      <c r="A2278">
        <v>2272</v>
      </c>
      <c r="B2278" t="s">
        <v>54</v>
      </c>
    </row>
    <row r="2279" spans="1:2" x14ac:dyDescent="0.2">
      <c r="A2279">
        <v>2273</v>
      </c>
      <c r="B2279" t="s">
        <v>54</v>
      </c>
    </row>
    <row r="2280" spans="1:2" x14ac:dyDescent="0.2">
      <c r="A2280">
        <v>2274</v>
      </c>
      <c r="B2280" t="s">
        <v>54</v>
      </c>
    </row>
    <row r="2281" spans="1:2" x14ac:dyDescent="0.2">
      <c r="A2281">
        <v>2275</v>
      </c>
      <c r="B2281" t="s">
        <v>54</v>
      </c>
    </row>
    <row r="2282" spans="1:2" x14ac:dyDescent="0.2">
      <c r="A2282">
        <v>2276</v>
      </c>
      <c r="B2282" t="s">
        <v>54</v>
      </c>
    </row>
    <row r="2283" spans="1:2" x14ac:dyDescent="0.2">
      <c r="A2283">
        <v>2277</v>
      </c>
      <c r="B2283" t="s">
        <v>54</v>
      </c>
    </row>
    <row r="2284" spans="1:2" x14ac:dyDescent="0.2">
      <c r="A2284">
        <v>2278</v>
      </c>
      <c r="B2284" t="s">
        <v>54</v>
      </c>
    </row>
    <row r="2285" spans="1:2" x14ac:dyDescent="0.2">
      <c r="A2285">
        <v>2279</v>
      </c>
      <c r="B2285" t="s">
        <v>54</v>
      </c>
    </row>
    <row r="2286" spans="1:2" x14ac:dyDescent="0.2">
      <c r="A2286">
        <v>2280</v>
      </c>
      <c r="B2286" t="s">
        <v>54</v>
      </c>
    </row>
    <row r="2287" spans="1:2" x14ac:dyDescent="0.2">
      <c r="A2287">
        <v>2281</v>
      </c>
      <c r="B2287" t="s">
        <v>54</v>
      </c>
    </row>
    <row r="2288" spans="1:2" x14ac:dyDescent="0.2">
      <c r="A2288">
        <v>2282</v>
      </c>
      <c r="B2288" t="s">
        <v>54</v>
      </c>
    </row>
    <row r="2289" spans="1:2" x14ac:dyDescent="0.2">
      <c r="A2289">
        <v>2283</v>
      </c>
      <c r="B2289" t="s">
        <v>54</v>
      </c>
    </row>
    <row r="2290" spans="1:2" x14ac:dyDescent="0.2">
      <c r="A2290">
        <v>2284</v>
      </c>
      <c r="B2290" t="s">
        <v>54</v>
      </c>
    </row>
    <row r="2291" spans="1:2" x14ac:dyDescent="0.2">
      <c r="A2291">
        <v>2285</v>
      </c>
      <c r="B2291" t="s">
        <v>54</v>
      </c>
    </row>
    <row r="2292" spans="1:2" x14ac:dyDescent="0.2">
      <c r="A2292">
        <v>2286</v>
      </c>
      <c r="B2292" t="s">
        <v>54</v>
      </c>
    </row>
    <row r="2293" spans="1:2" x14ac:dyDescent="0.2">
      <c r="A2293">
        <v>2287</v>
      </c>
      <c r="B2293" t="s">
        <v>54</v>
      </c>
    </row>
    <row r="2294" spans="1:2" x14ac:dyDescent="0.2">
      <c r="A2294">
        <v>2288</v>
      </c>
      <c r="B2294" t="s">
        <v>54</v>
      </c>
    </row>
    <row r="2295" spans="1:2" x14ac:dyDescent="0.2">
      <c r="A2295">
        <v>2289</v>
      </c>
      <c r="B2295" t="s">
        <v>54</v>
      </c>
    </row>
    <row r="2296" spans="1:2" x14ac:dyDescent="0.2">
      <c r="A2296">
        <v>2290</v>
      </c>
      <c r="B2296" t="s">
        <v>54</v>
      </c>
    </row>
    <row r="2297" spans="1:2" x14ac:dyDescent="0.2">
      <c r="A2297">
        <v>2291</v>
      </c>
      <c r="B2297" t="s">
        <v>54</v>
      </c>
    </row>
    <row r="2298" spans="1:2" x14ac:dyDescent="0.2">
      <c r="A2298">
        <v>2292</v>
      </c>
      <c r="B2298" t="s">
        <v>54</v>
      </c>
    </row>
    <row r="2299" spans="1:2" x14ac:dyDescent="0.2">
      <c r="A2299">
        <v>2293</v>
      </c>
      <c r="B2299" t="s">
        <v>54</v>
      </c>
    </row>
    <row r="2300" spans="1:2" x14ac:dyDescent="0.2">
      <c r="A2300">
        <v>2294</v>
      </c>
      <c r="B2300" t="s">
        <v>54</v>
      </c>
    </row>
    <row r="2301" spans="1:2" x14ac:dyDescent="0.2">
      <c r="A2301">
        <v>2295</v>
      </c>
      <c r="B2301" t="s">
        <v>54</v>
      </c>
    </row>
    <row r="2302" spans="1:2" x14ac:dyDescent="0.2">
      <c r="A2302">
        <v>2296</v>
      </c>
      <c r="B2302" t="s">
        <v>54</v>
      </c>
    </row>
    <row r="2303" spans="1:2" x14ac:dyDescent="0.2">
      <c r="A2303">
        <v>2297</v>
      </c>
      <c r="B2303" t="s">
        <v>54</v>
      </c>
    </row>
    <row r="2304" spans="1:2" x14ac:dyDescent="0.2">
      <c r="A2304">
        <v>2298</v>
      </c>
      <c r="B2304" t="s">
        <v>54</v>
      </c>
    </row>
    <row r="2305" spans="1:2" x14ac:dyDescent="0.2">
      <c r="A2305">
        <v>2299</v>
      </c>
      <c r="B2305" t="s">
        <v>54</v>
      </c>
    </row>
    <row r="2306" spans="1:2" x14ac:dyDescent="0.2">
      <c r="A2306">
        <v>2300</v>
      </c>
      <c r="B2306" t="s">
        <v>54</v>
      </c>
    </row>
    <row r="2307" spans="1:2" x14ac:dyDescent="0.2">
      <c r="A2307">
        <v>2301</v>
      </c>
      <c r="B2307" t="s">
        <v>54</v>
      </c>
    </row>
    <row r="2308" spans="1:2" x14ac:dyDescent="0.2">
      <c r="A2308">
        <v>2302</v>
      </c>
      <c r="B2308" t="s">
        <v>54</v>
      </c>
    </row>
    <row r="2309" spans="1:2" x14ac:dyDescent="0.2">
      <c r="A2309">
        <v>2303</v>
      </c>
      <c r="B2309" t="s">
        <v>54</v>
      </c>
    </row>
    <row r="2310" spans="1:2" x14ac:dyDescent="0.2">
      <c r="A2310">
        <v>2304</v>
      </c>
      <c r="B2310" t="s">
        <v>54</v>
      </c>
    </row>
    <row r="2311" spans="1:2" x14ac:dyDescent="0.2">
      <c r="A2311">
        <v>2305</v>
      </c>
      <c r="B2311" t="s">
        <v>54</v>
      </c>
    </row>
    <row r="2312" spans="1:2" x14ac:dyDescent="0.2">
      <c r="A2312">
        <v>2306</v>
      </c>
      <c r="B2312" t="s">
        <v>54</v>
      </c>
    </row>
    <row r="2313" spans="1:2" x14ac:dyDescent="0.2">
      <c r="A2313">
        <v>2307</v>
      </c>
      <c r="B2313" t="s">
        <v>54</v>
      </c>
    </row>
    <row r="2314" spans="1:2" x14ac:dyDescent="0.2">
      <c r="A2314">
        <v>2308</v>
      </c>
      <c r="B2314" t="s">
        <v>54</v>
      </c>
    </row>
    <row r="2315" spans="1:2" x14ac:dyDescent="0.2">
      <c r="A2315">
        <v>2309</v>
      </c>
      <c r="B2315" t="s">
        <v>54</v>
      </c>
    </row>
    <row r="2316" spans="1:2" x14ac:dyDescent="0.2">
      <c r="A2316">
        <v>2310</v>
      </c>
      <c r="B2316" t="s">
        <v>54</v>
      </c>
    </row>
    <row r="2317" spans="1:2" x14ac:dyDescent="0.2">
      <c r="A2317">
        <v>2311</v>
      </c>
      <c r="B2317" t="s">
        <v>54</v>
      </c>
    </row>
    <row r="2318" spans="1:2" x14ac:dyDescent="0.2">
      <c r="A2318">
        <v>2312</v>
      </c>
      <c r="B2318" t="s">
        <v>54</v>
      </c>
    </row>
    <row r="2319" spans="1:2" x14ac:dyDescent="0.2">
      <c r="A2319">
        <v>2313</v>
      </c>
      <c r="B2319" t="s">
        <v>54</v>
      </c>
    </row>
    <row r="2320" spans="1:2" x14ac:dyDescent="0.2">
      <c r="A2320">
        <v>2314</v>
      </c>
      <c r="B2320" t="s">
        <v>54</v>
      </c>
    </row>
    <row r="2321" spans="1:2" x14ac:dyDescent="0.2">
      <c r="A2321">
        <v>2315</v>
      </c>
      <c r="B2321" t="s">
        <v>54</v>
      </c>
    </row>
    <row r="2322" spans="1:2" x14ac:dyDescent="0.2">
      <c r="A2322">
        <v>2316</v>
      </c>
      <c r="B2322" t="s">
        <v>54</v>
      </c>
    </row>
    <row r="2323" spans="1:2" x14ac:dyDescent="0.2">
      <c r="A2323">
        <v>2317</v>
      </c>
      <c r="B2323" t="s">
        <v>54</v>
      </c>
    </row>
    <row r="2324" spans="1:2" x14ac:dyDescent="0.2">
      <c r="A2324">
        <v>2318</v>
      </c>
      <c r="B2324" t="s">
        <v>54</v>
      </c>
    </row>
    <row r="2325" spans="1:2" x14ac:dyDescent="0.2">
      <c r="A2325">
        <v>2319</v>
      </c>
      <c r="B2325" t="s">
        <v>54</v>
      </c>
    </row>
    <row r="2326" spans="1:2" x14ac:dyDescent="0.2">
      <c r="A2326">
        <v>2320</v>
      </c>
      <c r="B2326" t="s">
        <v>54</v>
      </c>
    </row>
    <row r="2327" spans="1:2" x14ac:dyDescent="0.2">
      <c r="A2327">
        <v>2321</v>
      </c>
      <c r="B2327" t="s">
        <v>54</v>
      </c>
    </row>
    <row r="2328" spans="1:2" x14ac:dyDescent="0.2">
      <c r="A2328">
        <v>2322</v>
      </c>
      <c r="B2328" t="s">
        <v>54</v>
      </c>
    </row>
    <row r="2329" spans="1:2" x14ac:dyDescent="0.2">
      <c r="A2329">
        <v>2323</v>
      </c>
      <c r="B2329" t="s">
        <v>54</v>
      </c>
    </row>
    <row r="2330" spans="1:2" x14ac:dyDescent="0.2">
      <c r="A2330">
        <v>2324</v>
      </c>
      <c r="B2330" t="s">
        <v>54</v>
      </c>
    </row>
    <row r="2331" spans="1:2" x14ac:dyDescent="0.2">
      <c r="A2331">
        <v>2325</v>
      </c>
      <c r="B2331" t="s">
        <v>54</v>
      </c>
    </row>
    <row r="2332" spans="1:2" x14ac:dyDescent="0.2">
      <c r="A2332">
        <v>2326</v>
      </c>
      <c r="B2332" t="s">
        <v>54</v>
      </c>
    </row>
    <row r="2333" spans="1:2" x14ac:dyDescent="0.2">
      <c r="A2333">
        <v>2327</v>
      </c>
      <c r="B2333" t="s">
        <v>54</v>
      </c>
    </row>
    <row r="2334" spans="1:2" x14ac:dyDescent="0.2">
      <c r="A2334">
        <v>2328</v>
      </c>
      <c r="B2334" t="s">
        <v>54</v>
      </c>
    </row>
    <row r="2335" spans="1:2" x14ac:dyDescent="0.2">
      <c r="A2335">
        <v>2329</v>
      </c>
      <c r="B2335" t="s">
        <v>54</v>
      </c>
    </row>
    <row r="2336" spans="1:2" x14ac:dyDescent="0.2">
      <c r="A2336">
        <v>2330</v>
      </c>
      <c r="B2336" t="s">
        <v>54</v>
      </c>
    </row>
    <row r="2337" spans="1:2" x14ac:dyDescent="0.2">
      <c r="A2337">
        <v>2331</v>
      </c>
      <c r="B2337" t="s">
        <v>54</v>
      </c>
    </row>
    <row r="2338" spans="1:2" x14ac:dyDescent="0.2">
      <c r="A2338">
        <v>2332</v>
      </c>
      <c r="B2338" t="s">
        <v>54</v>
      </c>
    </row>
    <row r="2339" spans="1:2" x14ac:dyDescent="0.2">
      <c r="A2339">
        <v>2333</v>
      </c>
      <c r="B2339" t="s">
        <v>54</v>
      </c>
    </row>
    <row r="2340" spans="1:2" x14ac:dyDescent="0.2">
      <c r="A2340">
        <v>2334</v>
      </c>
      <c r="B2340" t="s">
        <v>54</v>
      </c>
    </row>
    <row r="2341" spans="1:2" x14ac:dyDescent="0.2">
      <c r="A2341">
        <v>2335</v>
      </c>
      <c r="B2341" t="s">
        <v>54</v>
      </c>
    </row>
    <row r="2342" spans="1:2" x14ac:dyDescent="0.2">
      <c r="A2342">
        <v>2336</v>
      </c>
      <c r="B2342" t="s">
        <v>54</v>
      </c>
    </row>
    <row r="2343" spans="1:2" x14ac:dyDescent="0.2">
      <c r="A2343">
        <v>2337</v>
      </c>
      <c r="B2343" t="s">
        <v>54</v>
      </c>
    </row>
    <row r="2344" spans="1:2" x14ac:dyDescent="0.2">
      <c r="A2344">
        <v>2338</v>
      </c>
      <c r="B2344" t="s">
        <v>54</v>
      </c>
    </row>
    <row r="2345" spans="1:2" x14ac:dyDescent="0.2">
      <c r="A2345">
        <v>2339</v>
      </c>
      <c r="B2345" t="s">
        <v>54</v>
      </c>
    </row>
    <row r="2346" spans="1:2" x14ac:dyDescent="0.2">
      <c r="A2346">
        <v>2340</v>
      </c>
      <c r="B2346" t="s">
        <v>54</v>
      </c>
    </row>
    <row r="2347" spans="1:2" x14ac:dyDescent="0.2">
      <c r="A2347">
        <v>2341</v>
      </c>
      <c r="B2347" t="s">
        <v>54</v>
      </c>
    </row>
    <row r="2348" spans="1:2" x14ac:dyDescent="0.2">
      <c r="A2348">
        <v>2342</v>
      </c>
      <c r="B2348" t="s">
        <v>54</v>
      </c>
    </row>
    <row r="2349" spans="1:2" x14ac:dyDescent="0.2">
      <c r="A2349">
        <v>2343</v>
      </c>
      <c r="B2349" t="s">
        <v>54</v>
      </c>
    </row>
    <row r="2350" spans="1:2" x14ac:dyDescent="0.2">
      <c r="A2350">
        <v>2344</v>
      </c>
      <c r="B2350" t="s">
        <v>54</v>
      </c>
    </row>
    <row r="2351" spans="1:2" x14ac:dyDescent="0.2">
      <c r="A2351">
        <v>2345</v>
      </c>
      <c r="B2351" t="s">
        <v>54</v>
      </c>
    </row>
    <row r="2352" spans="1:2" x14ac:dyDescent="0.2">
      <c r="A2352">
        <v>2346</v>
      </c>
      <c r="B2352" t="s">
        <v>54</v>
      </c>
    </row>
    <row r="2353" spans="1:2" x14ac:dyDescent="0.2">
      <c r="A2353">
        <v>2347</v>
      </c>
      <c r="B2353" t="s">
        <v>54</v>
      </c>
    </row>
    <row r="2354" spans="1:2" x14ac:dyDescent="0.2">
      <c r="A2354">
        <v>2348</v>
      </c>
      <c r="B2354" t="s">
        <v>54</v>
      </c>
    </row>
    <row r="2355" spans="1:2" x14ac:dyDescent="0.2">
      <c r="A2355">
        <v>2349</v>
      </c>
      <c r="B2355" t="s">
        <v>54</v>
      </c>
    </row>
    <row r="2356" spans="1:2" x14ac:dyDescent="0.2">
      <c r="A2356">
        <v>2350</v>
      </c>
      <c r="B2356" t="s">
        <v>54</v>
      </c>
    </row>
    <row r="2357" spans="1:2" x14ac:dyDescent="0.2">
      <c r="A2357">
        <v>2351</v>
      </c>
      <c r="B2357" t="s">
        <v>54</v>
      </c>
    </row>
    <row r="2358" spans="1:2" x14ac:dyDescent="0.2">
      <c r="A2358">
        <v>2352</v>
      </c>
      <c r="B2358" t="s">
        <v>54</v>
      </c>
    </row>
    <row r="2359" spans="1:2" x14ac:dyDescent="0.2">
      <c r="A2359">
        <v>2353</v>
      </c>
      <c r="B2359" t="s">
        <v>54</v>
      </c>
    </row>
    <row r="2360" spans="1:2" x14ac:dyDescent="0.2">
      <c r="A2360">
        <v>2354</v>
      </c>
      <c r="B2360" t="s">
        <v>54</v>
      </c>
    </row>
    <row r="2361" spans="1:2" x14ac:dyDescent="0.2">
      <c r="A2361">
        <v>2355</v>
      </c>
      <c r="B2361" t="s">
        <v>54</v>
      </c>
    </row>
    <row r="2362" spans="1:2" x14ac:dyDescent="0.2">
      <c r="A2362">
        <v>2356</v>
      </c>
      <c r="B2362" t="s">
        <v>54</v>
      </c>
    </row>
    <row r="2363" spans="1:2" x14ac:dyDescent="0.2">
      <c r="A2363">
        <v>2357</v>
      </c>
      <c r="B2363" t="s">
        <v>54</v>
      </c>
    </row>
    <row r="2364" spans="1:2" x14ac:dyDescent="0.2">
      <c r="A2364">
        <v>2358</v>
      </c>
      <c r="B2364" t="s">
        <v>54</v>
      </c>
    </row>
    <row r="2365" spans="1:2" x14ac:dyDescent="0.2">
      <c r="A2365">
        <v>2359</v>
      </c>
      <c r="B2365" t="s">
        <v>54</v>
      </c>
    </row>
    <row r="2366" spans="1:2" x14ac:dyDescent="0.2">
      <c r="A2366">
        <v>2360</v>
      </c>
      <c r="B2366" t="s">
        <v>54</v>
      </c>
    </row>
    <row r="2367" spans="1:2" x14ac:dyDescent="0.2">
      <c r="A2367">
        <v>2361</v>
      </c>
      <c r="B2367" t="s">
        <v>54</v>
      </c>
    </row>
    <row r="2368" spans="1:2" x14ac:dyDescent="0.2">
      <c r="A2368">
        <v>2362</v>
      </c>
      <c r="B2368" t="s">
        <v>54</v>
      </c>
    </row>
    <row r="2369" spans="1:2" x14ac:dyDescent="0.2">
      <c r="A2369">
        <v>2363</v>
      </c>
      <c r="B2369" t="s">
        <v>54</v>
      </c>
    </row>
    <row r="2370" spans="1:2" x14ac:dyDescent="0.2">
      <c r="A2370">
        <v>2364</v>
      </c>
      <c r="B2370" t="s">
        <v>54</v>
      </c>
    </row>
    <row r="2371" spans="1:2" x14ac:dyDescent="0.2">
      <c r="A2371">
        <v>2365</v>
      </c>
      <c r="B2371" t="s">
        <v>54</v>
      </c>
    </row>
    <row r="2372" spans="1:2" x14ac:dyDescent="0.2">
      <c r="A2372">
        <v>2366</v>
      </c>
      <c r="B2372" t="s">
        <v>54</v>
      </c>
    </row>
    <row r="2373" spans="1:2" x14ac:dyDescent="0.2">
      <c r="A2373">
        <v>2367</v>
      </c>
      <c r="B2373" t="s">
        <v>54</v>
      </c>
    </row>
    <row r="2374" spans="1:2" x14ac:dyDescent="0.2">
      <c r="A2374">
        <v>2368</v>
      </c>
      <c r="B2374" t="s">
        <v>54</v>
      </c>
    </row>
    <row r="2375" spans="1:2" x14ac:dyDescent="0.2">
      <c r="A2375">
        <v>2369</v>
      </c>
      <c r="B2375" t="s">
        <v>54</v>
      </c>
    </row>
    <row r="2376" spans="1:2" x14ac:dyDescent="0.2">
      <c r="A2376">
        <v>2370</v>
      </c>
      <c r="B2376" t="s">
        <v>54</v>
      </c>
    </row>
    <row r="2377" spans="1:2" x14ac:dyDescent="0.2">
      <c r="A2377">
        <v>2371</v>
      </c>
      <c r="B2377" t="s">
        <v>54</v>
      </c>
    </row>
    <row r="2378" spans="1:2" x14ac:dyDescent="0.2">
      <c r="A2378">
        <v>2372</v>
      </c>
      <c r="B2378" t="s">
        <v>54</v>
      </c>
    </row>
    <row r="2379" spans="1:2" x14ac:dyDescent="0.2">
      <c r="A2379">
        <v>2373</v>
      </c>
      <c r="B2379" t="s">
        <v>54</v>
      </c>
    </row>
    <row r="2380" spans="1:2" x14ac:dyDescent="0.2">
      <c r="A2380">
        <v>2374</v>
      </c>
      <c r="B2380" t="s">
        <v>54</v>
      </c>
    </row>
    <row r="2381" spans="1:2" x14ac:dyDescent="0.2">
      <c r="A2381">
        <v>2375</v>
      </c>
      <c r="B2381" t="s">
        <v>54</v>
      </c>
    </row>
    <row r="2382" spans="1:2" x14ac:dyDescent="0.2">
      <c r="A2382">
        <v>2376</v>
      </c>
      <c r="B2382" t="s">
        <v>54</v>
      </c>
    </row>
    <row r="2383" spans="1:2" x14ac:dyDescent="0.2">
      <c r="A2383">
        <v>2377</v>
      </c>
      <c r="B2383" t="s">
        <v>54</v>
      </c>
    </row>
    <row r="2384" spans="1:2" x14ac:dyDescent="0.2">
      <c r="A2384">
        <v>2378</v>
      </c>
      <c r="B2384" t="s">
        <v>54</v>
      </c>
    </row>
    <row r="2385" spans="1:2" x14ac:dyDescent="0.2">
      <c r="A2385">
        <v>2379</v>
      </c>
      <c r="B2385" t="s">
        <v>54</v>
      </c>
    </row>
    <row r="2386" spans="1:2" x14ac:dyDescent="0.2">
      <c r="A2386">
        <v>2380</v>
      </c>
      <c r="B2386" t="s">
        <v>54</v>
      </c>
    </row>
    <row r="2387" spans="1:2" x14ac:dyDescent="0.2">
      <c r="A2387">
        <v>2381</v>
      </c>
      <c r="B2387" t="s">
        <v>54</v>
      </c>
    </row>
    <row r="2388" spans="1:2" x14ac:dyDescent="0.2">
      <c r="A2388">
        <v>2382</v>
      </c>
      <c r="B2388" t="s">
        <v>54</v>
      </c>
    </row>
    <row r="2389" spans="1:2" x14ac:dyDescent="0.2">
      <c r="A2389">
        <v>2383</v>
      </c>
      <c r="B2389" t="s">
        <v>54</v>
      </c>
    </row>
    <row r="2390" spans="1:2" x14ac:dyDescent="0.2">
      <c r="A2390">
        <v>2384</v>
      </c>
      <c r="B2390" t="s">
        <v>54</v>
      </c>
    </row>
    <row r="2391" spans="1:2" x14ac:dyDescent="0.2">
      <c r="A2391">
        <v>2385</v>
      </c>
      <c r="B2391" t="s">
        <v>54</v>
      </c>
    </row>
    <row r="2392" spans="1:2" x14ac:dyDescent="0.2">
      <c r="A2392">
        <v>2386</v>
      </c>
      <c r="B2392" t="s">
        <v>54</v>
      </c>
    </row>
    <row r="2393" spans="1:2" x14ac:dyDescent="0.2">
      <c r="A2393">
        <v>2387</v>
      </c>
      <c r="B2393" t="s">
        <v>54</v>
      </c>
    </row>
    <row r="2394" spans="1:2" x14ac:dyDescent="0.2">
      <c r="A2394">
        <v>2388</v>
      </c>
      <c r="B2394" t="s">
        <v>54</v>
      </c>
    </row>
    <row r="2395" spans="1:2" x14ac:dyDescent="0.2">
      <c r="A2395">
        <v>2389</v>
      </c>
      <c r="B2395" t="s">
        <v>54</v>
      </c>
    </row>
    <row r="2396" spans="1:2" x14ac:dyDescent="0.2">
      <c r="A2396">
        <v>2390</v>
      </c>
      <c r="B2396" t="s">
        <v>54</v>
      </c>
    </row>
    <row r="2397" spans="1:2" x14ac:dyDescent="0.2">
      <c r="A2397">
        <v>2391</v>
      </c>
      <c r="B2397" t="s">
        <v>54</v>
      </c>
    </row>
    <row r="2398" spans="1:2" x14ac:dyDescent="0.2">
      <c r="A2398">
        <v>2392</v>
      </c>
      <c r="B2398" t="s">
        <v>54</v>
      </c>
    </row>
    <row r="2399" spans="1:2" x14ac:dyDescent="0.2">
      <c r="A2399">
        <v>2393</v>
      </c>
      <c r="B2399" t="s">
        <v>54</v>
      </c>
    </row>
    <row r="2400" spans="1:2" x14ac:dyDescent="0.2">
      <c r="A2400">
        <v>2394</v>
      </c>
      <c r="B2400" t="s">
        <v>54</v>
      </c>
    </row>
    <row r="2401" spans="1:2" x14ac:dyDescent="0.2">
      <c r="A2401">
        <v>2395</v>
      </c>
      <c r="B2401" t="s">
        <v>54</v>
      </c>
    </row>
    <row r="2402" spans="1:2" x14ac:dyDescent="0.2">
      <c r="A2402">
        <v>2396</v>
      </c>
      <c r="B2402" t="s">
        <v>54</v>
      </c>
    </row>
    <row r="2403" spans="1:2" x14ac:dyDescent="0.2">
      <c r="A2403">
        <v>2397</v>
      </c>
      <c r="B2403" t="s">
        <v>54</v>
      </c>
    </row>
    <row r="2404" spans="1:2" x14ac:dyDescent="0.2">
      <c r="A2404">
        <v>2398</v>
      </c>
      <c r="B2404" t="s">
        <v>54</v>
      </c>
    </row>
    <row r="2405" spans="1:2" x14ac:dyDescent="0.2">
      <c r="A2405">
        <v>2399</v>
      </c>
      <c r="B2405" t="s">
        <v>54</v>
      </c>
    </row>
    <row r="2406" spans="1:2" x14ac:dyDescent="0.2">
      <c r="A2406">
        <v>2400</v>
      </c>
      <c r="B2406" t="s">
        <v>54</v>
      </c>
    </row>
    <row r="2407" spans="1:2" x14ac:dyDescent="0.2">
      <c r="A2407">
        <v>2401</v>
      </c>
      <c r="B2407" t="s">
        <v>54</v>
      </c>
    </row>
    <row r="2408" spans="1:2" x14ac:dyDescent="0.2">
      <c r="A2408">
        <v>2402</v>
      </c>
      <c r="B2408" t="s">
        <v>54</v>
      </c>
    </row>
    <row r="2409" spans="1:2" x14ac:dyDescent="0.2">
      <c r="A2409">
        <v>2403</v>
      </c>
      <c r="B2409" t="s">
        <v>54</v>
      </c>
    </row>
    <row r="2410" spans="1:2" x14ac:dyDescent="0.2">
      <c r="A2410">
        <v>2404</v>
      </c>
      <c r="B2410" t="s">
        <v>54</v>
      </c>
    </row>
    <row r="2411" spans="1:2" x14ac:dyDescent="0.2">
      <c r="A2411">
        <v>2405</v>
      </c>
      <c r="B2411" t="s">
        <v>54</v>
      </c>
    </row>
    <row r="2412" spans="1:2" x14ac:dyDescent="0.2">
      <c r="A2412">
        <v>2406</v>
      </c>
      <c r="B2412" t="s">
        <v>54</v>
      </c>
    </row>
    <row r="2413" spans="1:2" x14ac:dyDescent="0.2">
      <c r="A2413">
        <v>2407</v>
      </c>
      <c r="B2413" t="s">
        <v>54</v>
      </c>
    </row>
    <row r="2414" spans="1:2" x14ac:dyDescent="0.2">
      <c r="A2414">
        <v>2408</v>
      </c>
      <c r="B2414" t="s">
        <v>54</v>
      </c>
    </row>
    <row r="2415" spans="1:2" x14ac:dyDescent="0.2">
      <c r="A2415">
        <v>2409</v>
      </c>
      <c r="B2415" t="s">
        <v>54</v>
      </c>
    </row>
    <row r="2416" spans="1:2" x14ac:dyDescent="0.2">
      <c r="A2416">
        <v>2410</v>
      </c>
      <c r="B2416" t="s">
        <v>54</v>
      </c>
    </row>
    <row r="2417" spans="1:2" x14ac:dyDescent="0.2">
      <c r="A2417">
        <v>2411</v>
      </c>
      <c r="B2417" t="s">
        <v>54</v>
      </c>
    </row>
    <row r="2418" spans="1:2" x14ac:dyDescent="0.2">
      <c r="A2418">
        <v>2412</v>
      </c>
      <c r="B2418" t="s">
        <v>54</v>
      </c>
    </row>
    <row r="2419" spans="1:2" x14ac:dyDescent="0.2">
      <c r="A2419">
        <v>2413</v>
      </c>
      <c r="B2419" t="s">
        <v>54</v>
      </c>
    </row>
    <row r="2420" spans="1:2" x14ac:dyDescent="0.2">
      <c r="A2420">
        <v>2414</v>
      </c>
      <c r="B2420" t="s">
        <v>54</v>
      </c>
    </row>
    <row r="2421" spans="1:2" x14ac:dyDescent="0.2">
      <c r="A2421">
        <v>2415</v>
      </c>
      <c r="B2421" t="s">
        <v>54</v>
      </c>
    </row>
    <row r="2422" spans="1:2" x14ac:dyDescent="0.2">
      <c r="A2422">
        <v>2416</v>
      </c>
      <c r="B2422" t="s">
        <v>54</v>
      </c>
    </row>
    <row r="2423" spans="1:2" x14ac:dyDescent="0.2">
      <c r="A2423">
        <v>2417</v>
      </c>
      <c r="B2423" t="s">
        <v>54</v>
      </c>
    </row>
    <row r="2424" spans="1:2" x14ac:dyDescent="0.2">
      <c r="A2424">
        <v>2418</v>
      </c>
      <c r="B2424" t="s">
        <v>54</v>
      </c>
    </row>
    <row r="2425" spans="1:2" x14ac:dyDescent="0.2">
      <c r="A2425">
        <v>2419</v>
      </c>
      <c r="B2425" t="s">
        <v>54</v>
      </c>
    </row>
    <row r="2426" spans="1:2" x14ac:dyDescent="0.2">
      <c r="A2426">
        <v>2420</v>
      </c>
      <c r="B2426" t="s">
        <v>54</v>
      </c>
    </row>
    <row r="2427" spans="1:2" x14ac:dyDescent="0.2">
      <c r="A2427">
        <v>2421</v>
      </c>
      <c r="B2427" t="s">
        <v>54</v>
      </c>
    </row>
    <row r="2428" spans="1:2" x14ac:dyDescent="0.2">
      <c r="A2428">
        <v>2422</v>
      </c>
      <c r="B2428" t="s">
        <v>54</v>
      </c>
    </row>
    <row r="2429" spans="1:2" x14ac:dyDescent="0.2">
      <c r="A2429">
        <v>2423</v>
      </c>
      <c r="B2429" t="s">
        <v>54</v>
      </c>
    </row>
    <row r="2430" spans="1:2" x14ac:dyDescent="0.2">
      <c r="A2430">
        <v>2424</v>
      </c>
      <c r="B2430" t="s">
        <v>54</v>
      </c>
    </row>
    <row r="2431" spans="1:2" x14ac:dyDescent="0.2">
      <c r="A2431">
        <v>2425</v>
      </c>
      <c r="B2431" t="s">
        <v>54</v>
      </c>
    </row>
    <row r="2432" spans="1:2" x14ac:dyDescent="0.2">
      <c r="A2432">
        <v>2426</v>
      </c>
      <c r="B2432" t="s">
        <v>54</v>
      </c>
    </row>
    <row r="2433" spans="1:2" x14ac:dyDescent="0.2">
      <c r="A2433">
        <v>2427</v>
      </c>
      <c r="B2433" t="s">
        <v>54</v>
      </c>
    </row>
    <row r="2434" spans="1:2" x14ac:dyDescent="0.2">
      <c r="A2434">
        <v>2428</v>
      </c>
      <c r="B2434" t="s">
        <v>54</v>
      </c>
    </row>
    <row r="2435" spans="1:2" x14ac:dyDescent="0.2">
      <c r="A2435">
        <v>2429</v>
      </c>
      <c r="B2435" t="s">
        <v>54</v>
      </c>
    </row>
    <row r="2436" spans="1:2" x14ac:dyDescent="0.2">
      <c r="A2436">
        <v>2430</v>
      </c>
      <c r="B2436" t="s">
        <v>54</v>
      </c>
    </row>
    <row r="2437" spans="1:2" x14ac:dyDescent="0.2">
      <c r="A2437">
        <v>2431</v>
      </c>
      <c r="B2437" t="s">
        <v>54</v>
      </c>
    </row>
    <row r="2438" spans="1:2" x14ac:dyDescent="0.2">
      <c r="A2438">
        <v>2432</v>
      </c>
      <c r="B2438" t="s">
        <v>54</v>
      </c>
    </row>
    <row r="2439" spans="1:2" x14ac:dyDescent="0.2">
      <c r="A2439">
        <v>2433</v>
      </c>
      <c r="B2439" t="s">
        <v>54</v>
      </c>
    </row>
    <row r="2440" spans="1:2" x14ac:dyDescent="0.2">
      <c r="A2440">
        <v>2434</v>
      </c>
      <c r="B2440" t="s">
        <v>54</v>
      </c>
    </row>
    <row r="2441" spans="1:2" x14ac:dyDescent="0.2">
      <c r="A2441">
        <v>2435</v>
      </c>
      <c r="B2441" t="s">
        <v>54</v>
      </c>
    </row>
    <row r="2442" spans="1:2" x14ac:dyDescent="0.2">
      <c r="A2442">
        <v>2436</v>
      </c>
      <c r="B2442" t="s">
        <v>54</v>
      </c>
    </row>
    <row r="2443" spans="1:2" x14ac:dyDescent="0.2">
      <c r="A2443">
        <v>2437</v>
      </c>
      <c r="B2443" t="s">
        <v>54</v>
      </c>
    </row>
    <row r="2444" spans="1:2" x14ac:dyDescent="0.2">
      <c r="A2444">
        <v>2438</v>
      </c>
      <c r="B2444" t="s">
        <v>54</v>
      </c>
    </row>
    <row r="2445" spans="1:2" x14ac:dyDescent="0.2">
      <c r="A2445">
        <v>2439</v>
      </c>
      <c r="B2445" t="s">
        <v>54</v>
      </c>
    </row>
    <row r="2446" spans="1:2" x14ac:dyDescent="0.2">
      <c r="A2446">
        <v>2440</v>
      </c>
      <c r="B2446" t="s">
        <v>54</v>
      </c>
    </row>
    <row r="2447" spans="1:2" x14ac:dyDescent="0.2">
      <c r="A2447">
        <v>2441</v>
      </c>
      <c r="B2447" t="s">
        <v>54</v>
      </c>
    </row>
    <row r="2448" spans="1:2" x14ac:dyDescent="0.2">
      <c r="A2448">
        <v>2442</v>
      </c>
      <c r="B2448" t="s">
        <v>54</v>
      </c>
    </row>
    <row r="2449" spans="1:2" x14ac:dyDescent="0.2">
      <c r="A2449">
        <v>2443</v>
      </c>
      <c r="B2449" t="s">
        <v>54</v>
      </c>
    </row>
    <row r="2450" spans="1:2" x14ac:dyDescent="0.2">
      <c r="A2450">
        <v>2444</v>
      </c>
      <c r="B2450" t="s">
        <v>54</v>
      </c>
    </row>
    <row r="2451" spans="1:2" x14ac:dyDescent="0.2">
      <c r="A2451">
        <v>2445</v>
      </c>
      <c r="B2451" t="s">
        <v>54</v>
      </c>
    </row>
    <row r="2452" spans="1:2" x14ac:dyDescent="0.2">
      <c r="A2452">
        <v>2446</v>
      </c>
      <c r="B2452" t="s">
        <v>54</v>
      </c>
    </row>
    <row r="2453" spans="1:2" x14ac:dyDescent="0.2">
      <c r="A2453">
        <v>2447</v>
      </c>
      <c r="B2453" t="s">
        <v>54</v>
      </c>
    </row>
    <row r="2454" spans="1:2" x14ac:dyDescent="0.2">
      <c r="A2454">
        <v>2448</v>
      </c>
      <c r="B2454" t="s">
        <v>54</v>
      </c>
    </row>
    <row r="2455" spans="1:2" x14ac:dyDescent="0.2">
      <c r="A2455">
        <v>2449</v>
      </c>
      <c r="B2455" t="s">
        <v>54</v>
      </c>
    </row>
    <row r="2456" spans="1:2" x14ac:dyDescent="0.2">
      <c r="A2456">
        <v>2450</v>
      </c>
      <c r="B2456" t="s">
        <v>54</v>
      </c>
    </row>
    <row r="2457" spans="1:2" x14ac:dyDescent="0.2">
      <c r="A2457">
        <v>2451</v>
      </c>
      <c r="B2457" t="s">
        <v>54</v>
      </c>
    </row>
    <row r="2458" spans="1:2" x14ac:dyDescent="0.2">
      <c r="A2458">
        <v>2452</v>
      </c>
      <c r="B2458" t="s">
        <v>54</v>
      </c>
    </row>
    <row r="2459" spans="1:2" x14ac:dyDescent="0.2">
      <c r="A2459">
        <v>2453</v>
      </c>
      <c r="B2459" t="s">
        <v>54</v>
      </c>
    </row>
    <row r="2460" spans="1:2" x14ac:dyDescent="0.2">
      <c r="A2460">
        <v>2454</v>
      </c>
      <c r="B2460" t="s">
        <v>54</v>
      </c>
    </row>
    <row r="2461" spans="1:2" x14ac:dyDescent="0.2">
      <c r="A2461">
        <v>2455</v>
      </c>
      <c r="B2461" t="s">
        <v>54</v>
      </c>
    </row>
    <row r="2462" spans="1:2" x14ac:dyDescent="0.2">
      <c r="A2462">
        <v>2456</v>
      </c>
      <c r="B2462" t="s">
        <v>54</v>
      </c>
    </row>
    <row r="2463" spans="1:2" x14ac:dyDescent="0.2">
      <c r="A2463">
        <v>2457</v>
      </c>
      <c r="B2463" t="s">
        <v>54</v>
      </c>
    </row>
    <row r="2464" spans="1:2" x14ac:dyDescent="0.2">
      <c r="A2464">
        <v>2458</v>
      </c>
      <c r="B2464" t="s">
        <v>54</v>
      </c>
    </row>
    <row r="2465" spans="1:2" x14ac:dyDescent="0.2">
      <c r="A2465">
        <v>2459</v>
      </c>
      <c r="B2465" t="s">
        <v>54</v>
      </c>
    </row>
    <row r="2466" spans="1:2" x14ac:dyDescent="0.2">
      <c r="A2466">
        <v>2460</v>
      </c>
      <c r="B2466" t="s">
        <v>54</v>
      </c>
    </row>
    <row r="2467" spans="1:2" x14ac:dyDescent="0.2">
      <c r="A2467">
        <v>2461</v>
      </c>
      <c r="B2467" t="s">
        <v>54</v>
      </c>
    </row>
    <row r="2468" spans="1:2" x14ac:dyDescent="0.2">
      <c r="A2468">
        <v>2462</v>
      </c>
      <c r="B2468" t="s">
        <v>54</v>
      </c>
    </row>
    <row r="2469" spans="1:2" x14ac:dyDescent="0.2">
      <c r="A2469">
        <v>2463</v>
      </c>
      <c r="B2469" t="s">
        <v>54</v>
      </c>
    </row>
    <row r="2470" spans="1:2" x14ac:dyDescent="0.2">
      <c r="A2470">
        <v>2464</v>
      </c>
      <c r="B2470" t="s">
        <v>54</v>
      </c>
    </row>
    <row r="2471" spans="1:2" x14ac:dyDescent="0.2">
      <c r="A2471">
        <v>2465</v>
      </c>
      <c r="B2471" t="s">
        <v>54</v>
      </c>
    </row>
    <row r="2472" spans="1:2" x14ac:dyDescent="0.2">
      <c r="A2472">
        <v>2466</v>
      </c>
      <c r="B2472" t="s">
        <v>54</v>
      </c>
    </row>
    <row r="2473" spans="1:2" x14ac:dyDescent="0.2">
      <c r="A2473">
        <v>2467</v>
      </c>
      <c r="B2473" t="s">
        <v>54</v>
      </c>
    </row>
    <row r="2474" spans="1:2" x14ac:dyDescent="0.2">
      <c r="A2474">
        <v>2468</v>
      </c>
      <c r="B2474" t="s">
        <v>54</v>
      </c>
    </row>
    <row r="2475" spans="1:2" x14ac:dyDescent="0.2">
      <c r="A2475">
        <v>2469</v>
      </c>
      <c r="B2475" t="s">
        <v>54</v>
      </c>
    </row>
    <row r="2476" spans="1:2" x14ac:dyDescent="0.2">
      <c r="A2476">
        <v>2470</v>
      </c>
      <c r="B2476" t="s">
        <v>54</v>
      </c>
    </row>
    <row r="2477" spans="1:2" x14ac:dyDescent="0.2">
      <c r="A2477">
        <v>2471</v>
      </c>
      <c r="B2477" t="s">
        <v>54</v>
      </c>
    </row>
    <row r="2478" spans="1:2" x14ac:dyDescent="0.2">
      <c r="A2478">
        <v>2472</v>
      </c>
      <c r="B2478" t="s">
        <v>54</v>
      </c>
    </row>
    <row r="2479" spans="1:2" x14ac:dyDescent="0.2">
      <c r="A2479">
        <v>2473</v>
      </c>
      <c r="B2479" t="s">
        <v>54</v>
      </c>
    </row>
    <row r="2480" spans="1:2" x14ac:dyDescent="0.2">
      <c r="A2480">
        <v>2474</v>
      </c>
      <c r="B2480" t="s">
        <v>54</v>
      </c>
    </row>
    <row r="2481" spans="1:2" x14ac:dyDescent="0.2">
      <c r="A2481">
        <v>2475</v>
      </c>
      <c r="B2481" t="s">
        <v>54</v>
      </c>
    </row>
    <row r="2482" spans="1:2" x14ac:dyDescent="0.2">
      <c r="A2482">
        <v>2476</v>
      </c>
      <c r="B2482" t="s">
        <v>54</v>
      </c>
    </row>
    <row r="2483" spans="1:2" x14ac:dyDescent="0.2">
      <c r="A2483">
        <v>2477</v>
      </c>
      <c r="B2483" t="s">
        <v>54</v>
      </c>
    </row>
    <row r="2484" spans="1:2" x14ac:dyDescent="0.2">
      <c r="A2484">
        <v>2478</v>
      </c>
      <c r="B2484" t="s">
        <v>54</v>
      </c>
    </row>
    <row r="2485" spans="1:2" x14ac:dyDescent="0.2">
      <c r="A2485">
        <v>2479</v>
      </c>
      <c r="B2485" t="s">
        <v>54</v>
      </c>
    </row>
    <row r="2486" spans="1:2" x14ac:dyDescent="0.2">
      <c r="A2486">
        <v>2480</v>
      </c>
      <c r="B2486" t="s">
        <v>54</v>
      </c>
    </row>
    <row r="2487" spans="1:2" x14ac:dyDescent="0.2">
      <c r="A2487">
        <v>2481</v>
      </c>
      <c r="B2487" t="s">
        <v>54</v>
      </c>
    </row>
    <row r="2488" spans="1:2" x14ac:dyDescent="0.2">
      <c r="A2488">
        <v>2482</v>
      </c>
      <c r="B2488" t="s">
        <v>54</v>
      </c>
    </row>
    <row r="2489" spans="1:2" x14ac:dyDescent="0.2">
      <c r="A2489">
        <v>2483</v>
      </c>
      <c r="B2489" t="s">
        <v>54</v>
      </c>
    </row>
    <row r="2490" spans="1:2" x14ac:dyDescent="0.2">
      <c r="A2490">
        <v>2484</v>
      </c>
      <c r="B2490" t="s">
        <v>54</v>
      </c>
    </row>
    <row r="2491" spans="1:2" x14ac:dyDescent="0.2">
      <c r="A2491">
        <v>2485</v>
      </c>
      <c r="B2491" t="s">
        <v>54</v>
      </c>
    </row>
    <row r="2492" spans="1:2" x14ac:dyDescent="0.2">
      <c r="A2492">
        <v>2486</v>
      </c>
      <c r="B2492" t="s">
        <v>54</v>
      </c>
    </row>
    <row r="2493" spans="1:2" x14ac:dyDescent="0.2">
      <c r="A2493">
        <v>2487</v>
      </c>
      <c r="B2493" t="s">
        <v>54</v>
      </c>
    </row>
    <row r="2494" spans="1:2" x14ac:dyDescent="0.2">
      <c r="A2494">
        <v>2488</v>
      </c>
      <c r="B2494" t="s">
        <v>54</v>
      </c>
    </row>
    <row r="2495" spans="1:2" x14ac:dyDescent="0.2">
      <c r="A2495">
        <v>2489</v>
      </c>
      <c r="B2495" t="s">
        <v>54</v>
      </c>
    </row>
    <row r="2496" spans="1:2" x14ac:dyDescent="0.2">
      <c r="A2496">
        <v>2490</v>
      </c>
      <c r="B2496" t="s">
        <v>54</v>
      </c>
    </row>
    <row r="2497" spans="1:2" x14ac:dyDescent="0.2">
      <c r="A2497">
        <v>2491</v>
      </c>
      <c r="B2497" t="s">
        <v>54</v>
      </c>
    </row>
    <row r="2498" spans="1:2" x14ac:dyDescent="0.2">
      <c r="A2498">
        <v>2492</v>
      </c>
      <c r="B2498" t="s">
        <v>54</v>
      </c>
    </row>
    <row r="2499" spans="1:2" x14ac:dyDescent="0.2">
      <c r="A2499">
        <v>2493</v>
      </c>
      <c r="B2499" t="s">
        <v>54</v>
      </c>
    </row>
    <row r="2500" spans="1:2" x14ac:dyDescent="0.2">
      <c r="A2500">
        <v>2494</v>
      </c>
      <c r="B2500" t="s">
        <v>54</v>
      </c>
    </row>
    <row r="2501" spans="1:2" x14ac:dyDescent="0.2">
      <c r="A2501">
        <v>2495</v>
      </c>
      <c r="B2501" t="s">
        <v>54</v>
      </c>
    </row>
    <row r="2502" spans="1:2" x14ac:dyDescent="0.2">
      <c r="A2502">
        <v>2496</v>
      </c>
      <c r="B2502" t="s">
        <v>54</v>
      </c>
    </row>
    <row r="2503" spans="1:2" x14ac:dyDescent="0.2">
      <c r="A2503">
        <v>2497</v>
      </c>
      <c r="B2503" t="s">
        <v>54</v>
      </c>
    </row>
    <row r="2504" spans="1:2" x14ac:dyDescent="0.2">
      <c r="A2504">
        <v>2498</v>
      </c>
      <c r="B2504" t="s">
        <v>54</v>
      </c>
    </row>
    <row r="2505" spans="1:2" x14ac:dyDescent="0.2">
      <c r="A2505">
        <v>2499</v>
      </c>
      <c r="B2505" t="s">
        <v>54</v>
      </c>
    </row>
    <row r="2506" spans="1:2" x14ac:dyDescent="0.2">
      <c r="A2506">
        <v>2500</v>
      </c>
      <c r="B2506" t="s">
        <v>54</v>
      </c>
    </row>
    <row r="2507" spans="1:2" x14ac:dyDescent="0.2">
      <c r="A2507">
        <v>2501</v>
      </c>
      <c r="B2507" t="s">
        <v>54</v>
      </c>
    </row>
    <row r="2508" spans="1:2" x14ac:dyDescent="0.2">
      <c r="A2508">
        <v>2502</v>
      </c>
      <c r="B2508" t="s">
        <v>54</v>
      </c>
    </row>
    <row r="2509" spans="1:2" x14ac:dyDescent="0.2">
      <c r="A2509">
        <v>2503</v>
      </c>
      <c r="B2509" t="s">
        <v>54</v>
      </c>
    </row>
    <row r="2510" spans="1:2" x14ac:dyDescent="0.2">
      <c r="A2510">
        <v>2504</v>
      </c>
      <c r="B2510" t="s">
        <v>54</v>
      </c>
    </row>
    <row r="2511" spans="1:2" x14ac:dyDescent="0.2">
      <c r="A2511">
        <v>2505</v>
      </c>
      <c r="B2511" t="s">
        <v>54</v>
      </c>
    </row>
    <row r="2512" spans="1:2" x14ac:dyDescent="0.2">
      <c r="A2512">
        <v>2506</v>
      </c>
      <c r="B2512" t="s">
        <v>54</v>
      </c>
    </row>
    <row r="2513" spans="1:2" x14ac:dyDescent="0.2">
      <c r="A2513">
        <v>2507</v>
      </c>
      <c r="B2513" t="s">
        <v>54</v>
      </c>
    </row>
    <row r="2514" spans="1:2" x14ac:dyDescent="0.2">
      <c r="A2514">
        <v>2508</v>
      </c>
      <c r="B2514" t="s">
        <v>54</v>
      </c>
    </row>
    <row r="2515" spans="1:2" x14ac:dyDescent="0.2">
      <c r="A2515">
        <v>2509</v>
      </c>
      <c r="B2515" t="s">
        <v>54</v>
      </c>
    </row>
    <row r="2516" spans="1:2" x14ac:dyDescent="0.2">
      <c r="A2516">
        <v>2510</v>
      </c>
      <c r="B2516" t="s">
        <v>54</v>
      </c>
    </row>
    <row r="2517" spans="1:2" x14ac:dyDescent="0.2">
      <c r="A2517">
        <v>2511</v>
      </c>
      <c r="B2517" t="s">
        <v>54</v>
      </c>
    </row>
    <row r="2518" spans="1:2" x14ac:dyDescent="0.2">
      <c r="A2518">
        <v>2512</v>
      </c>
      <c r="B2518" t="s">
        <v>54</v>
      </c>
    </row>
    <row r="2519" spans="1:2" x14ac:dyDescent="0.2">
      <c r="A2519">
        <v>2513</v>
      </c>
      <c r="B2519" t="s">
        <v>54</v>
      </c>
    </row>
    <row r="2520" spans="1:2" x14ac:dyDescent="0.2">
      <c r="A2520">
        <v>2514</v>
      </c>
      <c r="B2520" t="s">
        <v>54</v>
      </c>
    </row>
    <row r="2521" spans="1:2" x14ac:dyDescent="0.2">
      <c r="A2521">
        <v>2515</v>
      </c>
      <c r="B2521" t="s">
        <v>54</v>
      </c>
    </row>
    <row r="2522" spans="1:2" x14ac:dyDescent="0.2">
      <c r="A2522">
        <v>2516</v>
      </c>
      <c r="B2522" t="s">
        <v>54</v>
      </c>
    </row>
    <row r="2523" spans="1:2" x14ac:dyDescent="0.2">
      <c r="A2523">
        <v>2517</v>
      </c>
      <c r="B2523" t="s">
        <v>54</v>
      </c>
    </row>
    <row r="2524" spans="1:2" x14ac:dyDescent="0.2">
      <c r="A2524">
        <v>2518</v>
      </c>
      <c r="B2524" t="s">
        <v>54</v>
      </c>
    </row>
    <row r="2525" spans="1:2" x14ac:dyDescent="0.2">
      <c r="A2525">
        <v>2519</v>
      </c>
      <c r="B2525" t="s">
        <v>54</v>
      </c>
    </row>
    <row r="2526" spans="1:2" x14ac:dyDescent="0.2">
      <c r="A2526">
        <v>2520</v>
      </c>
      <c r="B2526" t="s">
        <v>54</v>
      </c>
    </row>
    <row r="2527" spans="1:2" x14ac:dyDescent="0.2">
      <c r="A2527">
        <v>2521</v>
      </c>
      <c r="B2527" t="s">
        <v>54</v>
      </c>
    </row>
    <row r="2528" spans="1:2" x14ac:dyDescent="0.2">
      <c r="A2528">
        <v>2522</v>
      </c>
      <c r="B2528" t="s">
        <v>54</v>
      </c>
    </row>
    <row r="2529" spans="1:2" x14ac:dyDescent="0.2">
      <c r="A2529">
        <v>2523</v>
      </c>
      <c r="B2529" t="s">
        <v>54</v>
      </c>
    </row>
    <row r="2530" spans="1:2" x14ac:dyDescent="0.2">
      <c r="A2530">
        <v>2524</v>
      </c>
      <c r="B2530" t="s">
        <v>54</v>
      </c>
    </row>
    <row r="2531" spans="1:2" x14ac:dyDescent="0.2">
      <c r="A2531">
        <v>2525</v>
      </c>
      <c r="B2531" t="s">
        <v>54</v>
      </c>
    </row>
    <row r="2532" spans="1:2" x14ac:dyDescent="0.2">
      <c r="A2532">
        <v>2526</v>
      </c>
      <c r="B2532" t="s">
        <v>54</v>
      </c>
    </row>
    <row r="2533" spans="1:2" x14ac:dyDescent="0.2">
      <c r="A2533">
        <v>2527</v>
      </c>
      <c r="B2533" t="s">
        <v>54</v>
      </c>
    </row>
    <row r="2534" spans="1:2" x14ac:dyDescent="0.2">
      <c r="A2534">
        <v>2528</v>
      </c>
      <c r="B2534" t="s">
        <v>54</v>
      </c>
    </row>
    <row r="2535" spans="1:2" x14ac:dyDescent="0.2">
      <c r="A2535">
        <v>2529</v>
      </c>
      <c r="B2535" t="s">
        <v>54</v>
      </c>
    </row>
    <row r="2536" spans="1:2" x14ac:dyDescent="0.2">
      <c r="A2536">
        <v>2530</v>
      </c>
      <c r="B2536" t="s">
        <v>54</v>
      </c>
    </row>
    <row r="2537" spans="1:2" x14ac:dyDescent="0.2">
      <c r="A2537">
        <v>2531</v>
      </c>
      <c r="B2537" t="s">
        <v>54</v>
      </c>
    </row>
    <row r="2538" spans="1:2" x14ac:dyDescent="0.2">
      <c r="A2538">
        <v>2532</v>
      </c>
      <c r="B2538" t="s">
        <v>54</v>
      </c>
    </row>
    <row r="2539" spans="1:2" x14ac:dyDescent="0.2">
      <c r="A2539">
        <v>2533</v>
      </c>
      <c r="B2539" t="s">
        <v>54</v>
      </c>
    </row>
    <row r="2540" spans="1:2" x14ac:dyDescent="0.2">
      <c r="A2540">
        <v>2534</v>
      </c>
      <c r="B2540" t="s">
        <v>54</v>
      </c>
    </row>
    <row r="2541" spans="1:2" x14ac:dyDescent="0.2">
      <c r="A2541">
        <v>2535</v>
      </c>
      <c r="B2541" t="s">
        <v>54</v>
      </c>
    </row>
    <row r="2542" spans="1:2" x14ac:dyDescent="0.2">
      <c r="A2542">
        <v>2536</v>
      </c>
      <c r="B2542" t="s">
        <v>54</v>
      </c>
    </row>
    <row r="2543" spans="1:2" x14ac:dyDescent="0.2">
      <c r="A2543">
        <v>2537</v>
      </c>
      <c r="B2543" t="s">
        <v>54</v>
      </c>
    </row>
    <row r="2544" spans="1:2" x14ac:dyDescent="0.2">
      <c r="A2544">
        <v>2538</v>
      </c>
      <c r="B2544" t="s">
        <v>54</v>
      </c>
    </row>
    <row r="2545" spans="1:2" x14ac:dyDescent="0.2">
      <c r="A2545">
        <v>2539</v>
      </c>
      <c r="B2545" t="s">
        <v>54</v>
      </c>
    </row>
    <row r="2546" spans="1:2" x14ac:dyDescent="0.2">
      <c r="A2546">
        <v>2540</v>
      </c>
      <c r="B2546" t="s">
        <v>54</v>
      </c>
    </row>
    <row r="2547" spans="1:2" x14ac:dyDescent="0.2">
      <c r="A2547">
        <v>2541</v>
      </c>
      <c r="B2547" t="s">
        <v>54</v>
      </c>
    </row>
    <row r="2548" spans="1:2" x14ac:dyDescent="0.2">
      <c r="A2548">
        <v>2542</v>
      </c>
      <c r="B2548" t="s">
        <v>54</v>
      </c>
    </row>
    <row r="2549" spans="1:2" x14ac:dyDescent="0.2">
      <c r="A2549">
        <v>2543</v>
      </c>
      <c r="B2549" t="s">
        <v>54</v>
      </c>
    </row>
    <row r="2550" spans="1:2" x14ac:dyDescent="0.2">
      <c r="A2550">
        <v>2544</v>
      </c>
      <c r="B2550" t="s">
        <v>54</v>
      </c>
    </row>
    <row r="2551" spans="1:2" x14ac:dyDescent="0.2">
      <c r="A2551">
        <v>2545</v>
      </c>
      <c r="B2551" t="s">
        <v>54</v>
      </c>
    </row>
    <row r="2552" spans="1:2" x14ac:dyDescent="0.2">
      <c r="A2552">
        <v>2546</v>
      </c>
      <c r="B2552" t="s">
        <v>54</v>
      </c>
    </row>
    <row r="2553" spans="1:2" x14ac:dyDescent="0.2">
      <c r="A2553">
        <v>2547</v>
      </c>
      <c r="B2553" t="s">
        <v>54</v>
      </c>
    </row>
    <row r="2554" spans="1:2" x14ac:dyDescent="0.2">
      <c r="A2554">
        <v>2548</v>
      </c>
      <c r="B2554" t="s">
        <v>54</v>
      </c>
    </row>
    <row r="2555" spans="1:2" x14ac:dyDescent="0.2">
      <c r="A2555">
        <v>2549</v>
      </c>
      <c r="B2555" t="s">
        <v>54</v>
      </c>
    </row>
    <row r="2556" spans="1:2" x14ac:dyDescent="0.2">
      <c r="A2556">
        <v>2550</v>
      </c>
      <c r="B2556" t="s">
        <v>54</v>
      </c>
    </row>
    <row r="2557" spans="1:2" x14ac:dyDescent="0.2">
      <c r="A2557">
        <v>2551</v>
      </c>
      <c r="B2557" t="s">
        <v>54</v>
      </c>
    </row>
    <row r="2558" spans="1:2" x14ac:dyDescent="0.2">
      <c r="A2558">
        <v>2552</v>
      </c>
      <c r="B2558" t="s">
        <v>54</v>
      </c>
    </row>
    <row r="2559" spans="1:2" x14ac:dyDescent="0.2">
      <c r="A2559">
        <v>2553</v>
      </c>
      <c r="B2559" t="s">
        <v>54</v>
      </c>
    </row>
    <row r="2560" spans="1:2" x14ac:dyDescent="0.2">
      <c r="A2560">
        <v>2554</v>
      </c>
      <c r="B2560" t="s">
        <v>54</v>
      </c>
    </row>
    <row r="2561" spans="1:2" x14ac:dyDescent="0.2">
      <c r="A2561">
        <v>2555</v>
      </c>
      <c r="B2561" t="s">
        <v>54</v>
      </c>
    </row>
    <row r="2562" spans="1:2" x14ac:dyDescent="0.2">
      <c r="A2562">
        <v>2556</v>
      </c>
      <c r="B2562" t="s">
        <v>54</v>
      </c>
    </row>
    <row r="2563" spans="1:2" x14ac:dyDescent="0.2">
      <c r="A2563">
        <v>2557</v>
      </c>
      <c r="B2563" t="s">
        <v>54</v>
      </c>
    </row>
    <row r="2564" spans="1:2" x14ac:dyDescent="0.2">
      <c r="A2564">
        <v>2558</v>
      </c>
      <c r="B2564" t="s">
        <v>54</v>
      </c>
    </row>
    <row r="2565" spans="1:2" x14ac:dyDescent="0.2">
      <c r="A2565">
        <v>2559</v>
      </c>
      <c r="B2565" t="s">
        <v>54</v>
      </c>
    </row>
    <row r="2566" spans="1:2" x14ac:dyDescent="0.2">
      <c r="A2566">
        <v>2560</v>
      </c>
      <c r="B2566" t="s">
        <v>54</v>
      </c>
    </row>
    <row r="2567" spans="1:2" x14ac:dyDescent="0.2">
      <c r="A2567">
        <v>2561</v>
      </c>
      <c r="B2567" t="s">
        <v>54</v>
      </c>
    </row>
    <row r="2568" spans="1:2" x14ac:dyDescent="0.2">
      <c r="A2568">
        <v>2562</v>
      </c>
      <c r="B2568" t="s">
        <v>54</v>
      </c>
    </row>
    <row r="2569" spans="1:2" x14ac:dyDescent="0.2">
      <c r="A2569">
        <v>2563</v>
      </c>
      <c r="B2569" t="s">
        <v>54</v>
      </c>
    </row>
    <row r="2570" spans="1:2" x14ac:dyDescent="0.2">
      <c r="A2570">
        <v>2564</v>
      </c>
      <c r="B2570" t="s">
        <v>54</v>
      </c>
    </row>
    <row r="2571" spans="1:2" x14ac:dyDescent="0.2">
      <c r="A2571">
        <v>2565</v>
      </c>
      <c r="B2571" t="s">
        <v>54</v>
      </c>
    </row>
    <row r="2572" spans="1:2" x14ac:dyDescent="0.2">
      <c r="A2572">
        <v>2566</v>
      </c>
      <c r="B2572" t="s">
        <v>54</v>
      </c>
    </row>
    <row r="2573" spans="1:2" x14ac:dyDescent="0.2">
      <c r="A2573">
        <v>2567</v>
      </c>
      <c r="B2573" t="s">
        <v>54</v>
      </c>
    </row>
    <row r="2574" spans="1:2" x14ac:dyDescent="0.2">
      <c r="A2574">
        <v>2568</v>
      </c>
      <c r="B2574" t="s">
        <v>54</v>
      </c>
    </row>
    <row r="2575" spans="1:2" x14ac:dyDescent="0.2">
      <c r="A2575">
        <v>2569</v>
      </c>
      <c r="B2575" t="s">
        <v>54</v>
      </c>
    </row>
    <row r="2576" spans="1:2" x14ac:dyDescent="0.2">
      <c r="A2576">
        <v>2570</v>
      </c>
      <c r="B2576" t="s">
        <v>54</v>
      </c>
    </row>
    <row r="2577" spans="1:2" x14ac:dyDescent="0.2">
      <c r="A2577">
        <v>2571</v>
      </c>
      <c r="B2577" t="s">
        <v>54</v>
      </c>
    </row>
    <row r="2578" spans="1:2" x14ac:dyDescent="0.2">
      <c r="A2578">
        <v>2572</v>
      </c>
      <c r="B2578" t="s">
        <v>54</v>
      </c>
    </row>
    <row r="2579" spans="1:2" x14ac:dyDescent="0.2">
      <c r="A2579">
        <v>2573</v>
      </c>
      <c r="B2579" t="s">
        <v>54</v>
      </c>
    </row>
    <row r="2580" spans="1:2" x14ac:dyDescent="0.2">
      <c r="A2580">
        <v>2574</v>
      </c>
      <c r="B2580" t="s">
        <v>54</v>
      </c>
    </row>
    <row r="2581" spans="1:2" x14ac:dyDescent="0.2">
      <c r="A2581">
        <v>2575</v>
      </c>
      <c r="B2581" t="s">
        <v>54</v>
      </c>
    </row>
    <row r="2582" spans="1:2" x14ac:dyDescent="0.2">
      <c r="A2582">
        <v>2576</v>
      </c>
      <c r="B2582" t="s">
        <v>54</v>
      </c>
    </row>
    <row r="2583" spans="1:2" x14ac:dyDescent="0.2">
      <c r="A2583">
        <v>2577</v>
      </c>
      <c r="B2583" t="s">
        <v>54</v>
      </c>
    </row>
    <row r="2584" spans="1:2" x14ac:dyDescent="0.2">
      <c r="A2584">
        <v>2578</v>
      </c>
      <c r="B2584" t="s">
        <v>54</v>
      </c>
    </row>
    <row r="2585" spans="1:2" x14ac:dyDescent="0.2">
      <c r="A2585">
        <v>2579</v>
      </c>
      <c r="B2585" t="s">
        <v>54</v>
      </c>
    </row>
    <row r="2586" spans="1:2" x14ac:dyDescent="0.2">
      <c r="A2586">
        <v>2580</v>
      </c>
      <c r="B2586" t="s">
        <v>54</v>
      </c>
    </row>
    <row r="2587" spans="1:2" x14ac:dyDescent="0.2">
      <c r="A2587">
        <v>2581</v>
      </c>
      <c r="B2587" t="s">
        <v>54</v>
      </c>
    </row>
    <row r="2588" spans="1:2" x14ac:dyDescent="0.2">
      <c r="A2588">
        <v>2582</v>
      </c>
      <c r="B2588" t="s">
        <v>54</v>
      </c>
    </row>
    <row r="2589" spans="1:2" x14ac:dyDescent="0.2">
      <c r="A2589">
        <v>2583</v>
      </c>
      <c r="B2589" t="s">
        <v>54</v>
      </c>
    </row>
    <row r="2590" spans="1:2" x14ac:dyDescent="0.2">
      <c r="A2590">
        <v>2584</v>
      </c>
      <c r="B2590" t="s">
        <v>54</v>
      </c>
    </row>
    <row r="2591" spans="1:2" x14ac:dyDescent="0.2">
      <c r="A2591">
        <v>2585</v>
      </c>
      <c r="B2591" t="s">
        <v>54</v>
      </c>
    </row>
    <row r="2592" spans="1:2" x14ac:dyDescent="0.2">
      <c r="A2592">
        <v>2586</v>
      </c>
      <c r="B2592" t="s">
        <v>54</v>
      </c>
    </row>
    <row r="2593" spans="1:2" x14ac:dyDescent="0.2">
      <c r="A2593">
        <v>2587</v>
      </c>
      <c r="B2593" t="s">
        <v>54</v>
      </c>
    </row>
    <row r="2594" spans="1:2" x14ac:dyDescent="0.2">
      <c r="A2594">
        <v>2588</v>
      </c>
      <c r="B2594" t="s">
        <v>54</v>
      </c>
    </row>
    <row r="2595" spans="1:2" x14ac:dyDescent="0.2">
      <c r="A2595">
        <v>2589</v>
      </c>
      <c r="B2595" t="s">
        <v>54</v>
      </c>
    </row>
    <row r="2596" spans="1:2" x14ac:dyDescent="0.2">
      <c r="A2596">
        <v>2590</v>
      </c>
      <c r="B2596" t="s">
        <v>54</v>
      </c>
    </row>
    <row r="2597" spans="1:2" x14ac:dyDescent="0.2">
      <c r="A2597">
        <v>2591</v>
      </c>
      <c r="B2597" t="s">
        <v>54</v>
      </c>
    </row>
    <row r="2598" spans="1:2" x14ac:dyDescent="0.2">
      <c r="A2598">
        <v>2592</v>
      </c>
      <c r="B2598" t="s">
        <v>54</v>
      </c>
    </row>
    <row r="2599" spans="1:2" x14ac:dyDescent="0.2">
      <c r="A2599">
        <v>2593</v>
      </c>
      <c r="B2599" t="s">
        <v>54</v>
      </c>
    </row>
    <row r="2600" spans="1:2" x14ac:dyDescent="0.2">
      <c r="A2600">
        <v>2594</v>
      </c>
      <c r="B2600" t="s">
        <v>54</v>
      </c>
    </row>
    <row r="2601" spans="1:2" x14ac:dyDescent="0.2">
      <c r="A2601">
        <v>2595</v>
      </c>
      <c r="B2601" t="s">
        <v>54</v>
      </c>
    </row>
    <row r="2602" spans="1:2" x14ac:dyDescent="0.2">
      <c r="A2602">
        <v>2596</v>
      </c>
      <c r="B2602" t="s">
        <v>54</v>
      </c>
    </row>
    <row r="2603" spans="1:2" x14ac:dyDescent="0.2">
      <c r="A2603">
        <v>2597</v>
      </c>
      <c r="B2603" t="s">
        <v>54</v>
      </c>
    </row>
    <row r="2604" spans="1:2" x14ac:dyDescent="0.2">
      <c r="A2604">
        <v>2598</v>
      </c>
      <c r="B2604" t="s">
        <v>54</v>
      </c>
    </row>
    <row r="2605" spans="1:2" x14ac:dyDescent="0.2">
      <c r="A2605">
        <v>2599</v>
      </c>
      <c r="B2605" t="s">
        <v>54</v>
      </c>
    </row>
    <row r="2606" spans="1:2" x14ac:dyDescent="0.2">
      <c r="A2606">
        <v>2600</v>
      </c>
      <c r="B2606" t="s">
        <v>54</v>
      </c>
    </row>
    <row r="2607" spans="1:2" x14ac:dyDescent="0.2">
      <c r="A2607">
        <v>2601</v>
      </c>
      <c r="B2607" t="s">
        <v>54</v>
      </c>
    </row>
    <row r="2608" spans="1:2" x14ac:dyDescent="0.2">
      <c r="A2608">
        <v>2602</v>
      </c>
      <c r="B2608" t="s">
        <v>54</v>
      </c>
    </row>
    <row r="2609" spans="1:2" x14ac:dyDescent="0.2">
      <c r="A2609">
        <v>2603</v>
      </c>
      <c r="B2609" t="s">
        <v>54</v>
      </c>
    </row>
    <row r="2610" spans="1:2" x14ac:dyDescent="0.2">
      <c r="A2610">
        <v>2604</v>
      </c>
      <c r="B2610" t="s">
        <v>54</v>
      </c>
    </row>
    <row r="2611" spans="1:2" x14ac:dyDescent="0.2">
      <c r="A2611">
        <v>2605</v>
      </c>
      <c r="B2611" t="s">
        <v>54</v>
      </c>
    </row>
    <row r="2612" spans="1:2" x14ac:dyDescent="0.2">
      <c r="A2612">
        <v>2606</v>
      </c>
      <c r="B2612" t="s">
        <v>54</v>
      </c>
    </row>
    <row r="2613" spans="1:2" x14ac:dyDescent="0.2">
      <c r="A2613">
        <v>2607</v>
      </c>
      <c r="B2613" t="s">
        <v>54</v>
      </c>
    </row>
    <row r="2614" spans="1:2" x14ac:dyDescent="0.2">
      <c r="A2614">
        <v>2608</v>
      </c>
      <c r="B2614" t="s">
        <v>54</v>
      </c>
    </row>
    <row r="2615" spans="1:2" x14ac:dyDescent="0.2">
      <c r="A2615">
        <v>2609</v>
      </c>
      <c r="B2615" t="s">
        <v>54</v>
      </c>
    </row>
    <row r="2616" spans="1:2" x14ac:dyDescent="0.2">
      <c r="A2616">
        <v>2610</v>
      </c>
      <c r="B2616" t="s">
        <v>54</v>
      </c>
    </row>
    <row r="2617" spans="1:2" x14ac:dyDescent="0.2">
      <c r="A2617">
        <v>2611</v>
      </c>
      <c r="B2617" t="s">
        <v>54</v>
      </c>
    </row>
    <row r="2618" spans="1:2" x14ac:dyDescent="0.2">
      <c r="A2618">
        <v>2612</v>
      </c>
      <c r="B2618" t="s">
        <v>54</v>
      </c>
    </row>
    <row r="2619" spans="1:2" x14ac:dyDescent="0.2">
      <c r="A2619">
        <v>2613</v>
      </c>
      <c r="B2619" t="s">
        <v>54</v>
      </c>
    </row>
    <row r="2620" spans="1:2" x14ac:dyDescent="0.2">
      <c r="A2620">
        <v>2614</v>
      </c>
      <c r="B2620" t="s">
        <v>54</v>
      </c>
    </row>
    <row r="2621" spans="1:2" x14ac:dyDescent="0.2">
      <c r="A2621">
        <v>2615</v>
      </c>
      <c r="B2621" t="s">
        <v>54</v>
      </c>
    </row>
    <row r="2622" spans="1:2" x14ac:dyDescent="0.2">
      <c r="A2622">
        <v>2616</v>
      </c>
      <c r="B2622" t="s">
        <v>54</v>
      </c>
    </row>
    <row r="2623" spans="1:2" x14ac:dyDescent="0.2">
      <c r="A2623">
        <v>2617</v>
      </c>
      <c r="B2623" t="s">
        <v>54</v>
      </c>
    </row>
    <row r="2624" spans="1:2" x14ac:dyDescent="0.2">
      <c r="A2624">
        <v>2618</v>
      </c>
      <c r="B2624" t="s">
        <v>54</v>
      </c>
    </row>
    <row r="2625" spans="1:2" x14ac:dyDescent="0.2">
      <c r="A2625">
        <v>2619</v>
      </c>
      <c r="B2625" t="s">
        <v>54</v>
      </c>
    </row>
    <row r="2626" spans="1:2" x14ac:dyDescent="0.2">
      <c r="A2626">
        <v>2620</v>
      </c>
      <c r="B2626" t="s">
        <v>54</v>
      </c>
    </row>
    <row r="2627" spans="1:2" x14ac:dyDescent="0.2">
      <c r="A2627">
        <v>2621</v>
      </c>
      <c r="B2627" t="s">
        <v>54</v>
      </c>
    </row>
    <row r="2628" spans="1:2" x14ac:dyDescent="0.2">
      <c r="A2628">
        <v>2622</v>
      </c>
      <c r="B2628" t="s">
        <v>54</v>
      </c>
    </row>
    <row r="2629" spans="1:2" x14ac:dyDescent="0.2">
      <c r="A2629">
        <v>2623</v>
      </c>
      <c r="B2629" t="s">
        <v>54</v>
      </c>
    </row>
    <row r="2630" spans="1:2" x14ac:dyDescent="0.2">
      <c r="A2630">
        <v>2624</v>
      </c>
      <c r="B2630" t="s">
        <v>54</v>
      </c>
    </row>
    <row r="2631" spans="1:2" x14ac:dyDescent="0.2">
      <c r="A2631">
        <v>2625</v>
      </c>
      <c r="B2631" t="s">
        <v>54</v>
      </c>
    </row>
    <row r="2632" spans="1:2" x14ac:dyDescent="0.2">
      <c r="A2632">
        <v>2626</v>
      </c>
      <c r="B2632" t="s">
        <v>54</v>
      </c>
    </row>
    <row r="2633" spans="1:2" x14ac:dyDescent="0.2">
      <c r="A2633">
        <v>2627</v>
      </c>
      <c r="B2633" t="s">
        <v>54</v>
      </c>
    </row>
    <row r="2634" spans="1:2" x14ac:dyDescent="0.2">
      <c r="A2634">
        <v>2628</v>
      </c>
      <c r="B2634" t="s">
        <v>54</v>
      </c>
    </row>
    <row r="2635" spans="1:2" x14ac:dyDescent="0.2">
      <c r="A2635">
        <v>2629</v>
      </c>
      <c r="B2635" t="s">
        <v>54</v>
      </c>
    </row>
    <row r="2636" spans="1:2" x14ac:dyDescent="0.2">
      <c r="A2636">
        <v>2630</v>
      </c>
      <c r="B2636" t="s">
        <v>54</v>
      </c>
    </row>
    <row r="2637" spans="1:2" x14ac:dyDescent="0.2">
      <c r="A2637">
        <v>2631</v>
      </c>
      <c r="B2637" t="s">
        <v>54</v>
      </c>
    </row>
    <row r="2638" spans="1:2" x14ac:dyDescent="0.2">
      <c r="A2638">
        <v>2632</v>
      </c>
      <c r="B2638" t="s">
        <v>54</v>
      </c>
    </row>
    <row r="2639" spans="1:2" x14ac:dyDescent="0.2">
      <c r="A2639">
        <v>2633</v>
      </c>
      <c r="B2639" t="s">
        <v>54</v>
      </c>
    </row>
    <row r="2640" spans="1:2" x14ac:dyDescent="0.2">
      <c r="A2640">
        <v>2634</v>
      </c>
      <c r="B2640" t="s">
        <v>54</v>
      </c>
    </row>
    <row r="2641" spans="1:2" x14ac:dyDescent="0.2">
      <c r="A2641">
        <v>2635</v>
      </c>
      <c r="B2641" t="s">
        <v>54</v>
      </c>
    </row>
    <row r="2642" spans="1:2" x14ac:dyDescent="0.2">
      <c r="A2642">
        <v>2636</v>
      </c>
      <c r="B2642" t="s">
        <v>54</v>
      </c>
    </row>
    <row r="2643" spans="1:2" x14ac:dyDescent="0.2">
      <c r="A2643">
        <v>2637</v>
      </c>
      <c r="B2643" t="s">
        <v>54</v>
      </c>
    </row>
    <row r="2644" spans="1:2" x14ac:dyDescent="0.2">
      <c r="A2644">
        <v>2638</v>
      </c>
      <c r="B2644" t="s">
        <v>54</v>
      </c>
    </row>
    <row r="2645" spans="1:2" x14ac:dyDescent="0.2">
      <c r="A2645">
        <v>2639</v>
      </c>
      <c r="B2645" t="s">
        <v>54</v>
      </c>
    </row>
    <row r="2646" spans="1:2" x14ac:dyDescent="0.2">
      <c r="A2646">
        <v>2640</v>
      </c>
      <c r="B2646" t="s">
        <v>54</v>
      </c>
    </row>
    <row r="2647" spans="1:2" x14ac:dyDescent="0.2">
      <c r="A2647">
        <v>2641</v>
      </c>
      <c r="B2647" t="s">
        <v>54</v>
      </c>
    </row>
    <row r="2648" spans="1:2" x14ac:dyDescent="0.2">
      <c r="A2648">
        <v>2642</v>
      </c>
      <c r="B2648" t="s">
        <v>54</v>
      </c>
    </row>
    <row r="2649" spans="1:2" x14ac:dyDescent="0.2">
      <c r="A2649">
        <v>2643</v>
      </c>
      <c r="B2649" t="s">
        <v>54</v>
      </c>
    </row>
    <row r="2650" spans="1:2" x14ac:dyDescent="0.2">
      <c r="A2650">
        <v>2644</v>
      </c>
      <c r="B2650" t="s">
        <v>54</v>
      </c>
    </row>
    <row r="2651" spans="1:2" x14ac:dyDescent="0.2">
      <c r="A2651">
        <v>2645</v>
      </c>
      <c r="B2651" t="s">
        <v>54</v>
      </c>
    </row>
    <row r="2652" spans="1:2" x14ac:dyDescent="0.2">
      <c r="A2652">
        <v>2646</v>
      </c>
      <c r="B2652" t="s">
        <v>54</v>
      </c>
    </row>
    <row r="2653" spans="1:2" x14ac:dyDescent="0.2">
      <c r="A2653">
        <v>2647</v>
      </c>
      <c r="B2653" t="s">
        <v>54</v>
      </c>
    </row>
    <row r="2654" spans="1:2" x14ac:dyDescent="0.2">
      <c r="A2654">
        <v>2648</v>
      </c>
      <c r="B2654" t="s">
        <v>54</v>
      </c>
    </row>
    <row r="2655" spans="1:2" x14ac:dyDescent="0.2">
      <c r="A2655">
        <v>2649</v>
      </c>
      <c r="B2655" t="s">
        <v>54</v>
      </c>
    </row>
    <row r="2656" spans="1:2" x14ac:dyDescent="0.2">
      <c r="A2656">
        <v>2650</v>
      </c>
      <c r="B2656" t="s">
        <v>54</v>
      </c>
    </row>
    <row r="2657" spans="1:2" x14ac:dyDescent="0.2">
      <c r="A2657">
        <v>2651</v>
      </c>
      <c r="B2657" t="s">
        <v>54</v>
      </c>
    </row>
    <row r="2658" spans="1:2" x14ac:dyDescent="0.2">
      <c r="A2658">
        <v>2652</v>
      </c>
      <c r="B2658" t="s">
        <v>54</v>
      </c>
    </row>
    <row r="2659" spans="1:2" x14ac:dyDescent="0.2">
      <c r="A2659">
        <v>2653</v>
      </c>
      <c r="B2659" t="s">
        <v>54</v>
      </c>
    </row>
    <row r="2660" spans="1:2" x14ac:dyDescent="0.2">
      <c r="A2660">
        <v>2654</v>
      </c>
      <c r="B2660" t="s">
        <v>54</v>
      </c>
    </row>
    <row r="2661" spans="1:2" x14ac:dyDescent="0.2">
      <c r="A2661">
        <v>2655</v>
      </c>
      <c r="B2661" t="s">
        <v>54</v>
      </c>
    </row>
    <row r="2662" spans="1:2" x14ac:dyDescent="0.2">
      <c r="A2662">
        <v>2656</v>
      </c>
      <c r="B2662" t="s">
        <v>54</v>
      </c>
    </row>
    <row r="2663" spans="1:2" x14ac:dyDescent="0.2">
      <c r="A2663">
        <v>2657</v>
      </c>
      <c r="B2663" t="s">
        <v>54</v>
      </c>
    </row>
    <row r="2664" spans="1:2" x14ac:dyDescent="0.2">
      <c r="A2664">
        <v>2658</v>
      </c>
      <c r="B2664" t="s">
        <v>54</v>
      </c>
    </row>
    <row r="2665" spans="1:2" x14ac:dyDescent="0.2">
      <c r="A2665">
        <v>2659</v>
      </c>
      <c r="B2665" t="s">
        <v>54</v>
      </c>
    </row>
    <row r="2666" spans="1:2" x14ac:dyDescent="0.2">
      <c r="A2666">
        <v>2660</v>
      </c>
      <c r="B2666" t="s">
        <v>54</v>
      </c>
    </row>
    <row r="2667" spans="1:2" x14ac:dyDescent="0.2">
      <c r="A2667">
        <v>2661</v>
      </c>
      <c r="B2667" t="s">
        <v>54</v>
      </c>
    </row>
    <row r="2668" spans="1:2" x14ac:dyDescent="0.2">
      <c r="A2668">
        <v>2662</v>
      </c>
      <c r="B2668" t="s">
        <v>54</v>
      </c>
    </row>
    <row r="2669" spans="1:2" x14ac:dyDescent="0.2">
      <c r="A2669">
        <v>2663</v>
      </c>
      <c r="B2669" t="s">
        <v>54</v>
      </c>
    </row>
    <row r="2670" spans="1:2" x14ac:dyDescent="0.2">
      <c r="A2670">
        <v>2664</v>
      </c>
      <c r="B2670" t="s">
        <v>54</v>
      </c>
    </row>
    <row r="2671" spans="1:2" x14ac:dyDescent="0.2">
      <c r="A2671">
        <v>2665</v>
      </c>
      <c r="B2671" t="s">
        <v>54</v>
      </c>
    </row>
    <row r="2672" spans="1:2" x14ac:dyDescent="0.2">
      <c r="A2672">
        <v>2666</v>
      </c>
      <c r="B2672" t="s">
        <v>54</v>
      </c>
    </row>
    <row r="2673" spans="1:2" x14ac:dyDescent="0.2">
      <c r="A2673">
        <v>2667</v>
      </c>
      <c r="B2673" t="s">
        <v>54</v>
      </c>
    </row>
    <row r="2674" spans="1:2" x14ac:dyDescent="0.2">
      <c r="A2674">
        <v>2668</v>
      </c>
      <c r="B2674" t="s">
        <v>54</v>
      </c>
    </row>
    <row r="2675" spans="1:2" x14ac:dyDescent="0.2">
      <c r="A2675">
        <v>2669</v>
      </c>
      <c r="B2675" t="s">
        <v>54</v>
      </c>
    </row>
    <row r="2676" spans="1:2" x14ac:dyDescent="0.2">
      <c r="A2676">
        <v>2670</v>
      </c>
      <c r="B2676" t="s">
        <v>54</v>
      </c>
    </row>
    <row r="2677" spans="1:2" x14ac:dyDescent="0.2">
      <c r="A2677">
        <v>2671</v>
      </c>
      <c r="B2677" t="s">
        <v>54</v>
      </c>
    </row>
    <row r="2678" spans="1:2" x14ac:dyDescent="0.2">
      <c r="A2678">
        <v>2672</v>
      </c>
      <c r="B2678" t="s">
        <v>54</v>
      </c>
    </row>
    <row r="2679" spans="1:2" x14ac:dyDescent="0.2">
      <c r="A2679">
        <v>2673</v>
      </c>
      <c r="B2679" t="s">
        <v>54</v>
      </c>
    </row>
    <row r="2680" spans="1:2" x14ac:dyDescent="0.2">
      <c r="A2680">
        <v>2674</v>
      </c>
      <c r="B2680" t="s">
        <v>54</v>
      </c>
    </row>
    <row r="2681" spans="1:2" x14ac:dyDescent="0.2">
      <c r="A2681">
        <v>2675</v>
      </c>
      <c r="B2681" t="s">
        <v>54</v>
      </c>
    </row>
    <row r="2682" spans="1:2" x14ac:dyDescent="0.2">
      <c r="A2682">
        <v>2676</v>
      </c>
      <c r="B2682" t="s">
        <v>54</v>
      </c>
    </row>
    <row r="2683" spans="1:2" x14ac:dyDescent="0.2">
      <c r="A2683">
        <v>2677</v>
      </c>
      <c r="B2683" t="s">
        <v>54</v>
      </c>
    </row>
    <row r="2684" spans="1:2" x14ac:dyDescent="0.2">
      <c r="A2684">
        <v>2678</v>
      </c>
      <c r="B2684" t="s">
        <v>54</v>
      </c>
    </row>
    <row r="2685" spans="1:2" x14ac:dyDescent="0.2">
      <c r="A2685">
        <v>2679</v>
      </c>
      <c r="B2685" t="s">
        <v>54</v>
      </c>
    </row>
    <row r="2686" spans="1:2" x14ac:dyDescent="0.2">
      <c r="A2686">
        <v>2680</v>
      </c>
      <c r="B2686" t="s">
        <v>54</v>
      </c>
    </row>
    <row r="2687" spans="1:2" x14ac:dyDescent="0.2">
      <c r="A2687">
        <v>2681</v>
      </c>
      <c r="B2687" t="s">
        <v>54</v>
      </c>
    </row>
    <row r="2688" spans="1:2" x14ac:dyDescent="0.2">
      <c r="A2688">
        <v>2682</v>
      </c>
      <c r="B2688" t="s">
        <v>54</v>
      </c>
    </row>
    <row r="2689" spans="1:2" x14ac:dyDescent="0.2">
      <c r="A2689">
        <v>2683</v>
      </c>
      <c r="B2689" t="s">
        <v>54</v>
      </c>
    </row>
    <row r="2690" spans="1:2" x14ac:dyDescent="0.2">
      <c r="A2690">
        <v>2684</v>
      </c>
      <c r="B2690" t="s">
        <v>54</v>
      </c>
    </row>
    <row r="2691" spans="1:2" x14ac:dyDescent="0.2">
      <c r="A2691">
        <v>2685</v>
      </c>
      <c r="B2691" t="s">
        <v>54</v>
      </c>
    </row>
    <row r="2692" spans="1:2" x14ac:dyDescent="0.2">
      <c r="A2692">
        <v>2686</v>
      </c>
      <c r="B2692" t="s">
        <v>54</v>
      </c>
    </row>
    <row r="2693" spans="1:2" x14ac:dyDescent="0.2">
      <c r="A2693">
        <v>2687</v>
      </c>
      <c r="B2693" t="s">
        <v>54</v>
      </c>
    </row>
    <row r="2694" spans="1:2" x14ac:dyDescent="0.2">
      <c r="A2694">
        <v>2688</v>
      </c>
      <c r="B2694" t="s">
        <v>54</v>
      </c>
    </row>
    <row r="2695" spans="1:2" x14ac:dyDescent="0.2">
      <c r="A2695">
        <v>2689</v>
      </c>
      <c r="B2695" t="s">
        <v>54</v>
      </c>
    </row>
    <row r="2696" spans="1:2" x14ac:dyDescent="0.2">
      <c r="A2696">
        <v>2690</v>
      </c>
      <c r="B2696" t="s">
        <v>54</v>
      </c>
    </row>
    <row r="2697" spans="1:2" x14ac:dyDescent="0.2">
      <c r="A2697">
        <v>2691</v>
      </c>
      <c r="B2697" t="s">
        <v>54</v>
      </c>
    </row>
    <row r="2698" spans="1:2" x14ac:dyDescent="0.2">
      <c r="A2698">
        <v>2692</v>
      </c>
      <c r="B2698" t="s">
        <v>54</v>
      </c>
    </row>
    <row r="2699" spans="1:2" x14ac:dyDescent="0.2">
      <c r="A2699">
        <v>2693</v>
      </c>
      <c r="B2699" t="s">
        <v>54</v>
      </c>
    </row>
    <row r="2700" spans="1:2" x14ac:dyDescent="0.2">
      <c r="A2700">
        <v>2694</v>
      </c>
      <c r="B2700" t="s">
        <v>54</v>
      </c>
    </row>
    <row r="2701" spans="1:2" x14ac:dyDescent="0.2">
      <c r="A2701">
        <v>2695</v>
      </c>
      <c r="B2701" t="s">
        <v>54</v>
      </c>
    </row>
    <row r="2702" spans="1:2" x14ac:dyDescent="0.2">
      <c r="A2702">
        <v>2696</v>
      </c>
      <c r="B2702" t="s">
        <v>54</v>
      </c>
    </row>
    <row r="2703" spans="1:2" x14ac:dyDescent="0.2">
      <c r="A2703">
        <v>2697</v>
      </c>
      <c r="B2703" t="s">
        <v>54</v>
      </c>
    </row>
    <row r="2704" spans="1:2" x14ac:dyDescent="0.2">
      <c r="A2704">
        <v>2698</v>
      </c>
      <c r="B2704" t="s">
        <v>54</v>
      </c>
    </row>
    <row r="2705" spans="1:2" x14ac:dyDescent="0.2">
      <c r="A2705">
        <v>2699</v>
      </c>
      <c r="B2705" t="s">
        <v>54</v>
      </c>
    </row>
    <row r="2706" spans="1:2" x14ac:dyDescent="0.2">
      <c r="A2706">
        <v>2700</v>
      </c>
      <c r="B2706" t="s">
        <v>54</v>
      </c>
    </row>
    <row r="2707" spans="1:2" x14ac:dyDescent="0.2">
      <c r="A2707">
        <v>2701</v>
      </c>
      <c r="B2707" t="s">
        <v>54</v>
      </c>
    </row>
    <row r="2708" spans="1:2" x14ac:dyDescent="0.2">
      <c r="A2708">
        <v>2702</v>
      </c>
      <c r="B2708" t="s">
        <v>54</v>
      </c>
    </row>
    <row r="2709" spans="1:2" x14ac:dyDescent="0.2">
      <c r="A2709">
        <v>2703</v>
      </c>
      <c r="B2709" t="s">
        <v>54</v>
      </c>
    </row>
    <row r="2710" spans="1:2" x14ac:dyDescent="0.2">
      <c r="A2710">
        <v>2704</v>
      </c>
      <c r="B2710" t="s">
        <v>54</v>
      </c>
    </row>
    <row r="2711" spans="1:2" x14ac:dyDescent="0.2">
      <c r="A2711">
        <v>2705</v>
      </c>
      <c r="B2711" t="s">
        <v>54</v>
      </c>
    </row>
    <row r="2712" spans="1:2" x14ac:dyDescent="0.2">
      <c r="A2712">
        <v>2706</v>
      </c>
      <c r="B2712" t="s">
        <v>54</v>
      </c>
    </row>
    <row r="2713" spans="1:2" x14ac:dyDescent="0.2">
      <c r="A2713">
        <v>2707</v>
      </c>
      <c r="B2713" t="s">
        <v>54</v>
      </c>
    </row>
    <row r="2714" spans="1:2" x14ac:dyDescent="0.2">
      <c r="A2714">
        <v>2708</v>
      </c>
      <c r="B2714" t="s">
        <v>54</v>
      </c>
    </row>
    <row r="2715" spans="1:2" x14ac:dyDescent="0.2">
      <c r="A2715">
        <v>2709</v>
      </c>
      <c r="B2715" t="s">
        <v>54</v>
      </c>
    </row>
    <row r="2716" spans="1:2" x14ac:dyDescent="0.2">
      <c r="A2716">
        <v>2710</v>
      </c>
      <c r="B2716" t="s">
        <v>54</v>
      </c>
    </row>
    <row r="2717" spans="1:2" x14ac:dyDescent="0.2">
      <c r="A2717">
        <v>2711</v>
      </c>
      <c r="B2717" t="s">
        <v>54</v>
      </c>
    </row>
    <row r="2718" spans="1:2" x14ac:dyDescent="0.2">
      <c r="A2718">
        <v>2712</v>
      </c>
      <c r="B2718" t="s">
        <v>54</v>
      </c>
    </row>
    <row r="2719" spans="1:2" x14ac:dyDescent="0.2">
      <c r="A2719">
        <v>2713</v>
      </c>
      <c r="B2719" t="s">
        <v>54</v>
      </c>
    </row>
    <row r="2720" spans="1:2" x14ac:dyDescent="0.2">
      <c r="A2720">
        <v>2714</v>
      </c>
      <c r="B2720" t="s">
        <v>54</v>
      </c>
    </row>
    <row r="2721" spans="1:2" x14ac:dyDescent="0.2">
      <c r="A2721">
        <v>2715</v>
      </c>
      <c r="B2721" t="s">
        <v>54</v>
      </c>
    </row>
    <row r="2722" spans="1:2" x14ac:dyDescent="0.2">
      <c r="A2722">
        <v>2716</v>
      </c>
      <c r="B2722" t="s">
        <v>54</v>
      </c>
    </row>
    <row r="2723" spans="1:2" x14ac:dyDescent="0.2">
      <c r="A2723">
        <v>2717</v>
      </c>
      <c r="B2723" t="s">
        <v>54</v>
      </c>
    </row>
    <row r="2724" spans="1:2" x14ac:dyDescent="0.2">
      <c r="A2724">
        <v>2718</v>
      </c>
      <c r="B2724" t="s">
        <v>54</v>
      </c>
    </row>
    <row r="2725" spans="1:2" x14ac:dyDescent="0.2">
      <c r="A2725">
        <v>2719</v>
      </c>
      <c r="B2725" t="s">
        <v>54</v>
      </c>
    </row>
    <row r="2726" spans="1:2" x14ac:dyDescent="0.2">
      <c r="A2726">
        <v>2720</v>
      </c>
      <c r="B2726" t="s">
        <v>54</v>
      </c>
    </row>
    <row r="2727" spans="1:2" x14ac:dyDescent="0.2">
      <c r="A2727">
        <v>2721</v>
      </c>
      <c r="B2727" t="s">
        <v>54</v>
      </c>
    </row>
    <row r="2728" spans="1:2" x14ac:dyDescent="0.2">
      <c r="A2728">
        <v>2722</v>
      </c>
      <c r="B2728" t="s">
        <v>54</v>
      </c>
    </row>
    <row r="2729" spans="1:2" x14ac:dyDescent="0.2">
      <c r="A2729">
        <v>2723</v>
      </c>
      <c r="B2729" t="s">
        <v>54</v>
      </c>
    </row>
    <row r="2730" spans="1:2" x14ac:dyDescent="0.2">
      <c r="A2730">
        <v>2724</v>
      </c>
      <c r="B2730" t="s">
        <v>54</v>
      </c>
    </row>
    <row r="2731" spans="1:2" x14ac:dyDescent="0.2">
      <c r="A2731">
        <v>2725</v>
      </c>
      <c r="B2731" t="s">
        <v>54</v>
      </c>
    </row>
    <row r="2732" spans="1:2" x14ac:dyDescent="0.2">
      <c r="A2732">
        <v>2726</v>
      </c>
      <c r="B2732" t="s">
        <v>54</v>
      </c>
    </row>
    <row r="2733" spans="1:2" x14ac:dyDescent="0.2">
      <c r="A2733">
        <v>2727</v>
      </c>
      <c r="B2733" t="s">
        <v>54</v>
      </c>
    </row>
    <row r="2734" spans="1:2" x14ac:dyDescent="0.2">
      <c r="A2734">
        <v>2728</v>
      </c>
      <c r="B2734" t="s">
        <v>54</v>
      </c>
    </row>
    <row r="2735" spans="1:2" x14ac:dyDescent="0.2">
      <c r="A2735">
        <v>2729</v>
      </c>
      <c r="B2735" t="s">
        <v>54</v>
      </c>
    </row>
    <row r="2736" spans="1:2" x14ac:dyDescent="0.2">
      <c r="A2736">
        <v>2730</v>
      </c>
      <c r="B2736" t="s">
        <v>54</v>
      </c>
    </row>
    <row r="2737" spans="1:2" x14ac:dyDescent="0.2">
      <c r="A2737">
        <v>2731</v>
      </c>
      <c r="B2737" t="s">
        <v>54</v>
      </c>
    </row>
    <row r="2738" spans="1:2" x14ac:dyDescent="0.2">
      <c r="A2738">
        <v>2732</v>
      </c>
      <c r="B2738" t="s">
        <v>54</v>
      </c>
    </row>
    <row r="2739" spans="1:2" x14ac:dyDescent="0.2">
      <c r="A2739">
        <v>2733</v>
      </c>
      <c r="B2739" t="s">
        <v>54</v>
      </c>
    </row>
    <row r="2740" spans="1:2" x14ac:dyDescent="0.2">
      <c r="A2740">
        <v>2734</v>
      </c>
      <c r="B2740" t="s">
        <v>54</v>
      </c>
    </row>
    <row r="2741" spans="1:2" x14ac:dyDescent="0.2">
      <c r="A2741">
        <v>2735</v>
      </c>
      <c r="B2741" t="s">
        <v>54</v>
      </c>
    </row>
    <row r="2742" spans="1:2" x14ac:dyDescent="0.2">
      <c r="A2742">
        <v>2736</v>
      </c>
      <c r="B2742" t="s">
        <v>54</v>
      </c>
    </row>
    <row r="2743" spans="1:2" x14ac:dyDescent="0.2">
      <c r="A2743">
        <v>2737</v>
      </c>
      <c r="B2743" t="s">
        <v>54</v>
      </c>
    </row>
    <row r="2744" spans="1:2" x14ac:dyDescent="0.2">
      <c r="A2744">
        <v>2738</v>
      </c>
      <c r="B2744" t="s">
        <v>54</v>
      </c>
    </row>
    <row r="2745" spans="1:2" x14ac:dyDescent="0.2">
      <c r="A2745">
        <v>2739</v>
      </c>
      <c r="B2745" t="s">
        <v>54</v>
      </c>
    </row>
    <row r="2746" spans="1:2" x14ac:dyDescent="0.2">
      <c r="A2746">
        <v>2740</v>
      </c>
      <c r="B2746" t="s">
        <v>54</v>
      </c>
    </row>
    <row r="2747" spans="1:2" x14ac:dyDescent="0.2">
      <c r="A2747">
        <v>2741</v>
      </c>
      <c r="B2747" t="s">
        <v>54</v>
      </c>
    </row>
    <row r="2748" spans="1:2" x14ac:dyDescent="0.2">
      <c r="A2748">
        <v>2742</v>
      </c>
      <c r="B2748" t="s">
        <v>54</v>
      </c>
    </row>
    <row r="2749" spans="1:2" x14ac:dyDescent="0.2">
      <c r="A2749">
        <v>2743</v>
      </c>
      <c r="B2749" t="s">
        <v>54</v>
      </c>
    </row>
    <row r="2750" spans="1:2" x14ac:dyDescent="0.2">
      <c r="A2750">
        <v>2744</v>
      </c>
      <c r="B2750" t="s">
        <v>54</v>
      </c>
    </row>
    <row r="2751" spans="1:2" x14ac:dyDescent="0.2">
      <c r="A2751">
        <v>2745</v>
      </c>
      <c r="B2751" t="s">
        <v>54</v>
      </c>
    </row>
    <row r="2752" spans="1:2" x14ac:dyDescent="0.2">
      <c r="A2752">
        <v>2746</v>
      </c>
      <c r="B2752" t="s">
        <v>54</v>
      </c>
    </row>
    <row r="2753" spans="1:2" x14ac:dyDescent="0.2">
      <c r="A2753">
        <v>2747</v>
      </c>
      <c r="B2753" t="s">
        <v>54</v>
      </c>
    </row>
    <row r="2754" spans="1:2" x14ac:dyDescent="0.2">
      <c r="A2754">
        <v>2748</v>
      </c>
      <c r="B2754" t="s">
        <v>54</v>
      </c>
    </row>
    <row r="2755" spans="1:2" x14ac:dyDescent="0.2">
      <c r="A2755">
        <v>2749</v>
      </c>
      <c r="B2755" t="s">
        <v>54</v>
      </c>
    </row>
    <row r="2756" spans="1:2" x14ac:dyDescent="0.2">
      <c r="A2756">
        <v>2750</v>
      </c>
      <c r="B2756" t="s">
        <v>54</v>
      </c>
    </row>
    <row r="2757" spans="1:2" x14ac:dyDescent="0.2">
      <c r="A2757">
        <v>2751</v>
      </c>
      <c r="B2757" t="s">
        <v>54</v>
      </c>
    </row>
    <row r="2758" spans="1:2" x14ac:dyDescent="0.2">
      <c r="A2758">
        <v>2752</v>
      </c>
      <c r="B2758" t="s">
        <v>54</v>
      </c>
    </row>
    <row r="2759" spans="1:2" x14ac:dyDescent="0.2">
      <c r="A2759">
        <v>2753</v>
      </c>
      <c r="B2759" t="s">
        <v>54</v>
      </c>
    </row>
    <row r="2760" spans="1:2" x14ac:dyDescent="0.2">
      <c r="A2760">
        <v>2754</v>
      </c>
      <c r="B2760" t="s">
        <v>54</v>
      </c>
    </row>
    <row r="2761" spans="1:2" x14ac:dyDescent="0.2">
      <c r="A2761">
        <v>2755</v>
      </c>
      <c r="B2761" t="s">
        <v>54</v>
      </c>
    </row>
    <row r="2762" spans="1:2" x14ac:dyDescent="0.2">
      <c r="A2762">
        <v>2756</v>
      </c>
      <c r="B2762" t="s">
        <v>54</v>
      </c>
    </row>
    <row r="2763" spans="1:2" x14ac:dyDescent="0.2">
      <c r="A2763">
        <v>2757</v>
      </c>
      <c r="B2763" t="s">
        <v>54</v>
      </c>
    </row>
    <row r="2764" spans="1:2" x14ac:dyDescent="0.2">
      <c r="A2764">
        <v>2758</v>
      </c>
      <c r="B2764" t="s">
        <v>54</v>
      </c>
    </row>
    <row r="2765" spans="1:2" x14ac:dyDescent="0.2">
      <c r="A2765">
        <v>2759</v>
      </c>
      <c r="B2765" t="s">
        <v>54</v>
      </c>
    </row>
    <row r="2766" spans="1:2" x14ac:dyDescent="0.2">
      <c r="A2766">
        <v>2760</v>
      </c>
      <c r="B2766" t="s">
        <v>54</v>
      </c>
    </row>
    <row r="2767" spans="1:2" x14ac:dyDescent="0.2">
      <c r="A2767">
        <v>2761</v>
      </c>
      <c r="B2767" t="s">
        <v>54</v>
      </c>
    </row>
    <row r="2768" spans="1:2" x14ac:dyDescent="0.2">
      <c r="A2768">
        <v>2762</v>
      </c>
      <c r="B2768" t="s">
        <v>54</v>
      </c>
    </row>
    <row r="2769" spans="1:2" x14ac:dyDescent="0.2">
      <c r="A2769">
        <v>2763</v>
      </c>
      <c r="B2769" t="s">
        <v>54</v>
      </c>
    </row>
    <row r="2770" spans="1:2" x14ac:dyDescent="0.2">
      <c r="A2770">
        <v>2764</v>
      </c>
      <c r="B2770" t="s">
        <v>54</v>
      </c>
    </row>
    <row r="2771" spans="1:2" x14ac:dyDescent="0.2">
      <c r="A2771">
        <v>2765</v>
      </c>
      <c r="B2771" t="s">
        <v>54</v>
      </c>
    </row>
    <row r="2772" spans="1:2" x14ac:dyDescent="0.2">
      <c r="A2772">
        <v>2766</v>
      </c>
      <c r="B2772" t="s">
        <v>54</v>
      </c>
    </row>
    <row r="2773" spans="1:2" x14ac:dyDescent="0.2">
      <c r="A2773">
        <v>2767</v>
      </c>
      <c r="B2773" t="s">
        <v>54</v>
      </c>
    </row>
    <row r="2774" spans="1:2" x14ac:dyDescent="0.2">
      <c r="A2774">
        <v>2768</v>
      </c>
      <c r="B2774" t="s">
        <v>54</v>
      </c>
    </row>
    <row r="2775" spans="1:2" x14ac:dyDescent="0.2">
      <c r="A2775">
        <v>2769</v>
      </c>
      <c r="B2775" t="s">
        <v>54</v>
      </c>
    </row>
    <row r="2776" spans="1:2" x14ac:dyDescent="0.2">
      <c r="A2776">
        <v>2770</v>
      </c>
      <c r="B2776" t="s">
        <v>54</v>
      </c>
    </row>
    <row r="2777" spans="1:2" x14ac:dyDescent="0.2">
      <c r="A2777">
        <v>2771</v>
      </c>
      <c r="B2777" t="s">
        <v>54</v>
      </c>
    </row>
    <row r="2778" spans="1:2" x14ac:dyDescent="0.2">
      <c r="A2778">
        <v>2772</v>
      </c>
      <c r="B2778" t="s">
        <v>54</v>
      </c>
    </row>
    <row r="2779" spans="1:2" x14ac:dyDescent="0.2">
      <c r="A2779">
        <v>2773</v>
      </c>
      <c r="B2779" t="s">
        <v>54</v>
      </c>
    </row>
    <row r="2780" spans="1:2" x14ac:dyDescent="0.2">
      <c r="A2780">
        <v>2774</v>
      </c>
      <c r="B2780" t="s">
        <v>54</v>
      </c>
    </row>
    <row r="2781" spans="1:2" x14ac:dyDescent="0.2">
      <c r="A2781">
        <v>2775</v>
      </c>
      <c r="B2781" t="s">
        <v>54</v>
      </c>
    </row>
    <row r="2782" spans="1:2" x14ac:dyDescent="0.2">
      <c r="A2782">
        <v>2776</v>
      </c>
      <c r="B2782" t="s">
        <v>54</v>
      </c>
    </row>
    <row r="2783" spans="1:2" x14ac:dyDescent="0.2">
      <c r="A2783">
        <v>2777</v>
      </c>
      <c r="B2783" t="s">
        <v>54</v>
      </c>
    </row>
    <row r="2784" spans="1:2" x14ac:dyDescent="0.2">
      <c r="A2784">
        <v>2778</v>
      </c>
      <c r="B2784" t="s">
        <v>54</v>
      </c>
    </row>
    <row r="2785" spans="1:2" x14ac:dyDescent="0.2">
      <c r="A2785">
        <v>2779</v>
      </c>
      <c r="B2785" t="s">
        <v>54</v>
      </c>
    </row>
    <row r="2786" spans="1:2" x14ac:dyDescent="0.2">
      <c r="A2786">
        <v>2780</v>
      </c>
      <c r="B2786" t="s">
        <v>54</v>
      </c>
    </row>
    <row r="2787" spans="1:2" x14ac:dyDescent="0.2">
      <c r="A2787">
        <v>2781</v>
      </c>
      <c r="B2787" t="s">
        <v>54</v>
      </c>
    </row>
    <row r="2788" spans="1:2" x14ac:dyDescent="0.2">
      <c r="A2788">
        <v>2782</v>
      </c>
      <c r="B2788" t="s">
        <v>54</v>
      </c>
    </row>
    <row r="2789" spans="1:2" x14ac:dyDescent="0.2">
      <c r="A2789">
        <v>2783</v>
      </c>
      <c r="B2789" t="s">
        <v>54</v>
      </c>
    </row>
    <row r="2790" spans="1:2" x14ac:dyDescent="0.2">
      <c r="A2790">
        <v>2784</v>
      </c>
      <c r="B2790" t="s">
        <v>54</v>
      </c>
    </row>
    <row r="2791" spans="1:2" x14ac:dyDescent="0.2">
      <c r="A2791">
        <v>2785</v>
      </c>
      <c r="B2791" t="s">
        <v>54</v>
      </c>
    </row>
    <row r="2792" spans="1:2" x14ac:dyDescent="0.2">
      <c r="A2792">
        <v>2786</v>
      </c>
      <c r="B2792" t="s">
        <v>54</v>
      </c>
    </row>
    <row r="2793" spans="1:2" x14ac:dyDescent="0.2">
      <c r="A2793">
        <v>2787</v>
      </c>
      <c r="B2793" t="s">
        <v>54</v>
      </c>
    </row>
    <row r="2794" spans="1:2" x14ac:dyDescent="0.2">
      <c r="A2794">
        <v>2788</v>
      </c>
      <c r="B2794" t="s">
        <v>54</v>
      </c>
    </row>
    <row r="2795" spans="1:2" x14ac:dyDescent="0.2">
      <c r="A2795">
        <v>2789</v>
      </c>
      <c r="B2795" t="s">
        <v>54</v>
      </c>
    </row>
    <row r="2796" spans="1:2" x14ac:dyDescent="0.2">
      <c r="A2796">
        <v>2790</v>
      </c>
      <c r="B2796" t="s">
        <v>54</v>
      </c>
    </row>
    <row r="2797" spans="1:2" x14ac:dyDescent="0.2">
      <c r="A2797">
        <v>2791</v>
      </c>
      <c r="B2797" t="s">
        <v>54</v>
      </c>
    </row>
    <row r="2798" spans="1:2" x14ac:dyDescent="0.2">
      <c r="A2798">
        <v>2792</v>
      </c>
      <c r="B2798" t="s">
        <v>54</v>
      </c>
    </row>
    <row r="2799" spans="1:2" x14ac:dyDescent="0.2">
      <c r="A2799">
        <v>2793</v>
      </c>
      <c r="B2799" t="s">
        <v>54</v>
      </c>
    </row>
    <row r="2800" spans="1:2" x14ac:dyDescent="0.2">
      <c r="A2800">
        <v>2794</v>
      </c>
      <c r="B2800" t="s">
        <v>54</v>
      </c>
    </row>
    <row r="2801" spans="1:2" x14ac:dyDescent="0.2">
      <c r="A2801">
        <v>2795</v>
      </c>
      <c r="B2801" t="s">
        <v>54</v>
      </c>
    </row>
    <row r="2802" spans="1:2" x14ac:dyDescent="0.2">
      <c r="A2802">
        <v>2796</v>
      </c>
      <c r="B2802" t="s">
        <v>54</v>
      </c>
    </row>
    <row r="2803" spans="1:2" x14ac:dyDescent="0.2">
      <c r="A2803">
        <v>2797</v>
      </c>
      <c r="B2803" t="s">
        <v>54</v>
      </c>
    </row>
    <row r="2804" spans="1:2" x14ac:dyDescent="0.2">
      <c r="A2804">
        <v>2798</v>
      </c>
      <c r="B2804" t="s">
        <v>54</v>
      </c>
    </row>
    <row r="2805" spans="1:2" x14ac:dyDescent="0.2">
      <c r="A2805">
        <v>2799</v>
      </c>
      <c r="B2805" t="s">
        <v>54</v>
      </c>
    </row>
    <row r="2806" spans="1:2" x14ac:dyDescent="0.2">
      <c r="A2806">
        <v>2800</v>
      </c>
      <c r="B2806" t="s">
        <v>54</v>
      </c>
    </row>
    <row r="2807" spans="1:2" x14ac:dyDescent="0.2">
      <c r="A2807">
        <v>2801</v>
      </c>
      <c r="B2807" t="s">
        <v>54</v>
      </c>
    </row>
    <row r="2808" spans="1:2" x14ac:dyDescent="0.2">
      <c r="A2808">
        <v>2802</v>
      </c>
      <c r="B2808" t="s">
        <v>54</v>
      </c>
    </row>
    <row r="2809" spans="1:2" x14ac:dyDescent="0.2">
      <c r="A2809">
        <v>2803</v>
      </c>
      <c r="B2809" t="s">
        <v>54</v>
      </c>
    </row>
    <row r="2810" spans="1:2" x14ac:dyDescent="0.2">
      <c r="A2810">
        <v>2804</v>
      </c>
      <c r="B2810" t="s">
        <v>54</v>
      </c>
    </row>
    <row r="2811" spans="1:2" x14ac:dyDescent="0.2">
      <c r="A2811">
        <v>2805</v>
      </c>
      <c r="B2811" t="s">
        <v>54</v>
      </c>
    </row>
    <row r="2812" spans="1:2" x14ac:dyDescent="0.2">
      <c r="A2812">
        <v>2806</v>
      </c>
      <c r="B2812" t="s">
        <v>54</v>
      </c>
    </row>
    <row r="2813" spans="1:2" x14ac:dyDescent="0.2">
      <c r="A2813">
        <v>2807</v>
      </c>
      <c r="B2813" t="s">
        <v>54</v>
      </c>
    </row>
    <row r="2814" spans="1:2" x14ac:dyDescent="0.2">
      <c r="A2814">
        <v>2808</v>
      </c>
      <c r="B2814" t="s">
        <v>54</v>
      </c>
    </row>
    <row r="2815" spans="1:2" x14ac:dyDescent="0.2">
      <c r="A2815">
        <v>2809</v>
      </c>
      <c r="B2815" t="s">
        <v>54</v>
      </c>
    </row>
    <row r="2816" spans="1:2" x14ac:dyDescent="0.2">
      <c r="A2816">
        <v>2810</v>
      </c>
      <c r="B2816" t="s">
        <v>54</v>
      </c>
    </row>
    <row r="2817" spans="1:2" x14ac:dyDescent="0.2">
      <c r="A2817">
        <v>2811</v>
      </c>
      <c r="B2817" t="s">
        <v>54</v>
      </c>
    </row>
    <row r="2818" spans="1:2" x14ac:dyDescent="0.2">
      <c r="A2818">
        <v>2812</v>
      </c>
      <c r="B2818" t="s">
        <v>54</v>
      </c>
    </row>
    <row r="2819" spans="1:2" x14ac:dyDescent="0.2">
      <c r="A2819">
        <v>2813</v>
      </c>
      <c r="B2819" t="s">
        <v>54</v>
      </c>
    </row>
    <row r="2820" spans="1:2" x14ac:dyDescent="0.2">
      <c r="A2820">
        <v>2814</v>
      </c>
      <c r="B2820" t="s">
        <v>54</v>
      </c>
    </row>
    <row r="2821" spans="1:2" x14ac:dyDescent="0.2">
      <c r="A2821">
        <v>2815</v>
      </c>
      <c r="B2821" t="s">
        <v>54</v>
      </c>
    </row>
    <row r="2822" spans="1:2" x14ac:dyDescent="0.2">
      <c r="A2822">
        <v>2816</v>
      </c>
      <c r="B2822" t="s">
        <v>54</v>
      </c>
    </row>
    <row r="2823" spans="1:2" x14ac:dyDescent="0.2">
      <c r="A2823">
        <v>2817</v>
      </c>
      <c r="B2823" t="s">
        <v>54</v>
      </c>
    </row>
    <row r="2824" spans="1:2" x14ac:dyDescent="0.2">
      <c r="A2824">
        <v>2818</v>
      </c>
      <c r="B2824" t="s">
        <v>54</v>
      </c>
    </row>
    <row r="2825" spans="1:2" x14ac:dyDescent="0.2">
      <c r="A2825">
        <v>2819</v>
      </c>
      <c r="B2825" t="s">
        <v>54</v>
      </c>
    </row>
    <row r="2826" spans="1:2" x14ac:dyDescent="0.2">
      <c r="A2826">
        <v>2820</v>
      </c>
      <c r="B2826" t="s">
        <v>54</v>
      </c>
    </row>
    <row r="2827" spans="1:2" x14ac:dyDescent="0.2">
      <c r="A2827">
        <v>2821</v>
      </c>
      <c r="B2827" t="s">
        <v>54</v>
      </c>
    </row>
    <row r="2828" spans="1:2" x14ac:dyDescent="0.2">
      <c r="A2828">
        <v>2822</v>
      </c>
      <c r="B2828" t="s">
        <v>54</v>
      </c>
    </row>
    <row r="2829" spans="1:2" x14ac:dyDescent="0.2">
      <c r="A2829">
        <v>2823</v>
      </c>
      <c r="B2829" t="s">
        <v>54</v>
      </c>
    </row>
    <row r="2830" spans="1:2" x14ac:dyDescent="0.2">
      <c r="A2830">
        <v>2824</v>
      </c>
      <c r="B2830" t="s">
        <v>54</v>
      </c>
    </row>
    <row r="2831" spans="1:2" x14ac:dyDescent="0.2">
      <c r="A2831">
        <v>2825</v>
      </c>
      <c r="B2831" t="s">
        <v>54</v>
      </c>
    </row>
    <row r="2832" spans="1:2" x14ac:dyDescent="0.2">
      <c r="A2832">
        <v>2826</v>
      </c>
      <c r="B2832" t="s">
        <v>54</v>
      </c>
    </row>
    <row r="2833" spans="1:2" x14ac:dyDescent="0.2">
      <c r="A2833">
        <v>2827</v>
      </c>
      <c r="B2833" t="s">
        <v>54</v>
      </c>
    </row>
    <row r="2834" spans="1:2" x14ac:dyDescent="0.2">
      <c r="A2834">
        <v>2828</v>
      </c>
      <c r="B2834" t="s">
        <v>54</v>
      </c>
    </row>
    <row r="2835" spans="1:2" x14ac:dyDescent="0.2">
      <c r="A2835">
        <v>2829</v>
      </c>
      <c r="B2835" t="s">
        <v>54</v>
      </c>
    </row>
    <row r="2836" spans="1:2" x14ac:dyDescent="0.2">
      <c r="A2836">
        <v>2830</v>
      </c>
      <c r="B2836" t="s">
        <v>54</v>
      </c>
    </row>
    <row r="2837" spans="1:2" x14ac:dyDescent="0.2">
      <c r="A2837">
        <v>2831</v>
      </c>
      <c r="B2837" t="s">
        <v>54</v>
      </c>
    </row>
    <row r="2838" spans="1:2" x14ac:dyDescent="0.2">
      <c r="A2838">
        <v>2832</v>
      </c>
      <c r="B2838" t="s">
        <v>54</v>
      </c>
    </row>
    <row r="2839" spans="1:2" x14ac:dyDescent="0.2">
      <c r="A2839">
        <v>2833</v>
      </c>
      <c r="B2839" t="s">
        <v>54</v>
      </c>
    </row>
    <row r="2840" spans="1:2" x14ac:dyDescent="0.2">
      <c r="A2840">
        <v>2834</v>
      </c>
      <c r="B2840" t="s">
        <v>54</v>
      </c>
    </row>
    <row r="2841" spans="1:2" x14ac:dyDescent="0.2">
      <c r="A2841">
        <v>2835</v>
      </c>
      <c r="B2841" t="s">
        <v>54</v>
      </c>
    </row>
    <row r="2842" spans="1:2" x14ac:dyDescent="0.2">
      <c r="A2842">
        <v>2836</v>
      </c>
      <c r="B2842" t="s">
        <v>54</v>
      </c>
    </row>
    <row r="2843" spans="1:2" x14ac:dyDescent="0.2">
      <c r="A2843">
        <v>2837</v>
      </c>
      <c r="B2843" t="s">
        <v>54</v>
      </c>
    </row>
    <row r="2844" spans="1:2" x14ac:dyDescent="0.2">
      <c r="A2844">
        <v>2838</v>
      </c>
      <c r="B2844" t="s">
        <v>54</v>
      </c>
    </row>
    <row r="2845" spans="1:2" x14ac:dyDescent="0.2">
      <c r="A2845">
        <v>2839</v>
      </c>
      <c r="B2845" t="s">
        <v>54</v>
      </c>
    </row>
    <row r="2846" spans="1:2" x14ac:dyDescent="0.2">
      <c r="A2846">
        <v>2840</v>
      </c>
      <c r="B2846" t="s">
        <v>54</v>
      </c>
    </row>
    <row r="2847" spans="1:2" x14ac:dyDescent="0.2">
      <c r="A2847">
        <v>2841</v>
      </c>
      <c r="B2847" t="s">
        <v>54</v>
      </c>
    </row>
    <row r="2848" spans="1:2" x14ac:dyDescent="0.2">
      <c r="A2848">
        <v>2842</v>
      </c>
      <c r="B2848" t="s">
        <v>54</v>
      </c>
    </row>
    <row r="2849" spans="1:2" x14ac:dyDescent="0.2">
      <c r="A2849">
        <v>2843</v>
      </c>
      <c r="B2849" t="s">
        <v>54</v>
      </c>
    </row>
    <row r="2850" spans="1:2" x14ac:dyDescent="0.2">
      <c r="A2850">
        <v>2844</v>
      </c>
      <c r="B2850" t="s">
        <v>54</v>
      </c>
    </row>
    <row r="2851" spans="1:2" x14ac:dyDescent="0.2">
      <c r="A2851">
        <v>2845</v>
      </c>
      <c r="B2851" t="s">
        <v>54</v>
      </c>
    </row>
    <row r="2852" spans="1:2" x14ac:dyDescent="0.2">
      <c r="A2852">
        <v>2846</v>
      </c>
      <c r="B2852" t="s">
        <v>54</v>
      </c>
    </row>
    <row r="2853" spans="1:2" x14ac:dyDescent="0.2">
      <c r="A2853">
        <v>2847</v>
      </c>
      <c r="B2853" t="s">
        <v>54</v>
      </c>
    </row>
    <row r="2854" spans="1:2" x14ac:dyDescent="0.2">
      <c r="A2854">
        <v>2848</v>
      </c>
      <c r="B2854" t="s">
        <v>54</v>
      </c>
    </row>
    <row r="2855" spans="1:2" x14ac:dyDescent="0.2">
      <c r="A2855">
        <v>2849</v>
      </c>
      <c r="B2855" t="s">
        <v>54</v>
      </c>
    </row>
    <row r="2856" spans="1:2" x14ac:dyDescent="0.2">
      <c r="A2856">
        <v>2850</v>
      </c>
      <c r="B2856" t="s">
        <v>54</v>
      </c>
    </row>
    <row r="2857" spans="1:2" x14ac:dyDescent="0.2">
      <c r="A2857">
        <v>2851</v>
      </c>
      <c r="B2857" t="s">
        <v>54</v>
      </c>
    </row>
    <row r="2858" spans="1:2" x14ac:dyDescent="0.2">
      <c r="A2858">
        <v>2852</v>
      </c>
      <c r="B2858" t="s">
        <v>54</v>
      </c>
    </row>
    <row r="2859" spans="1:2" x14ac:dyDescent="0.2">
      <c r="A2859">
        <v>2853</v>
      </c>
      <c r="B2859" t="s">
        <v>54</v>
      </c>
    </row>
    <row r="2860" spans="1:2" x14ac:dyDescent="0.2">
      <c r="A2860">
        <v>2854</v>
      </c>
      <c r="B2860" t="s">
        <v>54</v>
      </c>
    </row>
    <row r="2861" spans="1:2" x14ac:dyDescent="0.2">
      <c r="A2861">
        <v>2855</v>
      </c>
      <c r="B2861" t="s">
        <v>54</v>
      </c>
    </row>
    <row r="2862" spans="1:2" x14ac:dyDescent="0.2">
      <c r="A2862">
        <v>2856</v>
      </c>
      <c r="B2862" t="s">
        <v>54</v>
      </c>
    </row>
    <row r="2863" spans="1:2" x14ac:dyDescent="0.2">
      <c r="A2863">
        <v>2857</v>
      </c>
      <c r="B2863" t="s">
        <v>54</v>
      </c>
    </row>
    <row r="2864" spans="1:2" x14ac:dyDescent="0.2">
      <c r="A2864">
        <v>2858</v>
      </c>
      <c r="B2864" t="s">
        <v>54</v>
      </c>
    </row>
    <row r="2865" spans="1:2" x14ac:dyDescent="0.2">
      <c r="A2865">
        <v>2859</v>
      </c>
      <c r="B2865" t="s">
        <v>54</v>
      </c>
    </row>
    <row r="2866" spans="1:2" x14ac:dyDescent="0.2">
      <c r="A2866">
        <v>2860</v>
      </c>
      <c r="B2866" t="s">
        <v>54</v>
      </c>
    </row>
    <row r="2867" spans="1:2" x14ac:dyDescent="0.2">
      <c r="A2867">
        <v>2861</v>
      </c>
      <c r="B2867" t="s">
        <v>54</v>
      </c>
    </row>
    <row r="2868" spans="1:2" x14ac:dyDescent="0.2">
      <c r="A2868">
        <v>2862</v>
      </c>
      <c r="B2868" t="s">
        <v>54</v>
      </c>
    </row>
    <row r="2869" spans="1:2" x14ac:dyDescent="0.2">
      <c r="A2869">
        <v>2863</v>
      </c>
      <c r="B2869" t="s">
        <v>54</v>
      </c>
    </row>
    <row r="2870" spans="1:2" x14ac:dyDescent="0.2">
      <c r="A2870">
        <v>2864</v>
      </c>
      <c r="B2870" t="s">
        <v>54</v>
      </c>
    </row>
    <row r="2871" spans="1:2" x14ac:dyDescent="0.2">
      <c r="A2871">
        <v>2865</v>
      </c>
      <c r="B2871" t="s">
        <v>54</v>
      </c>
    </row>
    <row r="2872" spans="1:2" x14ac:dyDescent="0.2">
      <c r="A2872">
        <v>2866</v>
      </c>
      <c r="B2872" t="s">
        <v>54</v>
      </c>
    </row>
    <row r="2873" spans="1:2" x14ac:dyDescent="0.2">
      <c r="A2873">
        <v>2867</v>
      </c>
      <c r="B2873" t="s">
        <v>54</v>
      </c>
    </row>
    <row r="2874" spans="1:2" x14ac:dyDescent="0.2">
      <c r="A2874">
        <v>2868</v>
      </c>
      <c r="B2874" t="s">
        <v>54</v>
      </c>
    </row>
    <row r="2875" spans="1:2" x14ac:dyDescent="0.2">
      <c r="A2875">
        <v>2869</v>
      </c>
      <c r="B2875" t="s">
        <v>54</v>
      </c>
    </row>
    <row r="2876" spans="1:2" x14ac:dyDescent="0.2">
      <c r="A2876">
        <v>2870</v>
      </c>
      <c r="B2876" t="s">
        <v>54</v>
      </c>
    </row>
    <row r="2877" spans="1:2" x14ac:dyDescent="0.2">
      <c r="A2877">
        <v>2871</v>
      </c>
      <c r="B2877" t="s">
        <v>54</v>
      </c>
    </row>
    <row r="2878" spans="1:2" x14ac:dyDescent="0.2">
      <c r="A2878">
        <v>2872</v>
      </c>
      <c r="B2878" t="s">
        <v>54</v>
      </c>
    </row>
    <row r="2879" spans="1:2" x14ac:dyDescent="0.2">
      <c r="A2879">
        <v>2873</v>
      </c>
      <c r="B2879" t="s">
        <v>54</v>
      </c>
    </row>
    <row r="2880" spans="1:2" x14ac:dyDescent="0.2">
      <c r="A2880">
        <v>2874</v>
      </c>
      <c r="B2880" t="s">
        <v>54</v>
      </c>
    </row>
    <row r="2881" spans="1:2" x14ac:dyDescent="0.2">
      <c r="A2881">
        <v>2875</v>
      </c>
      <c r="B2881" t="s">
        <v>54</v>
      </c>
    </row>
    <row r="2882" spans="1:2" x14ac:dyDescent="0.2">
      <c r="A2882">
        <v>2876</v>
      </c>
      <c r="B2882" t="s">
        <v>54</v>
      </c>
    </row>
    <row r="2883" spans="1:2" x14ac:dyDescent="0.2">
      <c r="A2883">
        <v>2877</v>
      </c>
      <c r="B2883" t="s">
        <v>54</v>
      </c>
    </row>
    <row r="2884" spans="1:2" x14ac:dyDescent="0.2">
      <c r="A2884">
        <v>2878</v>
      </c>
      <c r="B2884" t="s">
        <v>54</v>
      </c>
    </row>
    <row r="2885" spans="1:2" x14ac:dyDescent="0.2">
      <c r="A2885">
        <v>2879</v>
      </c>
      <c r="B2885" t="s">
        <v>54</v>
      </c>
    </row>
    <row r="2886" spans="1:2" x14ac:dyDescent="0.2">
      <c r="A2886">
        <v>2880</v>
      </c>
      <c r="B2886" t="s">
        <v>54</v>
      </c>
    </row>
    <row r="2887" spans="1:2" x14ac:dyDescent="0.2">
      <c r="A2887">
        <v>2881</v>
      </c>
      <c r="B2887" t="s">
        <v>54</v>
      </c>
    </row>
    <row r="2888" spans="1:2" x14ac:dyDescent="0.2">
      <c r="A2888">
        <v>2882</v>
      </c>
      <c r="B2888" t="s">
        <v>54</v>
      </c>
    </row>
    <row r="2889" spans="1:2" x14ac:dyDescent="0.2">
      <c r="A2889">
        <v>2883</v>
      </c>
      <c r="B2889" t="s">
        <v>54</v>
      </c>
    </row>
    <row r="2890" spans="1:2" x14ac:dyDescent="0.2">
      <c r="A2890">
        <v>2884</v>
      </c>
      <c r="B2890" t="s">
        <v>54</v>
      </c>
    </row>
    <row r="2891" spans="1:2" x14ac:dyDescent="0.2">
      <c r="A2891">
        <v>2885</v>
      </c>
      <c r="B2891" t="s">
        <v>54</v>
      </c>
    </row>
    <row r="2892" spans="1:2" x14ac:dyDescent="0.2">
      <c r="A2892">
        <v>2886</v>
      </c>
      <c r="B2892" t="s">
        <v>54</v>
      </c>
    </row>
    <row r="2893" spans="1:2" x14ac:dyDescent="0.2">
      <c r="A2893">
        <v>2887</v>
      </c>
      <c r="B2893" t="s">
        <v>54</v>
      </c>
    </row>
    <row r="2894" spans="1:2" x14ac:dyDescent="0.2">
      <c r="A2894">
        <v>2888</v>
      </c>
      <c r="B2894" t="s">
        <v>54</v>
      </c>
    </row>
    <row r="2895" spans="1:2" x14ac:dyDescent="0.2">
      <c r="A2895">
        <v>2889</v>
      </c>
      <c r="B2895" t="s">
        <v>54</v>
      </c>
    </row>
    <row r="2896" spans="1:2" x14ac:dyDescent="0.2">
      <c r="A2896">
        <v>2890</v>
      </c>
      <c r="B2896" t="s">
        <v>54</v>
      </c>
    </row>
    <row r="2897" spans="1:2" x14ac:dyDescent="0.2">
      <c r="A2897">
        <v>2891</v>
      </c>
      <c r="B2897" t="s">
        <v>54</v>
      </c>
    </row>
    <row r="2898" spans="1:2" x14ac:dyDescent="0.2">
      <c r="A2898">
        <v>2892</v>
      </c>
      <c r="B2898" t="s">
        <v>54</v>
      </c>
    </row>
    <row r="2899" spans="1:2" x14ac:dyDescent="0.2">
      <c r="A2899">
        <v>2893</v>
      </c>
      <c r="B2899" t="s">
        <v>54</v>
      </c>
    </row>
    <row r="2900" spans="1:2" x14ac:dyDescent="0.2">
      <c r="A2900">
        <v>2894</v>
      </c>
      <c r="B2900" t="s">
        <v>54</v>
      </c>
    </row>
    <row r="2901" spans="1:2" x14ac:dyDescent="0.2">
      <c r="A2901">
        <v>2895</v>
      </c>
      <c r="B2901" t="s">
        <v>54</v>
      </c>
    </row>
    <row r="2902" spans="1:2" x14ac:dyDescent="0.2">
      <c r="A2902">
        <v>2896</v>
      </c>
      <c r="B2902" t="s">
        <v>54</v>
      </c>
    </row>
    <row r="2903" spans="1:2" x14ac:dyDescent="0.2">
      <c r="A2903">
        <v>2897</v>
      </c>
      <c r="B2903" t="s">
        <v>54</v>
      </c>
    </row>
    <row r="2904" spans="1:2" x14ac:dyDescent="0.2">
      <c r="A2904">
        <v>2898</v>
      </c>
      <c r="B2904" t="s">
        <v>54</v>
      </c>
    </row>
    <row r="2905" spans="1:2" x14ac:dyDescent="0.2">
      <c r="A2905">
        <v>2899</v>
      </c>
      <c r="B2905" t="s">
        <v>54</v>
      </c>
    </row>
    <row r="2906" spans="1:2" x14ac:dyDescent="0.2">
      <c r="A2906">
        <v>2900</v>
      </c>
      <c r="B2906" t="s">
        <v>54</v>
      </c>
    </row>
    <row r="2907" spans="1:2" x14ac:dyDescent="0.2">
      <c r="A2907">
        <v>2901</v>
      </c>
      <c r="B2907" t="s">
        <v>54</v>
      </c>
    </row>
    <row r="2908" spans="1:2" x14ac:dyDescent="0.2">
      <c r="A2908">
        <v>2902</v>
      </c>
      <c r="B2908" t="s">
        <v>54</v>
      </c>
    </row>
    <row r="2909" spans="1:2" x14ac:dyDescent="0.2">
      <c r="A2909">
        <v>2903</v>
      </c>
      <c r="B2909" t="s">
        <v>54</v>
      </c>
    </row>
    <row r="2910" spans="1:2" x14ac:dyDescent="0.2">
      <c r="A2910">
        <v>2904</v>
      </c>
      <c r="B2910" t="s">
        <v>54</v>
      </c>
    </row>
    <row r="2911" spans="1:2" x14ac:dyDescent="0.2">
      <c r="A2911">
        <v>2905</v>
      </c>
      <c r="B2911" t="s">
        <v>54</v>
      </c>
    </row>
    <row r="2912" spans="1:2" x14ac:dyDescent="0.2">
      <c r="A2912">
        <v>2906</v>
      </c>
      <c r="B2912" t="s">
        <v>54</v>
      </c>
    </row>
    <row r="2913" spans="1:2" x14ac:dyDescent="0.2">
      <c r="A2913">
        <v>2907</v>
      </c>
      <c r="B2913" t="s">
        <v>54</v>
      </c>
    </row>
    <row r="2914" spans="1:2" x14ac:dyDescent="0.2">
      <c r="A2914">
        <v>2908</v>
      </c>
      <c r="B2914" t="s">
        <v>54</v>
      </c>
    </row>
    <row r="2915" spans="1:2" x14ac:dyDescent="0.2">
      <c r="A2915">
        <v>2909</v>
      </c>
      <c r="B2915" t="s">
        <v>54</v>
      </c>
    </row>
    <row r="2916" spans="1:2" x14ac:dyDescent="0.2">
      <c r="A2916">
        <v>2910</v>
      </c>
      <c r="B2916" t="s">
        <v>54</v>
      </c>
    </row>
    <row r="2917" spans="1:2" x14ac:dyDescent="0.2">
      <c r="A2917">
        <v>2911</v>
      </c>
      <c r="B2917" t="s">
        <v>54</v>
      </c>
    </row>
    <row r="2918" spans="1:2" x14ac:dyDescent="0.2">
      <c r="A2918">
        <v>2912</v>
      </c>
      <c r="B2918" t="s">
        <v>54</v>
      </c>
    </row>
    <row r="2919" spans="1:2" x14ac:dyDescent="0.2">
      <c r="A2919">
        <v>2913</v>
      </c>
      <c r="B2919" t="s">
        <v>54</v>
      </c>
    </row>
    <row r="2920" spans="1:2" x14ac:dyDescent="0.2">
      <c r="A2920">
        <v>2914</v>
      </c>
      <c r="B2920" t="s">
        <v>54</v>
      </c>
    </row>
    <row r="2921" spans="1:2" x14ac:dyDescent="0.2">
      <c r="A2921">
        <v>2915</v>
      </c>
      <c r="B2921" t="s">
        <v>54</v>
      </c>
    </row>
    <row r="2922" spans="1:2" x14ac:dyDescent="0.2">
      <c r="A2922">
        <v>2916</v>
      </c>
      <c r="B2922" t="s">
        <v>54</v>
      </c>
    </row>
    <row r="2923" spans="1:2" x14ac:dyDescent="0.2">
      <c r="A2923">
        <v>2917</v>
      </c>
      <c r="B2923" t="s">
        <v>54</v>
      </c>
    </row>
    <row r="2924" spans="1:2" x14ac:dyDescent="0.2">
      <c r="A2924">
        <v>2918</v>
      </c>
      <c r="B2924" t="s">
        <v>54</v>
      </c>
    </row>
    <row r="2925" spans="1:2" x14ac:dyDescent="0.2">
      <c r="A2925">
        <v>2919</v>
      </c>
      <c r="B2925" t="s">
        <v>54</v>
      </c>
    </row>
    <row r="2926" spans="1:2" x14ac:dyDescent="0.2">
      <c r="A2926">
        <v>2920</v>
      </c>
      <c r="B2926" t="s">
        <v>54</v>
      </c>
    </row>
    <row r="2927" spans="1:2" x14ac:dyDescent="0.2">
      <c r="A2927">
        <v>2921</v>
      </c>
      <c r="B2927" t="s">
        <v>54</v>
      </c>
    </row>
    <row r="2928" spans="1:2" x14ac:dyDescent="0.2">
      <c r="A2928">
        <v>2922</v>
      </c>
      <c r="B2928" t="s">
        <v>54</v>
      </c>
    </row>
    <row r="2929" spans="1:2" x14ac:dyDescent="0.2">
      <c r="A2929">
        <v>2923</v>
      </c>
      <c r="B2929" t="s">
        <v>54</v>
      </c>
    </row>
    <row r="2930" spans="1:2" x14ac:dyDescent="0.2">
      <c r="A2930">
        <v>2924</v>
      </c>
      <c r="B2930" t="s">
        <v>54</v>
      </c>
    </row>
    <row r="2931" spans="1:2" x14ac:dyDescent="0.2">
      <c r="A2931">
        <v>2925</v>
      </c>
      <c r="B2931" t="s">
        <v>54</v>
      </c>
    </row>
    <row r="2932" spans="1:2" x14ac:dyDescent="0.2">
      <c r="A2932">
        <v>2926</v>
      </c>
      <c r="B2932" t="s">
        <v>54</v>
      </c>
    </row>
    <row r="2933" spans="1:2" x14ac:dyDescent="0.2">
      <c r="A2933">
        <v>2927</v>
      </c>
      <c r="B2933" t="s">
        <v>54</v>
      </c>
    </row>
    <row r="2934" spans="1:2" x14ac:dyDescent="0.2">
      <c r="A2934">
        <v>2928</v>
      </c>
      <c r="B2934" t="s">
        <v>54</v>
      </c>
    </row>
    <row r="2935" spans="1:2" x14ac:dyDescent="0.2">
      <c r="A2935">
        <v>2929</v>
      </c>
      <c r="B2935" t="s">
        <v>54</v>
      </c>
    </row>
    <row r="2936" spans="1:2" x14ac:dyDescent="0.2">
      <c r="A2936">
        <v>2930</v>
      </c>
      <c r="B2936" t="s">
        <v>54</v>
      </c>
    </row>
    <row r="2937" spans="1:2" x14ac:dyDescent="0.2">
      <c r="A2937">
        <v>2931</v>
      </c>
      <c r="B2937" t="s">
        <v>54</v>
      </c>
    </row>
    <row r="2938" spans="1:2" x14ac:dyDescent="0.2">
      <c r="A2938">
        <v>2932</v>
      </c>
      <c r="B2938" t="s">
        <v>54</v>
      </c>
    </row>
    <row r="2939" spans="1:2" x14ac:dyDescent="0.2">
      <c r="A2939">
        <v>2933</v>
      </c>
      <c r="B2939" t="s">
        <v>54</v>
      </c>
    </row>
    <row r="2940" spans="1:2" x14ac:dyDescent="0.2">
      <c r="A2940">
        <v>2934</v>
      </c>
      <c r="B2940" t="s">
        <v>54</v>
      </c>
    </row>
    <row r="2941" spans="1:2" x14ac:dyDescent="0.2">
      <c r="A2941">
        <v>2935</v>
      </c>
      <c r="B2941" t="s">
        <v>54</v>
      </c>
    </row>
    <row r="2942" spans="1:2" x14ac:dyDescent="0.2">
      <c r="A2942">
        <v>2936</v>
      </c>
      <c r="B2942" t="s">
        <v>54</v>
      </c>
    </row>
    <row r="2943" spans="1:2" x14ac:dyDescent="0.2">
      <c r="A2943">
        <v>2937</v>
      </c>
      <c r="B2943" t="s">
        <v>54</v>
      </c>
    </row>
    <row r="2944" spans="1:2" x14ac:dyDescent="0.2">
      <c r="A2944">
        <v>2938</v>
      </c>
      <c r="B2944" t="s">
        <v>54</v>
      </c>
    </row>
    <row r="2945" spans="1:2" x14ac:dyDescent="0.2">
      <c r="A2945">
        <v>2939</v>
      </c>
      <c r="B2945" t="s">
        <v>54</v>
      </c>
    </row>
    <row r="2946" spans="1:2" x14ac:dyDescent="0.2">
      <c r="A2946">
        <v>2940</v>
      </c>
      <c r="B2946" t="s">
        <v>54</v>
      </c>
    </row>
    <row r="2947" spans="1:2" x14ac:dyDescent="0.2">
      <c r="A2947">
        <v>2941</v>
      </c>
      <c r="B2947" t="s">
        <v>54</v>
      </c>
    </row>
    <row r="2948" spans="1:2" x14ac:dyDescent="0.2">
      <c r="A2948">
        <v>2942</v>
      </c>
      <c r="B2948" t="s">
        <v>54</v>
      </c>
    </row>
    <row r="2949" spans="1:2" x14ac:dyDescent="0.2">
      <c r="A2949">
        <v>2943</v>
      </c>
      <c r="B2949" t="s">
        <v>54</v>
      </c>
    </row>
    <row r="2950" spans="1:2" x14ac:dyDescent="0.2">
      <c r="A2950">
        <v>2944</v>
      </c>
      <c r="B2950" t="s">
        <v>54</v>
      </c>
    </row>
    <row r="2951" spans="1:2" x14ac:dyDescent="0.2">
      <c r="A2951">
        <v>2945</v>
      </c>
      <c r="B2951" t="s">
        <v>54</v>
      </c>
    </row>
    <row r="2952" spans="1:2" x14ac:dyDescent="0.2">
      <c r="A2952">
        <v>2946</v>
      </c>
      <c r="B2952" t="s">
        <v>54</v>
      </c>
    </row>
    <row r="2953" spans="1:2" x14ac:dyDescent="0.2">
      <c r="A2953">
        <v>2947</v>
      </c>
      <c r="B2953" t="s">
        <v>54</v>
      </c>
    </row>
    <row r="2954" spans="1:2" x14ac:dyDescent="0.2">
      <c r="A2954">
        <v>2948</v>
      </c>
      <c r="B2954" t="s">
        <v>54</v>
      </c>
    </row>
    <row r="2955" spans="1:2" x14ac:dyDescent="0.2">
      <c r="A2955">
        <v>2949</v>
      </c>
      <c r="B2955" t="s">
        <v>54</v>
      </c>
    </row>
    <row r="2956" spans="1:2" x14ac:dyDescent="0.2">
      <c r="A2956">
        <v>2950</v>
      </c>
      <c r="B2956" t="s">
        <v>54</v>
      </c>
    </row>
    <row r="2957" spans="1:2" x14ac:dyDescent="0.2">
      <c r="A2957">
        <v>2951</v>
      </c>
      <c r="B2957" t="s">
        <v>54</v>
      </c>
    </row>
    <row r="2958" spans="1:2" x14ac:dyDescent="0.2">
      <c r="A2958">
        <v>2952</v>
      </c>
      <c r="B2958" t="s">
        <v>54</v>
      </c>
    </row>
    <row r="2959" spans="1:2" x14ac:dyDescent="0.2">
      <c r="A2959">
        <v>2953</v>
      </c>
      <c r="B2959" t="s">
        <v>54</v>
      </c>
    </row>
    <row r="2960" spans="1:2" x14ac:dyDescent="0.2">
      <c r="A2960">
        <v>2954</v>
      </c>
      <c r="B2960" t="s">
        <v>54</v>
      </c>
    </row>
    <row r="2961" spans="1:2" x14ac:dyDescent="0.2">
      <c r="A2961">
        <v>2955</v>
      </c>
      <c r="B2961" t="s">
        <v>54</v>
      </c>
    </row>
    <row r="2962" spans="1:2" x14ac:dyDescent="0.2">
      <c r="A2962">
        <v>2956</v>
      </c>
      <c r="B2962" t="s">
        <v>54</v>
      </c>
    </row>
    <row r="2963" spans="1:2" x14ac:dyDescent="0.2">
      <c r="A2963">
        <v>2957</v>
      </c>
      <c r="B2963" t="s">
        <v>54</v>
      </c>
    </row>
    <row r="2964" spans="1:2" x14ac:dyDescent="0.2">
      <c r="A2964">
        <v>2958</v>
      </c>
      <c r="B2964" t="s">
        <v>54</v>
      </c>
    </row>
    <row r="2965" spans="1:2" x14ac:dyDescent="0.2">
      <c r="A2965">
        <v>2959</v>
      </c>
      <c r="B2965" t="s">
        <v>54</v>
      </c>
    </row>
    <row r="2966" spans="1:2" x14ac:dyDescent="0.2">
      <c r="A2966">
        <v>2960</v>
      </c>
      <c r="B2966" t="s">
        <v>54</v>
      </c>
    </row>
    <row r="2967" spans="1:2" x14ac:dyDescent="0.2">
      <c r="A2967">
        <v>2961</v>
      </c>
      <c r="B2967" t="s">
        <v>54</v>
      </c>
    </row>
    <row r="2968" spans="1:2" x14ac:dyDescent="0.2">
      <c r="A2968">
        <v>2962</v>
      </c>
      <c r="B2968" t="s">
        <v>54</v>
      </c>
    </row>
    <row r="2969" spans="1:2" x14ac:dyDescent="0.2">
      <c r="A2969">
        <v>2963</v>
      </c>
      <c r="B2969" t="s">
        <v>54</v>
      </c>
    </row>
    <row r="2970" spans="1:2" x14ac:dyDescent="0.2">
      <c r="A2970">
        <v>2964</v>
      </c>
      <c r="B2970" t="s">
        <v>54</v>
      </c>
    </row>
    <row r="2971" spans="1:2" x14ac:dyDescent="0.2">
      <c r="A2971">
        <v>2965</v>
      </c>
      <c r="B2971" t="s">
        <v>54</v>
      </c>
    </row>
    <row r="2972" spans="1:2" x14ac:dyDescent="0.2">
      <c r="A2972">
        <v>2966</v>
      </c>
      <c r="B2972" t="s">
        <v>54</v>
      </c>
    </row>
    <row r="2973" spans="1:2" x14ac:dyDescent="0.2">
      <c r="A2973">
        <v>2967</v>
      </c>
      <c r="B2973" t="s">
        <v>54</v>
      </c>
    </row>
    <row r="2974" spans="1:2" x14ac:dyDescent="0.2">
      <c r="A2974">
        <v>2968</v>
      </c>
      <c r="B2974" t="s">
        <v>54</v>
      </c>
    </row>
    <row r="2975" spans="1:2" x14ac:dyDescent="0.2">
      <c r="A2975">
        <v>2969</v>
      </c>
      <c r="B2975" t="s">
        <v>54</v>
      </c>
    </row>
    <row r="2976" spans="1:2" x14ac:dyDescent="0.2">
      <c r="A2976">
        <v>2970</v>
      </c>
      <c r="B2976" t="s">
        <v>54</v>
      </c>
    </row>
    <row r="2977" spans="1:2" x14ac:dyDescent="0.2">
      <c r="A2977">
        <v>2971</v>
      </c>
      <c r="B2977" t="s">
        <v>54</v>
      </c>
    </row>
    <row r="2978" spans="1:2" x14ac:dyDescent="0.2">
      <c r="A2978">
        <v>2972</v>
      </c>
      <c r="B2978" t="s">
        <v>54</v>
      </c>
    </row>
    <row r="2979" spans="1:2" x14ac:dyDescent="0.2">
      <c r="A2979">
        <v>2973</v>
      </c>
      <c r="B2979" t="s">
        <v>54</v>
      </c>
    </row>
    <row r="2980" spans="1:2" x14ac:dyDescent="0.2">
      <c r="A2980">
        <v>2974</v>
      </c>
      <c r="B2980" t="s">
        <v>54</v>
      </c>
    </row>
    <row r="2981" spans="1:2" x14ac:dyDescent="0.2">
      <c r="A2981">
        <v>2975</v>
      </c>
      <c r="B2981" t="s">
        <v>54</v>
      </c>
    </row>
    <row r="2982" spans="1:2" x14ac:dyDescent="0.2">
      <c r="A2982">
        <v>2976</v>
      </c>
      <c r="B2982" t="s">
        <v>54</v>
      </c>
    </row>
    <row r="2983" spans="1:2" x14ac:dyDescent="0.2">
      <c r="A2983">
        <v>2977</v>
      </c>
      <c r="B2983" t="s">
        <v>54</v>
      </c>
    </row>
    <row r="2984" spans="1:2" x14ac:dyDescent="0.2">
      <c r="A2984">
        <v>2978</v>
      </c>
      <c r="B2984" t="s">
        <v>54</v>
      </c>
    </row>
    <row r="2985" spans="1:2" x14ac:dyDescent="0.2">
      <c r="A2985">
        <v>2979</v>
      </c>
      <c r="B2985" t="s">
        <v>54</v>
      </c>
    </row>
    <row r="2986" spans="1:2" x14ac:dyDescent="0.2">
      <c r="A2986">
        <v>2980</v>
      </c>
      <c r="B2986" t="s">
        <v>54</v>
      </c>
    </row>
    <row r="2987" spans="1:2" x14ac:dyDescent="0.2">
      <c r="A2987">
        <v>2981</v>
      </c>
      <c r="B2987" t="s">
        <v>54</v>
      </c>
    </row>
    <row r="2988" spans="1:2" x14ac:dyDescent="0.2">
      <c r="A2988">
        <v>2982</v>
      </c>
      <c r="B2988" t="s">
        <v>54</v>
      </c>
    </row>
    <row r="2989" spans="1:2" x14ac:dyDescent="0.2">
      <c r="A2989">
        <v>2983</v>
      </c>
      <c r="B2989" t="s">
        <v>54</v>
      </c>
    </row>
    <row r="2990" spans="1:2" x14ac:dyDescent="0.2">
      <c r="A2990">
        <v>2984</v>
      </c>
      <c r="B2990" t="s">
        <v>54</v>
      </c>
    </row>
    <row r="2991" spans="1:2" x14ac:dyDescent="0.2">
      <c r="A2991">
        <v>2985</v>
      </c>
      <c r="B2991" t="s">
        <v>54</v>
      </c>
    </row>
    <row r="2992" spans="1:2" x14ac:dyDescent="0.2">
      <c r="A2992">
        <v>2986</v>
      </c>
      <c r="B2992" t="s">
        <v>54</v>
      </c>
    </row>
    <row r="2993" spans="1:2" x14ac:dyDescent="0.2">
      <c r="A2993">
        <v>2987</v>
      </c>
      <c r="B2993" t="s">
        <v>54</v>
      </c>
    </row>
    <row r="2994" spans="1:2" x14ac:dyDescent="0.2">
      <c r="A2994">
        <v>2988</v>
      </c>
      <c r="B2994" t="s">
        <v>54</v>
      </c>
    </row>
    <row r="2995" spans="1:2" x14ac:dyDescent="0.2">
      <c r="A2995">
        <v>2989</v>
      </c>
      <c r="B2995" t="s">
        <v>54</v>
      </c>
    </row>
    <row r="2996" spans="1:2" x14ac:dyDescent="0.2">
      <c r="A2996">
        <v>2990</v>
      </c>
      <c r="B2996" t="s">
        <v>54</v>
      </c>
    </row>
    <row r="2997" spans="1:2" x14ac:dyDescent="0.2">
      <c r="A2997">
        <v>2991</v>
      </c>
      <c r="B2997" t="s">
        <v>54</v>
      </c>
    </row>
    <row r="2998" spans="1:2" x14ac:dyDescent="0.2">
      <c r="A2998">
        <v>2992</v>
      </c>
      <c r="B2998" t="s">
        <v>54</v>
      </c>
    </row>
    <row r="2999" spans="1:2" x14ac:dyDescent="0.2">
      <c r="A2999">
        <v>2993</v>
      </c>
      <c r="B2999" t="s">
        <v>54</v>
      </c>
    </row>
    <row r="3000" spans="1:2" x14ac:dyDescent="0.2">
      <c r="A3000">
        <v>2994</v>
      </c>
      <c r="B3000" t="s">
        <v>54</v>
      </c>
    </row>
    <row r="3001" spans="1:2" x14ac:dyDescent="0.2">
      <c r="A3001">
        <v>2995</v>
      </c>
      <c r="B3001" t="s">
        <v>54</v>
      </c>
    </row>
    <row r="3002" spans="1:2" x14ac:dyDescent="0.2">
      <c r="A3002">
        <v>2996</v>
      </c>
      <c r="B3002" t="s">
        <v>54</v>
      </c>
    </row>
    <row r="3003" spans="1:2" x14ac:dyDescent="0.2">
      <c r="A3003">
        <v>2997</v>
      </c>
      <c r="B3003" t="s">
        <v>54</v>
      </c>
    </row>
    <row r="3004" spans="1:2" x14ac:dyDescent="0.2">
      <c r="A3004">
        <v>2998</v>
      </c>
      <c r="B3004" t="s">
        <v>54</v>
      </c>
    </row>
    <row r="3005" spans="1:2" x14ac:dyDescent="0.2">
      <c r="A3005">
        <v>2999</v>
      </c>
      <c r="B3005" t="s">
        <v>54</v>
      </c>
    </row>
    <row r="3006" spans="1:2" x14ac:dyDescent="0.2">
      <c r="A3006">
        <v>3000</v>
      </c>
      <c r="B3006" t="s">
        <v>54</v>
      </c>
    </row>
    <row r="3007" spans="1:2" x14ac:dyDescent="0.2">
      <c r="A3007">
        <v>3001</v>
      </c>
      <c r="B3007" t="s">
        <v>54</v>
      </c>
    </row>
    <row r="3008" spans="1:2" x14ac:dyDescent="0.2">
      <c r="A3008">
        <v>3002</v>
      </c>
      <c r="B3008" t="s">
        <v>54</v>
      </c>
    </row>
    <row r="3009" spans="1:2" x14ac:dyDescent="0.2">
      <c r="A3009">
        <v>3003</v>
      </c>
      <c r="B3009" t="s">
        <v>54</v>
      </c>
    </row>
    <row r="3010" spans="1:2" x14ac:dyDescent="0.2">
      <c r="A3010">
        <v>3004</v>
      </c>
      <c r="B3010" t="s">
        <v>54</v>
      </c>
    </row>
    <row r="3011" spans="1:2" x14ac:dyDescent="0.2">
      <c r="A3011">
        <v>3005</v>
      </c>
      <c r="B3011" t="s">
        <v>54</v>
      </c>
    </row>
    <row r="3012" spans="1:2" x14ac:dyDescent="0.2">
      <c r="A3012">
        <v>3006</v>
      </c>
      <c r="B3012" t="s">
        <v>54</v>
      </c>
    </row>
    <row r="3013" spans="1:2" x14ac:dyDescent="0.2">
      <c r="A3013">
        <v>3007</v>
      </c>
      <c r="B3013" t="s">
        <v>54</v>
      </c>
    </row>
    <row r="3014" spans="1:2" x14ac:dyDescent="0.2">
      <c r="A3014">
        <v>3008</v>
      </c>
      <c r="B3014" t="s">
        <v>54</v>
      </c>
    </row>
    <row r="3015" spans="1:2" x14ac:dyDescent="0.2">
      <c r="A3015">
        <v>3009</v>
      </c>
      <c r="B3015" t="s">
        <v>54</v>
      </c>
    </row>
    <row r="3016" spans="1:2" x14ac:dyDescent="0.2">
      <c r="A3016">
        <v>3010</v>
      </c>
      <c r="B3016" t="s">
        <v>54</v>
      </c>
    </row>
    <row r="3017" spans="1:2" x14ac:dyDescent="0.2">
      <c r="A3017">
        <v>3011</v>
      </c>
      <c r="B3017" t="s">
        <v>54</v>
      </c>
    </row>
    <row r="3018" spans="1:2" x14ac:dyDescent="0.2">
      <c r="A3018">
        <v>3012</v>
      </c>
      <c r="B3018" t="s">
        <v>54</v>
      </c>
    </row>
    <row r="3019" spans="1:2" x14ac:dyDescent="0.2">
      <c r="A3019">
        <v>3013</v>
      </c>
      <c r="B3019" t="s">
        <v>54</v>
      </c>
    </row>
    <row r="3020" spans="1:2" x14ac:dyDescent="0.2">
      <c r="A3020">
        <v>3014</v>
      </c>
      <c r="B3020" t="s">
        <v>54</v>
      </c>
    </row>
    <row r="3021" spans="1:2" x14ac:dyDescent="0.2">
      <c r="A3021">
        <v>3015</v>
      </c>
      <c r="B3021" t="s">
        <v>54</v>
      </c>
    </row>
    <row r="3022" spans="1:2" x14ac:dyDescent="0.2">
      <c r="A3022">
        <v>3016</v>
      </c>
      <c r="B3022" t="s">
        <v>54</v>
      </c>
    </row>
    <row r="3023" spans="1:2" x14ac:dyDescent="0.2">
      <c r="A3023">
        <v>3017</v>
      </c>
      <c r="B3023" t="s">
        <v>54</v>
      </c>
    </row>
    <row r="3024" spans="1:2" x14ac:dyDescent="0.2">
      <c r="A3024">
        <v>3018</v>
      </c>
      <c r="B3024" t="s">
        <v>54</v>
      </c>
    </row>
    <row r="3025" spans="1:2" x14ac:dyDescent="0.2">
      <c r="A3025">
        <v>3019</v>
      </c>
      <c r="B3025" t="s">
        <v>54</v>
      </c>
    </row>
    <row r="3026" spans="1:2" x14ac:dyDescent="0.2">
      <c r="A3026">
        <v>3020</v>
      </c>
      <c r="B3026" t="s">
        <v>54</v>
      </c>
    </row>
    <row r="3027" spans="1:2" x14ac:dyDescent="0.2">
      <c r="A3027">
        <v>3021</v>
      </c>
      <c r="B3027" t="s">
        <v>54</v>
      </c>
    </row>
    <row r="3028" spans="1:2" x14ac:dyDescent="0.2">
      <c r="A3028">
        <v>3022</v>
      </c>
      <c r="B3028" t="s">
        <v>54</v>
      </c>
    </row>
    <row r="3029" spans="1:2" x14ac:dyDescent="0.2">
      <c r="A3029">
        <v>3023</v>
      </c>
      <c r="B3029" t="s">
        <v>54</v>
      </c>
    </row>
    <row r="3030" spans="1:2" x14ac:dyDescent="0.2">
      <c r="A3030">
        <v>3024</v>
      </c>
      <c r="B3030" t="s">
        <v>54</v>
      </c>
    </row>
    <row r="3031" spans="1:2" x14ac:dyDescent="0.2">
      <c r="A3031">
        <v>3025</v>
      </c>
      <c r="B3031" t="s">
        <v>54</v>
      </c>
    </row>
    <row r="3032" spans="1:2" x14ac:dyDescent="0.2">
      <c r="A3032">
        <v>3026</v>
      </c>
      <c r="B3032" t="s">
        <v>54</v>
      </c>
    </row>
    <row r="3033" spans="1:2" x14ac:dyDescent="0.2">
      <c r="A3033">
        <v>3027</v>
      </c>
      <c r="B3033" t="s">
        <v>54</v>
      </c>
    </row>
    <row r="3034" spans="1:2" x14ac:dyDescent="0.2">
      <c r="A3034">
        <v>3028</v>
      </c>
      <c r="B3034" t="s">
        <v>54</v>
      </c>
    </row>
    <row r="3035" spans="1:2" x14ac:dyDescent="0.2">
      <c r="A3035">
        <v>3029</v>
      </c>
      <c r="B3035" t="s">
        <v>54</v>
      </c>
    </row>
    <row r="3036" spans="1:2" x14ac:dyDescent="0.2">
      <c r="A3036">
        <v>3030</v>
      </c>
      <c r="B3036" t="s">
        <v>54</v>
      </c>
    </row>
    <row r="3037" spans="1:2" x14ac:dyDescent="0.2">
      <c r="A3037">
        <v>3031</v>
      </c>
      <c r="B3037" t="s">
        <v>54</v>
      </c>
    </row>
    <row r="3038" spans="1:2" x14ac:dyDescent="0.2">
      <c r="A3038">
        <v>3032</v>
      </c>
      <c r="B3038" t="s">
        <v>54</v>
      </c>
    </row>
    <row r="3039" spans="1:2" x14ac:dyDescent="0.2">
      <c r="A3039">
        <v>3033</v>
      </c>
      <c r="B3039" t="s">
        <v>54</v>
      </c>
    </row>
    <row r="3040" spans="1:2" x14ac:dyDescent="0.2">
      <c r="A3040">
        <v>3034</v>
      </c>
      <c r="B3040" t="s">
        <v>54</v>
      </c>
    </row>
    <row r="3041" spans="1:2" x14ac:dyDescent="0.2">
      <c r="A3041">
        <v>3035</v>
      </c>
      <c r="B3041" t="s">
        <v>54</v>
      </c>
    </row>
    <row r="3042" spans="1:2" x14ac:dyDescent="0.2">
      <c r="A3042">
        <v>3036</v>
      </c>
      <c r="B3042" t="s">
        <v>54</v>
      </c>
    </row>
    <row r="3043" spans="1:2" x14ac:dyDescent="0.2">
      <c r="A3043">
        <v>3037</v>
      </c>
      <c r="B3043" t="s">
        <v>54</v>
      </c>
    </row>
    <row r="3044" spans="1:2" x14ac:dyDescent="0.2">
      <c r="A3044">
        <v>3038</v>
      </c>
      <c r="B3044" t="s">
        <v>54</v>
      </c>
    </row>
    <row r="3045" spans="1:2" x14ac:dyDescent="0.2">
      <c r="A3045">
        <v>3039</v>
      </c>
      <c r="B3045" t="s">
        <v>54</v>
      </c>
    </row>
    <row r="3046" spans="1:2" x14ac:dyDescent="0.2">
      <c r="A3046">
        <v>3040</v>
      </c>
      <c r="B3046" t="s">
        <v>54</v>
      </c>
    </row>
    <row r="3047" spans="1:2" x14ac:dyDescent="0.2">
      <c r="A3047">
        <v>3041</v>
      </c>
      <c r="B3047" t="s">
        <v>54</v>
      </c>
    </row>
    <row r="3048" spans="1:2" x14ac:dyDescent="0.2">
      <c r="A3048">
        <v>3042</v>
      </c>
      <c r="B3048" t="s">
        <v>54</v>
      </c>
    </row>
    <row r="3049" spans="1:2" x14ac:dyDescent="0.2">
      <c r="A3049">
        <v>3043</v>
      </c>
      <c r="B3049" t="s">
        <v>54</v>
      </c>
    </row>
    <row r="3050" spans="1:2" x14ac:dyDescent="0.2">
      <c r="A3050">
        <v>3044</v>
      </c>
      <c r="B3050" t="s">
        <v>54</v>
      </c>
    </row>
    <row r="3051" spans="1:2" x14ac:dyDescent="0.2">
      <c r="A3051">
        <v>3045</v>
      </c>
      <c r="B3051" t="s">
        <v>54</v>
      </c>
    </row>
    <row r="3052" spans="1:2" x14ac:dyDescent="0.2">
      <c r="A3052">
        <v>3046</v>
      </c>
      <c r="B3052" t="s">
        <v>54</v>
      </c>
    </row>
    <row r="3053" spans="1:2" x14ac:dyDescent="0.2">
      <c r="A3053">
        <v>3047</v>
      </c>
      <c r="B3053" t="s">
        <v>54</v>
      </c>
    </row>
    <row r="3054" spans="1:2" x14ac:dyDescent="0.2">
      <c r="A3054">
        <v>3048</v>
      </c>
      <c r="B3054" t="s">
        <v>54</v>
      </c>
    </row>
    <row r="3055" spans="1:2" x14ac:dyDescent="0.2">
      <c r="A3055">
        <v>3049</v>
      </c>
      <c r="B3055" t="s">
        <v>54</v>
      </c>
    </row>
    <row r="3056" spans="1:2" x14ac:dyDescent="0.2">
      <c r="A3056">
        <v>3050</v>
      </c>
      <c r="B3056" t="s">
        <v>54</v>
      </c>
    </row>
    <row r="3057" spans="1:2" x14ac:dyDescent="0.2">
      <c r="A3057">
        <v>3051</v>
      </c>
      <c r="B3057" t="s">
        <v>54</v>
      </c>
    </row>
    <row r="3058" spans="1:2" x14ac:dyDescent="0.2">
      <c r="A3058">
        <v>3052</v>
      </c>
      <c r="B3058" t="s">
        <v>54</v>
      </c>
    </row>
    <row r="3059" spans="1:2" x14ac:dyDescent="0.2">
      <c r="A3059">
        <v>3053</v>
      </c>
      <c r="B3059" t="s">
        <v>54</v>
      </c>
    </row>
    <row r="3060" spans="1:2" x14ac:dyDescent="0.2">
      <c r="A3060">
        <v>3054</v>
      </c>
      <c r="B3060" t="s">
        <v>54</v>
      </c>
    </row>
    <row r="3061" spans="1:2" x14ac:dyDescent="0.2">
      <c r="A3061">
        <v>3055</v>
      </c>
      <c r="B3061" t="s">
        <v>54</v>
      </c>
    </row>
    <row r="3062" spans="1:2" x14ac:dyDescent="0.2">
      <c r="A3062">
        <v>3056</v>
      </c>
      <c r="B3062" t="s">
        <v>54</v>
      </c>
    </row>
    <row r="3063" spans="1:2" x14ac:dyDescent="0.2">
      <c r="A3063">
        <v>3057</v>
      </c>
      <c r="B3063" t="s">
        <v>54</v>
      </c>
    </row>
    <row r="3064" spans="1:2" x14ac:dyDescent="0.2">
      <c r="A3064">
        <v>3058</v>
      </c>
      <c r="B3064" t="s">
        <v>54</v>
      </c>
    </row>
    <row r="3065" spans="1:2" x14ac:dyDescent="0.2">
      <c r="A3065">
        <v>3059</v>
      </c>
      <c r="B3065" t="s">
        <v>54</v>
      </c>
    </row>
    <row r="3066" spans="1:2" x14ac:dyDescent="0.2">
      <c r="A3066">
        <v>3060</v>
      </c>
      <c r="B3066" t="s">
        <v>54</v>
      </c>
    </row>
    <row r="3067" spans="1:2" x14ac:dyDescent="0.2">
      <c r="A3067">
        <v>3061</v>
      </c>
      <c r="B3067" t="s">
        <v>54</v>
      </c>
    </row>
    <row r="3068" spans="1:2" x14ac:dyDescent="0.2">
      <c r="A3068">
        <v>3062</v>
      </c>
      <c r="B3068" t="s">
        <v>54</v>
      </c>
    </row>
    <row r="3069" spans="1:2" x14ac:dyDescent="0.2">
      <c r="A3069">
        <v>3063</v>
      </c>
      <c r="B3069" t="s">
        <v>54</v>
      </c>
    </row>
    <row r="3070" spans="1:2" x14ac:dyDescent="0.2">
      <c r="A3070">
        <v>3064</v>
      </c>
      <c r="B3070" t="s">
        <v>54</v>
      </c>
    </row>
    <row r="3071" spans="1:2" x14ac:dyDescent="0.2">
      <c r="A3071">
        <v>3065</v>
      </c>
      <c r="B3071" t="s">
        <v>54</v>
      </c>
    </row>
    <row r="3072" spans="1:2" x14ac:dyDescent="0.2">
      <c r="A3072">
        <v>3066</v>
      </c>
      <c r="B3072" t="s">
        <v>54</v>
      </c>
    </row>
    <row r="3073" spans="1:2" x14ac:dyDescent="0.2">
      <c r="A3073">
        <v>3067</v>
      </c>
      <c r="B3073" t="s">
        <v>54</v>
      </c>
    </row>
    <row r="3074" spans="1:2" x14ac:dyDescent="0.2">
      <c r="A3074">
        <v>3068</v>
      </c>
      <c r="B3074" t="s">
        <v>54</v>
      </c>
    </row>
    <row r="3075" spans="1:2" x14ac:dyDescent="0.2">
      <c r="A3075">
        <v>3069</v>
      </c>
      <c r="B3075" t="s">
        <v>54</v>
      </c>
    </row>
    <row r="3076" spans="1:2" x14ac:dyDescent="0.2">
      <c r="A3076">
        <v>3070</v>
      </c>
      <c r="B3076" t="s">
        <v>54</v>
      </c>
    </row>
    <row r="3077" spans="1:2" x14ac:dyDescent="0.2">
      <c r="A3077">
        <v>3071</v>
      </c>
      <c r="B3077" t="s">
        <v>54</v>
      </c>
    </row>
    <row r="3078" spans="1:2" x14ac:dyDescent="0.2">
      <c r="A3078">
        <v>3072</v>
      </c>
      <c r="B3078" t="s">
        <v>54</v>
      </c>
    </row>
    <row r="3079" spans="1:2" x14ac:dyDescent="0.2">
      <c r="A3079">
        <v>3073</v>
      </c>
      <c r="B3079" t="s">
        <v>54</v>
      </c>
    </row>
    <row r="3080" spans="1:2" x14ac:dyDescent="0.2">
      <c r="A3080">
        <v>3074</v>
      </c>
      <c r="B3080" t="s">
        <v>54</v>
      </c>
    </row>
    <row r="3081" spans="1:2" x14ac:dyDescent="0.2">
      <c r="A3081">
        <v>3075</v>
      </c>
      <c r="B3081" t="s">
        <v>54</v>
      </c>
    </row>
    <row r="3082" spans="1:2" x14ac:dyDescent="0.2">
      <c r="A3082">
        <v>3076</v>
      </c>
      <c r="B3082" t="s">
        <v>54</v>
      </c>
    </row>
    <row r="3083" spans="1:2" x14ac:dyDescent="0.2">
      <c r="A3083">
        <v>3077</v>
      </c>
      <c r="B3083" t="s">
        <v>54</v>
      </c>
    </row>
    <row r="3084" spans="1:2" x14ac:dyDescent="0.2">
      <c r="A3084">
        <v>3078</v>
      </c>
      <c r="B3084" t="s">
        <v>54</v>
      </c>
    </row>
    <row r="3085" spans="1:2" x14ac:dyDescent="0.2">
      <c r="A3085">
        <v>3079</v>
      </c>
      <c r="B3085" t="s">
        <v>54</v>
      </c>
    </row>
    <row r="3086" spans="1:2" x14ac:dyDescent="0.2">
      <c r="A3086">
        <v>3080</v>
      </c>
      <c r="B3086" t="s">
        <v>54</v>
      </c>
    </row>
    <row r="3087" spans="1:2" x14ac:dyDescent="0.2">
      <c r="A3087">
        <v>3081</v>
      </c>
      <c r="B3087" t="s">
        <v>54</v>
      </c>
    </row>
    <row r="3088" spans="1:2" x14ac:dyDescent="0.2">
      <c r="A3088">
        <v>3082</v>
      </c>
      <c r="B3088" t="s">
        <v>54</v>
      </c>
    </row>
    <row r="3089" spans="1:2" x14ac:dyDescent="0.2">
      <c r="A3089">
        <v>3083</v>
      </c>
      <c r="B3089" t="s">
        <v>54</v>
      </c>
    </row>
    <row r="3090" spans="1:2" x14ac:dyDescent="0.2">
      <c r="A3090">
        <v>3084</v>
      </c>
      <c r="B3090" t="s">
        <v>54</v>
      </c>
    </row>
    <row r="3091" spans="1:2" x14ac:dyDescent="0.2">
      <c r="A3091">
        <v>3085</v>
      </c>
      <c r="B3091" t="s">
        <v>54</v>
      </c>
    </row>
    <row r="3092" spans="1:2" x14ac:dyDescent="0.2">
      <c r="A3092">
        <v>3086</v>
      </c>
      <c r="B3092" t="s">
        <v>54</v>
      </c>
    </row>
    <row r="3093" spans="1:2" x14ac:dyDescent="0.2">
      <c r="A3093">
        <v>3087</v>
      </c>
      <c r="B3093" t="s">
        <v>54</v>
      </c>
    </row>
    <row r="3094" spans="1:2" x14ac:dyDescent="0.2">
      <c r="A3094">
        <v>3088</v>
      </c>
      <c r="B3094" t="s">
        <v>54</v>
      </c>
    </row>
    <row r="3095" spans="1:2" x14ac:dyDescent="0.2">
      <c r="A3095">
        <v>3089</v>
      </c>
      <c r="B3095" t="s">
        <v>54</v>
      </c>
    </row>
    <row r="3096" spans="1:2" x14ac:dyDescent="0.2">
      <c r="A3096">
        <v>3090</v>
      </c>
      <c r="B3096" t="s">
        <v>54</v>
      </c>
    </row>
    <row r="3097" spans="1:2" x14ac:dyDescent="0.2">
      <c r="A3097">
        <v>3091</v>
      </c>
      <c r="B3097" t="s">
        <v>54</v>
      </c>
    </row>
    <row r="3098" spans="1:2" x14ac:dyDescent="0.2">
      <c r="A3098">
        <v>3092</v>
      </c>
      <c r="B3098" t="s">
        <v>54</v>
      </c>
    </row>
    <row r="3099" spans="1:2" x14ac:dyDescent="0.2">
      <c r="A3099">
        <v>3093</v>
      </c>
      <c r="B3099" t="s">
        <v>54</v>
      </c>
    </row>
    <row r="3100" spans="1:2" x14ac:dyDescent="0.2">
      <c r="A3100">
        <v>3094</v>
      </c>
      <c r="B3100" t="s">
        <v>54</v>
      </c>
    </row>
    <row r="3101" spans="1:2" x14ac:dyDescent="0.2">
      <c r="A3101">
        <v>3095</v>
      </c>
      <c r="B3101" t="s">
        <v>54</v>
      </c>
    </row>
    <row r="3102" spans="1:2" x14ac:dyDescent="0.2">
      <c r="A3102">
        <v>3096</v>
      </c>
      <c r="B3102" t="s">
        <v>54</v>
      </c>
    </row>
    <row r="3103" spans="1:2" x14ac:dyDescent="0.2">
      <c r="A3103">
        <v>3097</v>
      </c>
      <c r="B3103" t="s">
        <v>54</v>
      </c>
    </row>
    <row r="3104" spans="1:2" x14ac:dyDescent="0.2">
      <c r="A3104">
        <v>3098</v>
      </c>
      <c r="B3104" t="s">
        <v>54</v>
      </c>
    </row>
    <row r="3105" spans="1:2" x14ac:dyDescent="0.2">
      <c r="A3105">
        <v>3099</v>
      </c>
      <c r="B3105" t="s">
        <v>54</v>
      </c>
    </row>
    <row r="3106" spans="1:2" x14ac:dyDescent="0.2">
      <c r="A3106">
        <v>3100</v>
      </c>
      <c r="B3106" t="s">
        <v>54</v>
      </c>
    </row>
    <row r="3107" spans="1:2" x14ac:dyDescent="0.2">
      <c r="A3107">
        <v>3101</v>
      </c>
      <c r="B3107" t="s">
        <v>54</v>
      </c>
    </row>
    <row r="3108" spans="1:2" x14ac:dyDescent="0.2">
      <c r="A3108">
        <v>3102</v>
      </c>
      <c r="B3108" t="s">
        <v>54</v>
      </c>
    </row>
    <row r="3109" spans="1:2" x14ac:dyDescent="0.2">
      <c r="A3109">
        <v>3103</v>
      </c>
      <c r="B3109" t="s">
        <v>54</v>
      </c>
    </row>
    <row r="3110" spans="1:2" x14ac:dyDescent="0.2">
      <c r="A3110">
        <v>3104</v>
      </c>
      <c r="B3110" t="s">
        <v>54</v>
      </c>
    </row>
    <row r="3111" spans="1:2" x14ac:dyDescent="0.2">
      <c r="A3111">
        <v>3105</v>
      </c>
      <c r="B3111" t="s">
        <v>54</v>
      </c>
    </row>
    <row r="3112" spans="1:2" x14ac:dyDescent="0.2">
      <c r="A3112">
        <v>3106</v>
      </c>
      <c r="B3112" t="s">
        <v>54</v>
      </c>
    </row>
    <row r="3113" spans="1:2" x14ac:dyDescent="0.2">
      <c r="A3113">
        <v>3107</v>
      </c>
      <c r="B3113" t="s">
        <v>54</v>
      </c>
    </row>
    <row r="3114" spans="1:2" x14ac:dyDescent="0.2">
      <c r="A3114">
        <v>3108</v>
      </c>
      <c r="B3114" t="s">
        <v>54</v>
      </c>
    </row>
    <row r="3115" spans="1:2" x14ac:dyDescent="0.2">
      <c r="A3115">
        <v>3109</v>
      </c>
      <c r="B3115" t="s">
        <v>54</v>
      </c>
    </row>
    <row r="3116" spans="1:2" x14ac:dyDescent="0.2">
      <c r="A3116">
        <v>3110</v>
      </c>
      <c r="B3116" t="s">
        <v>54</v>
      </c>
    </row>
    <row r="3117" spans="1:2" x14ac:dyDescent="0.2">
      <c r="A3117">
        <v>3111</v>
      </c>
      <c r="B3117" t="s">
        <v>54</v>
      </c>
    </row>
    <row r="3118" spans="1:2" x14ac:dyDescent="0.2">
      <c r="A3118">
        <v>3112</v>
      </c>
      <c r="B3118" t="s">
        <v>54</v>
      </c>
    </row>
    <row r="3119" spans="1:2" x14ac:dyDescent="0.2">
      <c r="A3119">
        <v>3113</v>
      </c>
      <c r="B3119" t="s">
        <v>54</v>
      </c>
    </row>
    <row r="3120" spans="1:2" x14ac:dyDescent="0.2">
      <c r="A3120">
        <v>3114</v>
      </c>
      <c r="B3120" t="s">
        <v>54</v>
      </c>
    </row>
    <row r="3121" spans="1:2" x14ac:dyDescent="0.2">
      <c r="A3121">
        <v>3115</v>
      </c>
      <c r="B3121" t="s">
        <v>54</v>
      </c>
    </row>
    <row r="3122" spans="1:2" x14ac:dyDescent="0.2">
      <c r="A3122">
        <v>3116</v>
      </c>
      <c r="B3122" t="s">
        <v>54</v>
      </c>
    </row>
    <row r="3123" spans="1:2" x14ac:dyDescent="0.2">
      <c r="A3123">
        <v>3117</v>
      </c>
      <c r="B3123" t="s">
        <v>54</v>
      </c>
    </row>
    <row r="3124" spans="1:2" x14ac:dyDescent="0.2">
      <c r="A3124">
        <v>3118</v>
      </c>
      <c r="B3124" t="s">
        <v>54</v>
      </c>
    </row>
    <row r="3125" spans="1:2" x14ac:dyDescent="0.2">
      <c r="A3125">
        <v>3119</v>
      </c>
      <c r="B3125" t="s">
        <v>54</v>
      </c>
    </row>
    <row r="3126" spans="1:2" x14ac:dyDescent="0.2">
      <c r="A3126">
        <v>3120</v>
      </c>
      <c r="B3126" t="s">
        <v>54</v>
      </c>
    </row>
    <row r="3127" spans="1:2" x14ac:dyDescent="0.2">
      <c r="A3127">
        <v>3121</v>
      </c>
      <c r="B3127" t="s">
        <v>54</v>
      </c>
    </row>
    <row r="3128" spans="1:2" x14ac:dyDescent="0.2">
      <c r="A3128">
        <v>3122</v>
      </c>
      <c r="B3128" t="s">
        <v>54</v>
      </c>
    </row>
    <row r="3129" spans="1:2" x14ac:dyDescent="0.2">
      <c r="A3129">
        <v>3123</v>
      </c>
      <c r="B3129" t="s">
        <v>54</v>
      </c>
    </row>
    <row r="3130" spans="1:2" x14ac:dyDescent="0.2">
      <c r="A3130">
        <v>3124</v>
      </c>
      <c r="B3130" t="s">
        <v>54</v>
      </c>
    </row>
    <row r="3131" spans="1:2" x14ac:dyDescent="0.2">
      <c r="A3131">
        <v>3125</v>
      </c>
      <c r="B3131" t="s">
        <v>54</v>
      </c>
    </row>
    <row r="3132" spans="1:2" x14ac:dyDescent="0.2">
      <c r="A3132">
        <v>3126</v>
      </c>
      <c r="B3132" t="s">
        <v>54</v>
      </c>
    </row>
    <row r="3133" spans="1:2" x14ac:dyDescent="0.2">
      <c r="A3133">
        <v>3127</v>
      </c>
      <c r="B3133" t="s">
        <v>54</v>
      </c>
    </row>
    <row r="3134" spans="1:2" x14ac:dyDescent="0.2">
      <c r="A3134">
        <v>3128</v>
      </c>
      <c r="B3134" t="s">
        <v>54</v>
      </c>
    </row>
    <row r="3135" spans="1:2" x14ac:dyDescent="0.2">
      <c r="A3135">
        <v>3129</v>
      </c>
      <c r="B3135" t="s">
        <v>54</v>
      </c>
    </row>
    <row r="3136" spans="1:2" x14ac:dyDescent="0.2">
      <c r="A3136">
        <v>3130</v>
      </c>
      <c r="B3136" t="s">
        <v>54</v>
      </c>
    </row>
    <row r="3137" spans="1:2" x14ac:dyDescent="0.2">
      <c r="A3137">
        <v>3131</v>
      </c>
      <c r="B3137" t="s">
        <v>54</v>
      </c>
    </row>
    <row r="3138" spans="1:2" x14ac:dyDescent="0.2">
      <c r="A3138">
        <v>3132</v>
      </c>
      <c r="B3138" t="s">
        <v>54</v>
      </c>
    </row>
    <row r="3139" spans="1:2" x14ac:dyDescent="0.2">
      <c r="A3139">
        <v>3133</v>
      </c>
      <c r="B3139" t="s">
        <v>54</v>
      </c>
    </row>
    <row r="3140" spans="1:2" x14ac:dyDescent="0.2">
      <c r="A3140">
        <v>3134</v>
      </c>
      <c r="B3140" t="s">
        <v>54</v>
      </c>
    </row>
    <row r="3141" spans="1:2" x14ac:dyDescent="0.2">
      <c r="A3141">
        <v>3135</v>
      </c>
      <c r="B3141" t="s">
        <v>54</v>
      </c>
    </row>
    <row r="3142" spans="1:2" x14ac:dyDescent="0.2">
      <c r="A3142">
        <v>3136</v>
      </c>
      <c r="B3142" t="s">
        <v>54</v>
      </c>
    </row>
    <row r="3143" spans="1:2" x14ac:dyDescent="0.2">
      <c r="A3143">
        <v>3137</v>
      </c>
      <c r="B3143" t="s">
        <v>54</v>
      </c>
    </row>
    <row r="3144" spans="1:2" x14ac:dyDescent="0.2">
      <c r="A3144">
        <v>3138</v>
      </c>
      <c r="B3144" t="s">
        <v>54</v>
      </c>
    </row>
    <row r="3145" spans="1:2" x14ac:dyDescent="0.2">
      <c r="A3145">
        <v>3139</v>
      </c>
      <c r="B3145" t="s">
        <v>54</v>
      </c>
    </row>
    <row r="3146" spans="1:2" x14ac:dyDescent="0.2">
      <c r="A3146">
        <v>3140</v>
      </c>
      <c r="B3146" t="s">
        <v>54</v>
      </c>
    </row>
    <row r="3147" spans="1:2" x14ac:dyDescent="0.2">
      <c r="A3147">
        <v>3141</v>
      </c>
      <c r="B3147" t="s">
        <v>54</v>
      </c>
    </row>
    <row r="3148" spans="1:2" x14ac:dyDescent="0.2">
      <c r="A3148">
        <v>3142</v>
      </c>
      <c r="B3148" t="s">
        <v>54</v>
      </c>
    </row>
    <row r="3149" spans="1:2" x14ac:dyDescent="0.2">
      <c r="A3149">
        <v>3143</v>
      </c>
      <c r="B3149" t="s">
        <v>54</v>
      </c>
    </row>
    <row r="3150" spans="1:2" x14ac:dyDescent="0.2">
      <c r="A3150">
        <v>3144</v>
      </c>
      <c r="B3150" t="s">
        <v>54</v>
      </c>
    </row>
    <row r="3151" spans="1:2" x14ac:dyDescent="0.2">
      <c r="A3151">
        <v>3145</v>
      </c>
      <c r="B3151" t="s">
        <v>54</v>
      </c>
    </row>
    <row r="3152" spans="1:2" x14ac:dyDescent="0.2">
      <c r="A3152">
        <v>3146</v>
      </c>
      <c r="B3152" t="s">
        <v>54</v>
      </c>
    </row>
    <row r="3153" spans="1:2" x14ac:dyDescent="0.2">
      <c r="A3153">
        <v>3147</v>
      </c>
      <c r="B3153" t="s">
        <v>54</v>
      </c>
    </row>
    <row r="3154" spans="1:2" x14ac:dyDescent="0.2">
      <c r="A3154">
        <v>3148</v>
      </c>
      <c r="B3154" t="s">
        <v>54</v>
      </c>
    </row>
    <row r="3155" spans="1:2" x14ac:dyDescent="0.2">
      <c r="A3155">
        <v>3149</v>
      </c>
      <c r="B3155" t="s">
        <v>54</v>
      </c>
    </row>
    <row r="3156" spans="1:2" x14ac:dyDescent="0.2">
      <c r="A3156">
        <v>3150</v>
      </c>
      <c r="B3156" t="s">
        <v>54</v>
      </c>
    </row>
    <row r="3157" spans="1:2" x14ac:dyDescent="0.2">
      <c r="A3157">
        <v>3151</v>
      </c>
      <c r="B3157" t="s">
        <v>54</v>
      </c>
    </row>
    <row r="3158" spans="1:2" x14ac:dyDescent="0.2">
      <c r="A3158">
        <v>3152</v>
      </c>
      <c r="B3158" t="s">
        <v>54</v>
      </c>
    </row>
    <row r="3159" spans="1:2" x14ac:dyDescent="0.2">
      <c r="A3159">
        <v>3153</v>
      </c>
      <c r="B3159" t="s">
        <v>54</v>
      </c>
    </row>
    <row r="3160" spans="1:2" x14ac:dyDescent="0.2">
      <c r="A3160">
        <v>3154</v>
      </c>
      <c r="B3160" t="s">
        <v>54</v>
      </c>
    </row>
    <row r="3161" spans="1:2" x14ac:dyDescent="0.2">
      <c r="A3161">
        <v>3155</v>
      </c>
      <c r="B3161" t="s">
        <v>54</v>
      </c>
    </row>
    <row r="3162" spans="1:2" x14ac:dyDescent="0.2">
      <c r="A3162">
        <v>3156</v>
      </c>
      <c r="B3162" t="s">
        <v>54</v>
      </c>
    </row>
    <row r="3163" spans="1:2" x14ac:dyDescent="0.2">
      <c r="A3163">
        <v>3157</v>
      </c>
      <c r="B3163" t="s">
        <v>54</v>
      </c>
    </row>
    <row r="3164" spans="1:2" x14ac:dyDescent="0.2">
      <c r="A3164">
        <v>3158</v>
      </c>
      <c r="B3164" t="s">
        <v>54</v>
      </c>
    </row>
    <row r="3165" spans="1:2" x14ac:dyDescent="0.2">
      <c r="A3165">
        <v>3159</v>
      </c>
      <c r="B3165" t="s">
        <v>54</v>
      </c>
    </row>
    <row r="3166" spans="1:2" x14ac:dyDescent="0.2">
      <c r="A3166">
        <v>3160</v>
      </c>
      <c r="B3166" t="s">
        <v>54</v>
      </c>
    </row>
    <row r="3167" spans="1:2" x14ac:dyDescent="0.2">
      <c r="A3167">
        <v>3161</v>
      </c>
      <c r="B3167" t="s">
        <v>54</v>
      </c>
    </row>
    <row r="3168" spans="1:2" x14ac:dyDescent="0.2">
      <c r="A3168">
        <v>3162</v>
      </c>
      <c r="B3168" t="s">
        <v>54</v>
      </c>
    </row>
    <row r="3169" spans="1:2" x14ac:dyDescent="0.2">
      <c r="A3169">
        <v>3163</v>
      </c>
      <c r="B3169" t="s">
        <v>54</v>
      </c>
    </row>
    <row r="3170" spans="1:2" x14ac:dyDescent="0.2">
      <c r="A3170">
        <v>3164</v>
      </c>
      <c r="B3170" t="s">
        <v>54</v>
      </c>
    </row>
    <row r="3171" spans="1:2" x14ac:dyDescent="0.2">
      <c r="A3171">
        <v>3165</v>
      </c>
      <c r="B3171" t="s">
        <v>54</v>
      </c>
    </row>
    <row r="3172" spans="1:2" x14ac:dyDescent="0.2">
      <c r="A3172">
        <v>3166</v>
      </c>
      <c r="B3172" t="s">
        <v>54</v>
      </c>
    </row>
    <row r="3173" spans="1:2" x14ac:dyDescent="0.2">
      <c r="A3173">
        <v>3167</v>
      </c>
      <c r="B3173" t="s">
        <v>54</v>
      </c>
    </row>
    <row r="3174" spans="1:2" x14ac:dyDescent="0.2">
      <c r="A3174">
        <v>3168</v>
      </c>
      <c r="B3174" t="s">
        <v>54</v>
      </c>
    </row>
    <row r="3175" spans="1:2" x14ac:dyDescent="0.2">
      <c r="A3175">
        <v>3169</v>
      </c>
      <c r="B3175" t="s">
        <v>54</v>
      </c>
    </row>
    <row r="3176" spans="1:2" x14ac:dyDescent="0.2">
      <c r="A3176">
        <v>3170</v>
      </c>
      <c r="B3176" t="s">
        <v>54</v>
      </c>
    </row>
    <row r="3177" spans="1:2" x14ac:dyDescent="0.2">
      <c r="A3177">
        <v>3171</v>
      </c>
      <c r="B3177" t="s">
        <v>54</v>
      </c>
    </row>
    <row r="3178" spans="1:2" x14ac:dyDescent="0.2">
      <c r="A3178">
        <v>3172</v>
      </c>
      <c r="B3178" t="s">
        <v>54</v>
      </c>
    </row>
    <row r="3179" spans="1:2" x14ac:dyDescent="0.2">
      <c r="A3179">
        <v>3173</v>
      </c>
      <c r="B3179" t="s">
        <v>54</v>
      </c>
    </row>
    <row r="3180" spans="1:2" x14ac:dyDescent="0.2">
      <c r="A3180">
        <v>3174</v>
      </c>
      <c r="B3180" t="s">
        <v>54</v>
      </c>
    </row>
    <row r="3181" spans="1:2" x14ac:dyDescent="0.2">
      <c r="A3181">
        <v>3175</v>
      </c>
      <c r="B3181" t="s">
        <v>54</v>
      </c>
    </row>
    <row r="3182" spans="1:2" x14ac:dyDescent="0.2">
      <c r="A3182">
        <v>3176</v>
      </c>
      <c r="B3182" t="s">
        <v>54</v>
      </c>
    </row>
    <row r="3183" spans="1:2" x14ac:dyDescent="0.2">
      <c r="A3183">
        <v>3177</v>
      </c>
      <c r="B3183" t="s">
        <v>54</v>
      </c>
    </row>
    <row r="3184" spans="1:2" x14ac:dyDescent="0.2">
      <c r="A3184">
        <v>3178</v>
      </c>
      <c r="B3184" t="s">
        <v>54</v>
      </c>
    </row>
    <row r="3185" spans="1:2" x14ac:dyDescent="0.2">
      <c r="A3185">
        <v>3179</v>
      </c>
      <c r="B3185" t="s">
        <v>54</v>
      </c>
    </row>
    <row r="3186" spans="1:2" x14ac:dyDescent="0.2">
      <c r="A3186">
        <v>3180</v>
      </c>
      <c r="B3186" t="s">
        <v>54</v>
      </c>
    </row>
    <row r="3187" spans="1:2" x14ac:dyDescent="0.2">
      <c r="A3187">
        <v>3181</v>
      </c>
      <c r="B3187" t="s">
        <v>54</v>
      </c>
    </row>
    <row r="3188" spans="1:2" x14ac:dyDescent="0.2">
      <c r="A3188">
        <v>3182</v>
      </c>
      <c r="B3188" t="s">
        <v>54</v>
      </c>
    </row>
    <row r="3189" spans="1:2" x14ac:dyDescent="0.2">
      <c r="A3189">
        <v>3183</v>
      </c>
      <c r="B3189" t="s">
        <v>54</v>
      </c>
    </row>
    <row r="3190" spans="1:2" x14ac:dyDescent="0.2">
      <c r="A3190">
        <v>3184</v>
      </c>
      <c r="B3190" t="s">
        <v>54</v>
      </c>
    </row>
    <row r="3191" spans="1:2" x14ac:dyDescent="0.2">
      <c r="A3191">
        <v>3185</v>
      </c>
      <c r="B3191" t="s">
        <v>54</v>
      </c>
    </row>
    <row r="3192" spans="1:2" x14ac:dyDescent="0.2">
      <c r="A3192">
        <v>3186</v>
      </c>
      <c r="B3192" t="s">
        <v>54</v>
      </c>
    </row>
    <row r="3193" spans="1:2" x14ac:dyDescent="0.2">
      <c r="A3193">
        <v>3187</v>
      </c>
      <c r="B3193" t="s">
        <v>54</v>
      </c>
    </row>
    <row r="3194" spans="1:2" x14ac:dyDescent="0.2">
      <c r="A3194">
        <v>3188</v>
      </c>
      <c r="B3194" t="s">
        <v>54</v>
      </c>
    </row>
    <row r="3195" spans="1:2" x14ac:dyDescent="0.2">
      <c r="A3195">
        <v>3189</v>
      </c>
      <c r="B3195" t="s">
        <v>54</v>
      </c>
    </row>
    <row r="3196" spans="1:2" x14ac:dyDescent="0.2">
      <c r="A3196">
        <v>3190</v>
      </c>
      <c r="B3196" t="s">
        <v>54</v>
      </c>
    </row>
    <row r="3197" spans="1:2" x14ac:dyDescent="0.2">
      <c r="A3197">
        <v>3191</v>
      </c>
      <c r="B3197" t="s">
        <v>54</v>
      </c>
    </row>
    <row r="3198" spans="1:2" x14ac:dyDescent="0.2">
      <c r="A3198">
        <v>3192</v>
      </c>
      <c r="B3198" t="s">
        <v>54</v>
      </c>
    </row>
    <row r="3199" spans="1:2" x14ac:dyDescent="0.2">
      <c r="A3199">
        <v>3193</v>
      </c>
      <c r="B3199" t="s">
        <v>54</v>
      </c>
    </row>
    <row r="3200" spans="1:2" x14ac:dyDescent="0.2">
      <c r="A3200">
        <v>3194</v>
      </c>
      <c r="B3200" t="s">
        <v>54</v>
      </c>
    </row>
    <row r="3201" spans="1:2" x14ac:dyDescent="0.2">
      <c r="A3201">
        <v>3195</v>
      </c>
      <c r="B3201" t="s">
        <v>54</v>
      </c>
    </row>
    <row r="3202" spans="1:2" x14ac:dyDescent="0.2">
      <c r="A3202">
        <v>3196</v>
      </c>
      <c r="B3202" t="s">
        <v>54</v>
      </c>
    </row>
    <row r="3203" spans="1:2" x14ac:dyDescent="0.2">
      <c r="A3203">
        <v>3197</v>
      </c>
      <c r="B3203" t="s">
        <v>54</v>
      </c>
    </row>
    <row r="3204" spans="1:2" x14ac:dyDescent="0.2">
      <c r="A3204">
        <v>3198</v>
      </c>
      <c r="B3204" t="s">
        <v>54</v>
      </c>
    </row>
    <row r="3205" spans="1:2" x14ac:dyDescent="0.2">
      <c r="A3205">
        <v>3199</v>
      </c>
      <c r="B3205" t="s">
        <v>54</v>
      </c>
    </row>
    <row r="3206" spans="1:2" x14ac:dyDescent="0.2">
      <c r="A3206">
        <v>3200</v>
      </c>
      <c r="B3206" t="s">
        <v>54</v>
      </c>
    </row>
    <row r="3207" spans="1:2" x14ac:dyDescent="0.2">
      <c r="A3207">
        <v>3201</v>
      </c>
      <c r="B3207" t="s">
        <v>54</v>
      </c>
    </row>
    <row r="3208" spans="1:2" x14ac:dyDescent="0.2">
      <c r="A3208">
        <v>3202</v>
      </c>
      <c r="B3208" t="s">
        <v>54</v>
      </c>
    </row>
    <row r="3209" spans="1:2" x14ac:dyDescent="0.2">
      <c r="A3209">
        <v>3203</v>
      </c>
      <c r="B3209" t="s">
        <v>54</v>
      </c>
    </row>
    <row r="3210" spans="1:2" x14ac:dyDescent="0.2">
      <c r="A3210">
        <v>3204</v>
      </c>
      <c r="B3210" t="s">
        <v>54</v>
      </c>
    </row>
    <row r="3211" spans="1:2" x14ac:dyDescent="0.2">
      <c r="A3211">
        <v>3205</v>
      </c>
      <c r="B3211" t="s">
        <v>54</v>
      </c>
    </row>
    <row r="3212" spans="1:2" x14ac:dyDescent="0.2">
      <c r="A3212">
        <v>3206</v>
      </c>
      <c r="B3212" t="s">
        <v>54</v>
      </c>
    </row>
    <row r="3213" spans="1:2" x14ac:dyDescent="0.2">
      <c r="A3213">
        <v>3207</v>
      </c>
      <c r="B3213" t="s">
        <v>54</v>
      </c>
    </row>
    <row r="3214" spans="1:2" x14ac:dyDescent="0.2">
      <c r="A3214">
        <v>3208</v>
      </c>
      <c r="B3214" t="s">
        <v>54</v>
      </c>
    </row>
    <row r="3215" spans="1:2" x14ac:dyDescent="0.2">
      <c r="A3215">
        <v>3209</v>
      </c>
      <c r="B3215" t="s">
        <v>54</v>
      </c>
    </row>
    <row r="3216" spans="1:2" x14ac:dyDescent="0.2">
      <c r="A3216">
        <v>3210</v>
      </c>
      <c r="B3216" t="s">
        <v>54</v>
      </c>
    </row>
    <row r="3217" spans="1:2" x14ac:dyDescent="0.2">
      <c r="A3217">
        <v>3211</v>
      </c>
      <c r="B3217" t="s">
        <v>54</v>
      </c>
    </row>
    <row r="3218" spans="1:2" x14ac:dyDescent="0.2">
      <c r="A3218">
        <v>3212</v>
      </c>
      <c r="B3218" t="s">
        <v>54</v>
      </c>
    </row>
    <row r="3219" spans="1:2" x14ac:dyDescent="0.2">
      <c r="A3219">
        <v>3213</v>
      </c>
      <c r="B3219" t="s">
        <v>54</v>
      </c>
    </row>
    <row r="3220" spans="1:2" x14ac:dyDescent="0.2">
      <c r="A3220">
        <v>3214</v>
      </c>
      <c r="B3220" t="s">
        <v>54</v>
      </c>
    </row>
    <row r="3221" spans="1:2" x14ac:dyDescent="0.2">
      <c r="A3221">
        <v>3215</v>
      </c>
      <c r="B3221" t="s">
        <v>54</v>
      </c>
    </row>
    <row r="3222" spans="1:2" x14ac:dyDescent="0.2">
      <c r="A3222">
        <v>3216</v>
      </c>
      <c r="B3222" t="s">
        <v>54</v>
      </c>
    </row>
    <row r="3223" spans="1:2" x14ac:dyDescent="0.2">
      <c r="A3223">
        <v>3217</v>
      </c>
      <c r="B3223" t="s">
        <v>54</v>
      </c>
    </row>
    <row r="3224" spans="1:2" x14ac:dyDescent="0.2">
      <c r="A3224">
        <v>3218</v>
      </c>
      <c r="B3224" t="s">
        <v>54</v>
      </c>
    </row>
    <row r="3225" spans="1:2" x14ac:dyDescent="0.2">
      <c r="A3225">
        <v>3219</v>
      </c>
      <c r="B3225" t="s">
        <v>54</v>
      </c>
    </row>
    <row r="3226" spans="1:2" x14ac:dyDescent="0.2">
      <c r="A3226">
        <v>3220</v>
      </c>
      <c r="B3226" t="s">
        <v>54</v>
      </c>
    </row>
    <row r="3227" spans="1:2" x14ac:dyDescent="0.2">
      <c r="A3227">
        <v>3221</v>
      </c>
      <c r="B3227" t="s">
        <v>54</v>
      </c>
    </row>
    <row r="3228" spans="1:2" x14ac:dyDescent="0.2">
      <c r="A3228">
        <v>3222</v>
      </c>
      <c r="B3228" t="s">
        <v>54</v>
      </c>
    </row>
    <row r="3229" spans="1:2" x14ac:dyDescent="0.2">
      <c r="A3229">
        <v>3223</v>
      </c>
      <c r="B3229" t="s">
        <v>54</v>
      </c>
    </row>
    <row r="3230" spans="1:2" x14ac:dyDescent="0.2">
      <c r="A3230">
        <v>3224</v>
      </c>
      <c r="B3230" t="s">
        <v>54</v>
      </c>
    </row>
    <row r="3231" spans="1:2" x14ac:dyDescent="0.2">
      <c r="A3231">
        <v>3225</v>
      </c>
      <c r="B3231" t="s">
        <v>54</v>
      </c>
    </row>
    <row r="3232" spans="1:2" x14ac:dyDescent="0.2">
      <c r="A3232">
        <v>3226</v>
      </c>
      <c r="B3232" t="s">
        <v>54</v>
      </c>
    </row>
    <row r="3233" spans="1:2" x14ac:dyDescent="0.2">
      <c r="A3233">
        <v>3227</v>
      </c>
      <c r="B3233" t="s">
        <v>54</v>
      </c>
    </row>
    <row r="3234" spans="1:2" x14ac:dyDescent="0.2">
      <c r="A3234">
        <v>3228</v>
      </c>
      <c r="B3234" t="s">
        <v>54</v>
      </c>
    </row>
    <row r="3235" spans="1:2" x14ac:dyDescent="0.2">
      <c r="A3235">
        <v>3229</v>
      </c>
      <c r="B3235" t="s">
        <v>54</v>
      </c>
    </row>
    <row r="3236" spans="1:2" x14ac:dyDescent="0.2">
      <c r="A3236">
        <v>3230</v>
      </c>
      <c r="B3236" t="s">
        <v>54</v>
      </c>
    </row>
    <row r="3237" spans="1:2" x14ac:dyDescent="0.2">
      <c r="A3237">
        <v>3231</v>
      </c>
      <c r="B3237" t="s">
        <v>54</v>
      </c>
    </row>
    <row r="3238" spans="1:2" x14ac:dyDescent="0.2">
      <c r="A3238">
        <v>3232</v>
      </c>
      <c r="B3238" t="s">
        <v>54</v>
      </c>
    </row>
    <row r="3239" spans="1:2" x14ac:dyDescent="0.2">
      <c r="A3239">
        <v>3233</v>
      </c>
      <c r="B3239" t="s">
        <v>54</v>
      </c>
    </row>
    <row r="3240" spans="1:2" x14ac:dyDescent="0.2">
      <c r="A3240">
        <v>3234</v>
      </c>
      <c r="B3240" t="s">
        <v>54</v>
      </c>
    </row>
    <row r="3241" spans="1:2" x14ac:dyDescent="0.2">
      <c r="A3241">
        <v>3235</v>
      </c>
      <c r="B3241" t="s">
        <v>54</v>
      </c>
    </row>
    <row r="3242" spans="1:2" x14ac:dyDescent="0.2">
      <c r="A3242">
        <v>3236</v>
      </c>
      <c r="B3242" t="s">
        <v>54</v>
      </c>
    </row>
    <row r="3243" spans="1:2" x14ac:dyDescent="0.2">
      <c r="A3243">
        <v>3237</v>
      </c>
      <c r="B3243" t="s">
        <v>54</v>
      </c>
    </row>
    <row r="3244" spans="1:2" x14ac:dyDescent="0.2">
      <c r="A3244">
        <v>3238</v>
      </c>
      <c r="B3244" t="s">
        <v>54</v>
      </c>
    </row>
    <row r="3245" spans="1:2" x14ac:dyDescent="0.2">
      <c r="A3245">
        <v>3239</v>
      </c>
      <c r="B3245" t="s">
        <v>54</v>
      </c>
    </row>
    <row r="3246" spans="1:2" x14ac:dyDescent="0.2">
      <c r="A3246">
        <v>3240</v>
      </c>
      <c r="B3246" t="s">
        <v>54</v>
      </c>
    </row>
    <row r="3247" spans="1:2" x14ac:dyDescent="0.2">
      <c r="A3247">
        <v>3241</v>
      </c>
      <c r="B3247" t="s">
        <v>54</v>
      </c>
    </row>
    <row r="3248" spans="1:2" x14ac:dyDescent="0.2">
      <c r="A3248">
        <v>3242</v>
      </c>
      <c r="B3248" t="s">
        <v>54</v>
      </c>
    </row>
    <row r="3249" spans="1:2" x14ac:dyDescent="0.2">
      <c r="A3249">
        <v>3243</v>
      </c>
      <c r="B3249" t="s">
        <v>54</v>
      </c>
    </row>
    <row r="3250" spans="1:2" x14ac:dyDescent="0.2">
      <c r="A3250">
        <v>3244</v>
      </c>
      <c r="B3250" t="s">
        <v>54</v>
      </c>
    </row>
    <row r="3251" spans="1:2" x14ac:dyDescent="0.2">
      <c r="A3251">
        <v>3245</v>
      </c>
      <c r="B3251" t="s">
        <v>54</v>
      </c>
    </row>
    <row r="3252" spans="1:2" x14ac:dyDescent="0.2">
      <c r="A3252">
        <v>3246</v>
      </c>
      <c r="B3252" t="s">
        <v>54</v>
      </c>
    </row>
    <row r="3253" spans="1:2" x14ac:dyDescent="0.2">
      <c r="A3253">
        <v>3247</v>
      </c>
      <c r="B3253" t="s">
        <v>54</v>
      </c>
    </row>
    <row r="3254" spans="1:2" x14ac:dyDescent="0.2">
      <c r="A3254">
        <v>3248</v>
      </c>
      <c r="B3254" t="s">
        <v>54</v>
      </c>
    </row>
    <row r="3255" spans="1:2" x14ac:dyDescent="0.2">
      <c r="A3255">
        <v>3249</v>
      </c>
      <c r="B3255" t="s">
        <v>54</v>
      </c>
    </row>
    <row r="3256" spans="1:2" x14ac:dyDescent="0.2">
      <c r="A3256">
        <v>3250</v>
      </c>
      <c r="B3256" t="s">
        <v>54</v>
      </c>
    </row>
    <row r="3257" spans="1:2" x14ac:dyDescent="0.2">
      <c r="A3257">
        <v>3251</v>
      </c>
      <c r="B3257" t="s">
        <v>54</v>
      </c>
    </row>
    <row r="3258" spans="1:2" x14ac:dyDescent="0.2">
      <c r="A3258">
        <v>3252</v>
      </c>
      <c r="B3258" t="s">
        <v>54</v>
      </c>
    </row>
    <row r="3259" spans="1:2" x14ac:dyDescent="0.2">
      <c r="A3259">
        <v>3253</v>
      </c>
      <c r="B3259" t="s">
        <v>54</v>
      </c>
    </row>
    <row r="3260" spans="1:2" x14ac:dyDescent="0.2">
      <c r="A3260">
        <v>3254</v>
      </c>
      <c r="B3260" t="s">
        <v>54</v>
      </c>
    </row>
    <row r="3261" spans="1:2" x14ac:dyDescent="0.2">
      <c r="A3261">
        <v>3255</v>
      </c>
      <c r="B3261" t="s">
        <v>54</v>
      </c>
    </row>
    <row r="3262" spans="1:2" x14ac:dyDescent="0.2">
      <c r="A3262">
        <v>3256</v>
      </c>
      <c r="B3262" t="s">
        <v>54</v>
      </c>
    </row>
    <row r="3263" spans="1:2" x14ac:dyDescent="0.2">
      <c r="A3263">
        <v>3257</v>
      </c>
      <c r="B3263" t="s">
        <v>54</v>
      </c>
    </row>
    <row r="3264" spans="1:2" x14ac:dyDescent="0.2">
      <c r="A3264">
        <v>3258</v>
      </c>
      <c r="B3264" t="s">
        <v>54</v>
      </c>
    </row>
    <row r="3265" spans="1:2" x14ac:dyDescent="0.2">
      <c r="A3265">
        <v>3259</v>
      </c>
      <c r="B3265" t="s">
        <v>54</v>
      </c>
    </row>
    <row r="3266" spans="1:2" x14ac:dyDescent="0.2">
      <c r="A3266">
        <v>3260</v>
      </c>
      <c r="B3266" t="s">
        <v>54</v>
      </c>
    </row>
    <row r="3267" spans="1:2" x14ac:dyDescent="0.2">
      <c r="A3267">
        <v>3261</v>
      </c>
      <c r="B3267" t="s">
        <v>54</v>
      </c>
    </row>
    <row r="3268" spans="1:2" x14ac:dyDescent="0.2">
      <c r="A3268">
        <v>3262</v>
      </c>
      <c r="B3268" t="s">
        <v>54</v>
      </c>
    </row>
    <row r="3269" spans="1:2" x14ac:dyDescent="0.2">
      <c r="A3269">
        <v>3263</v>
      </c>
      <c r="B3269" t="s">
        <v>54</v>
      </c>
    </row>
    <row r="3270" spans="1:2" x14ac:dyDescent="0.2">
      <c r="A3270">
        <v>3264</v>
      </c>
      <c r="B3270" t="s">
        <v>54</v>
      </c>
    </row>
    <row r="3271" spans="1:2" x14ac:dyDescent="0.2">
      <c r="A3271">
        <v>3265</v>
      </c>
      <c r="B3271" t="s">
        <v>54</v>
      </c>
    </row>
    <row r="3272" spans="1:2" x14ac:dyDescent="0.2">
      <c r="A3272">
        <v>3266</v>
      </c>
      <c r="B3272" t="s">
        <v>54</v>
      </c>
    </row>
    <row r="3273" spans="1:2" x14ac:dyDescent="0.2">
      <c r="A3273">
        <v>3267</v>
      </c>
      <c r="B3273" t="s">
        <v>54</v>
      </c>
    </row>
    <row r="3274" spans="1:2" x14ac:dyDescent="0.2">
      <c r="A3274">
        <v>3268</v>
      </c>
      <c r="B3274" t="s">
        <v>54</v>
      </c>
    </row>
    <row r="3275" spans="1:2" x14ac:dyDescent="0.2">
      <c r="A3275">
        <v>3269</v>
      </c>
      <c r="B3275" t="s">
        <v>54</v>
      </c>
    </row>
    <row r="3276" spans="1:2" x14ac:dyDescent="0.2">
      <c r="A3276">
        <v>3270</v>
      </c>
      <c r="B3276" t="s">
        <v>54</v>
      </c>
    </row>
    <row r="3277" spans="1:2" x14ac:dyDescent="0.2">
      <c r="A3277">
        <v>3271</v>
      </c>
      <c r="B3277" t="s">
        <v>54</v>
      </c>
    </row>
    <row r="3278" spans="1:2" x14ac:dyDescent="0.2">
      <c r="A3278">
        <v>3272</v>
      </c>
      <c r="B3278" t="s">
        <v>54</v>
      </c>
    </row>
    <row r="3279" spans="1:2" x14ac:dyDescent="0.2">
      <c r="A3279">
        <v>3273</v>
      </c>
      <c r="B3279" t="s">
        <v>54</v>
      </c>
    </row>
    <row r="3280" spans="1:2" x14ac:dyDescent="0.2">
      <c r="A3280">
        <v>3274</v>
      </c>
      <c r="B3280" t="s">
        <v>54</v>
      </c>
    </row>
    <row r="3281" spans="1:2" x14ac:dyDescent="0.2">
      <c r="A3281">
        <v>3275</v>
      </c>
      <c r="B3281" t="s">
        <v>54</v>
      </c>
    </row>
    <row r="3282" spans="1:2" x14ac:dyDescent="0.2">
      <c r="A3282">
        <v>3276</v>
      </c>
      <c r="B3282" t="s">
        <v>54</v>
      </c>
    </row>
    <row r="3283" spans="1:2" x14ac:dyDescent="0.2">
      <c r="A3283">
        <v>3277</v>
      </c>
      <c r="B3283" t="s">
        <v>54</v>
      </c>
    </row>
    <row r="3284" spans="1:2" x14ac:dyDescent="0.2">
      <c r="A3284">
        <v>3278</v>
      </c>
      <c r="B3284" t="s">
        <v>54</v>
      </c>
    </row>
    <row r="3285" spans="1:2" x14ac:dyDescent="0.2">
      <c r="A3285">
        <v>3279</v>
      </c>
      <c r="B3285" t="s">
        <v>54</v>
      </c>
    </row>
    <row r="3286" spans="1:2" x14ac:dyDescent="0.2">
      <c r="A3286">
        <v>3280</v>
      </c>
      <c r="B3286" t="s">
        <v>54</v>
      </c>
    </row>
    <row r="3287" spans="1:2" x14ac:dyDescent="0.2">
      <c r="A3287">
        <v>3281</v>
      </c>
      <c r="B3287" t="s">
        <v>54</v>
      </c>
    </row>
    <row r="3288" spans="1:2" x14ac:dyDescent="0.2">
      <c r="A3288">
        <v>3282</v>
      </c>
      <c r="B3288" t="s">
        <v>54</v>
      </c>
    </row>
    <row r="3289" spans="1:2" x14ac:dyDescent="0.2">
      <c r="A3289">
        <v>3283</v>
      </c>
      <c r="B3289" t="s">
        <v>54</v>
      </c>
    </row>
    <row r="3290" spans="1:2" x14ac:dyDescent="0.2">
      <c r="A3290">
        <v>3284</v>
      </c>
      <c r="B3290" t="s">
        <v>54</v>
      </c>
    </row>
    <row r="3291" spans="1:2" x14ac:dyDescent="0.2">
      <c r="A3291">
        <v>3285</v>
      </c>
      <c r="B3291" t="s">
        <v>54</v>
      </c>
    </row>
    <row r="3292" spans="1:2" x14ac:dyDescent="0.2">
      <c r="A3292">
        <v>3286</v>
      </c>
      <c r="B3292" t="s">
        <v>54</v>
      </c>
    </row>
    <row r="3293" spans="1:2" x14ac:dyDescent="0.2">
      <c r="A3293">
        <v>3287</v>
      </c>
      <c r="B3293" t="s">
        <v>54</v>
      </c>
    </row>
    <row r="3294" spans="1:2" x14ac:dyDescent="0.2">
      <c r="A3294">
        <v>3288</v>
      </c>
      <c r="B3294" t="s">
        <v>54</v>
      </c>
    </row>
    <row r="3295" spans="1:2" x14ac:dyDescent="0.2">
      <c r="A3295">
        <v>3289</v>
      </c>
      <c r="B3295" t="s">
        <v>54</v>
      </c>
    </row>
    <row r="3296" spans="1:2" x14ac:dyDescent="0.2">
      <c r="A3296">
        <v>3290</v>
      </c>
      <c r="B3296" t="s">
        <v>54</v>
      </c>
    </row>
    <row r="3297" spans="1:2" x14ac:dyDescent="0.2">
      <c r="A3297">
        <v>3291</v>
      </c>
      <c r="B3297" t="s">
        <v>54</v>
      </c>
    </row>
    <row r="3298" spans="1:2" x14ac:dyDescent="0.2">
      <c r="A3298">
        <v>3292</v>
      </c>
      <c r="B3298" t="s">
        <v>54</v>
      </c>
    </row>
    <row r="3299" spans="1:2" x14ac:dyDescent="0.2">
      <c r="A3299">
        <v>3293</v>
      </c>
      <c r="B3299" t="s">
        <v>54</v>
      </c>
    </row>
    <row r="3300" spans="1:2" x14ac:dyDescent="0.2">
      <c r="A3300">
        <v>3294</v>
      </c>
      <c r="B3300" t="s">
        <v>54</v>
      </c>
    </row>
    <row r="3301" spans="1:2" x14ac:dyDescent="0.2">
      <c r="A3301">
        <v>3295</v>
      </c>
      <c r="B3301" t="s">
        <v>54</v>
      </c>
    </row>
    <row r="3302" spans="1:2" x14ac:dyDescent="0.2">
      <c r="A3302">
        <v>3296</v>
      </c>
      <c r="B3302" t="s">
        <v>54</v>
      </c>
    </row>
    <row r="3303" spans="1:2" x14ac:dyDescent="0.2">
      <c r="A3303">
        <v>3297</v>
      </c>
      <c r="B3303" t="s">
        <v>54</v>
      </c>
    </row>
    <row r="3304" spans="1:2" x14ac:dyDescent="0.2">
      <c r="A3304">
        <v>3298</v>
      </c>
      <c r="B3304" t="s">
        <v>54</v>
      </c>
    </row>
    <row r="3305" spans="1:2" x14ac:dyDescent="0.2">
      <c r="A3305">
        <v>3299</v>
      </c>
      <c r="B3305" t="s">
        <v>54</v>
      </c>
    </row>
    <row r="3306" spans="1:2" x14ac:dyDescent="0.2">
      <c r="A3306">
        <v>3300</v>
      </c>
      <c r="B3306" t="s">
        <v>54</v>
      </c>
    </row>
    <row r="3307" spans="1:2" x14ac:dyDescent="0.2">
      <c r="A3307">
        <v>3301</v>
      </c>
      <c r="B3307" t="s">
        <v>54</v>
      </c>
    </row>
    <row r="3308" spans="1:2" x14ac:dyDescent="0.2">
      <c r="A3308">
        <v>3302</v>
      </c>
      <c r="B3308" t="s">
        <v>54</v>
      </c>
    </row>
    <row r="3309" spans="1:2" x14ac:dyDescent="0.2">
      <c r="A3309">
        <v>3303</v>
      </c>
      <c r="B3309" t="s">
        <v>54</v>
      </c>
    </row>
    <row r="3310" spans="1:2" x14ac:dyDescent="0.2">
      <c r="A3310">
        <v>3304</v>
      </c>
      <c r="B3310" t="s">
        <v>54</v>
      </c>
    </row>
    <row r="3311" spans="1:2" x14ac:dyDescent="0.2">
      <c r="A3311">
        <v>3305</v>
      </c>
      <c r="B3311" t="s">
        <v>54</v>
      </c>
    </row>
    <row r="3312" spans="1:2" x14ac:dyDescent="0.2">
      <c r="A3312">
        <v>3306</v>
      </c>
      <c r="B3312" t="s">
        <v>54</v>
      </c>
    </row>
    <row r="3313" spans="1:2" x14ac:dyDescent="0.2">
      <c r="A3313">
        <v>3307</v>
      </c>
      <c r="B3313" t="s">
        <v>54</v>
      </c>
    </row>
    <row r="3314" spans="1:2" x14ac:dyDescent="0.2">
      <c r="A3314">
        <v>3308</v>
      </c>
      <c r="B3314" t="s">
        <v>54</v>
      </c>
    </row>
    <row r="3315" spans="1:2" x14ac:dyDescent="0.2">
      <c r="A3315">
        <v>3309</v>
      </c>
      <c r="B3315" t="s">
        <v>54</v>
      </c>
    </row>
    <row r="3316" spans="1:2" x14ac:dyDescent="0.2">
      <c r="A3316">
        <v>3310</v>
      </c>
      <c r="B3316" t="s">
        <v>54</v>
      </c>
    </row>
    <row r="3317" spans="1:2" x14ac:dyDescent="0.2">
      <c r="A3317">
        <v>3311</v>
      </c>
      <c r="B3317" t="s">
        <v>54</v>
      </c>
    </row>
    <row r="3318" spans="1:2" x14ac:dyDescent="0.2">
      <c r="A3318">
        <v>3312</v>
      </c>
      <c r="B3318" t="s">
        <v>54</v>
      </c>
    </row>
    <row r="3319" spans="1:2" x14ac:dyDescent="0.2">
      <c r="A3319">
        <v>3313</v>
      </c>
      <c r="B3319" t="s">
        <v>54</v>
      </c>
    </row>
    <row r="3320" spans="1:2" x14ac:dyDescent="0.2">
      <c r="A3320">
        <v>3314</v>
      </c>
      <c r="B3320" t="s">
        <v>54</v>
      </c>
    </row>
    <row r="3321" spans="1:2" x14ac:dyDescent="0.2">
      <c r="A3321">
        <v>3315</v>
      </c>
      <c r="B3321" t="s">
        <v>54</v>
      </c>
    </row>
    <row r="3322" spans="1:2" x14ac:dyDescent="0.2">
      <c r="A3322">
        <v>3316</v>
      </c>
      <c r="B3322" t="s">
        <v>54</v>
      </c>
    </row>
    <row r="3323" spans="1:2" x14ac:dyDescent="0.2">
      <c r="A3323">
        <v>3317</v>
      </c>
      <c r="B3323" t="s">
        <v>54</v>
      </c>
    </row>
    <row r="3324" spans="1:2" x14ac:dyDescent="0.2">
      <c r="A3324">
        <v>3318</v>
      </c>
      <c r="B3324" t="s">
        <v>54</v>
      </c>
    </row>
    <row r="3325" spans="1:2" x14ac:dyDescent="0.2">
      <c r="A3325">
        <v>3319</v>
      </c>
      <c r="B3325" t="s">
        <v>54</v>
      </c>
    </row>
    <row r="3326" spans="1:2" x14ac:dyDescent="0.2">
      <c r="A3326">
        <v>3320</v>
      </c>
      <c r="B3326" t="s">
        <v>54</v>
      </c>
    </row>
    <row r="3327" spans="1:2" x14ac:dyDescent="0.2">
      <c r="A3327">
        <v>3321</v>
      </c>
      <c r="B3327" t="s">
        <v>54</v>
      </c>
    </row>
    <row r="3328" spans="1:2" x14ac:dyDescent="0.2">
      <c r="A3328">
        <v>3322</v>
      </c>
      <c r="B3328" t="s">
        <v>54</v>
      </c>
    </row>
    <row r="3329" spans="1:2" x14ac:dyDescent="0.2">
      <c r="A3329">
        <v>3323</v>
      </c>
      <c r="B3329" t="s">
        <v>54</v>
      </c>
    </row>
    <row r="3330" spans="1:2" x14ac:dyDescent="0.2">
      <c r="A3330">
        <v>3324</v>
      </c>
      <c r="B3330" t="s">
        <v>54</v>
      </c>
    </row>
    <row r="3331" spans="1:2" x14ac:dyDescent="0.2">
      <c r="A3331">
        <v>3325</v>
      </c>
      <c r="B3331" t="s">
        <v>54</v>
      </c>
    </row>
    <row r="3332" spans="1:2" x14ac:dyDescent="0.2">
      <c r="A3332">
        <v>3326</v>
      </c>
      <c r="B3332" t="s">
        <v>54</v>
      </c>
    </row>
    <row r="3333" spans="1:2" x14ac:dyDescent="0.2">
      <c r="A3333">
        <v>3327</v>
      </c>
      <c r="B3333" t="s">
        <v>54</v>
      </c>
    </row>
    <row r="3334" spans="1:2" x14ac:dyDescent="0.2">
      <c r="A3334">
        <v>3328</v>
      </c>
      <c r="B3334" t="s">
        <v>54</v>
      </c>
    </row>
    <row r="3335" spans="1:2" x14ac:dyDescent="0.2">
      <c r="A3335">
        <v>3329</v>
      </c>
      <c r="B3335" t="s">
        <v>54</v>
      </c>
    </row>
    <row r="3336" spans="1:2" x14ac:dyDescent="0.2">
      <c r="A3336">
        <v>3330</v>
      </c>
      <c r="B3336" t="s">
        <v>54</v>
      </c>
    </row>
    <row r="3337" spans="1:2" x14ac:dyDescent="0.2">
      <c r="A3337">
        <v>3331</v>
      </c>
      <c r="B3337" t="s">
        <v>54</v>
      </c>
    </row>
    <row r="3338" spans="1:2" x14ac:dyDescent="0.2">
      <c r="A3338">
        <v>3332</v>
      </c>
      <c r="B3338" t="s">
        <v>54</v>
      </c>
    </row>
    <row r="3339" spans="1:2" x14ac:dyDescent="0.2">
      <c r="A3339">
        <v>3333</v>
      </c>
      <c r="B3339" t="s">
        <v>54</v>
      </c>
    </row>
    <row r="3340" spans="1:2" x14ac:dyDescent="0.2">
      <c r="A3340">
        <v>3334</v>
      </c>
      <c r="B3340" t="s">
        <v>54</v>
      </c>
    </row>
    <row r="3341" spans="1:2" x14ac:dyDescent="0.2">
      <c r="A3341">
        <v>3335</v>
      </c>
      <c r="B3341" t="s">
        <v>54</v>
      </c>
    </row>
    <row r="3342" spans="1:2" x14ac:dyDescent="0.2">
      <c r="A3342">
        <v>3336</v>
      </c>
      <c r="B3342" t="s">
        <v>54</v>
      </c>
    </row>
    <row r="3343" spans="1:2" x14ac:dyDescent="0.2">
      <c r="A3343">
        <v>3337</v>
      </c>
      <c r="B3343" t="s">
        <v>54</v>
      </c>
    </row>
    <row r="3344" spans="1:2" x14ac:dyDescent="0.2">
      <c r="A3344">
        <v>3338</v>
      </c>
      <c r="B3344" t="s">
        <v>54</v>
      </c>
    </row>
    <row r="3345" spans="1:2" x14ac:dyDescent="0.2">
      <c r="A3345">
        <v>3339</v>
      </c>
      <c r="B3345" t="s">
        <v>54</v>
      </c>
    </row>
    <row r="3346" spans="1:2" x14ac:dyDescent="0.2">
      <c r="A3346">
        <v>3340</v>
      </c>
      <c r="B3346" t="s">
        <v>54</v>
      </c>
    </row>
    <row r="3347" spans="1:2" x14ac:dyDescent="0.2">
      <c r="A3347">
        <v>3341</v>
      </c>
      <c r="B3347" t="s">
        <v>54</v>
      </c>
    </row>
    <row r="3348" spans="1:2" x14ac:dyDescent="0.2">
      <c r="A3348">
        <v>3342</v>
      </c>
      <c r="B3348" t="s">
        <v>54</v>
      </c>
    </row>
    <row r="3349" spans="1:2" x14ac:dyDescent="0.2">
      <c r="A3349">
        <v>3343</v>
      </c>
      <c r="B3349" t="s">
        <v>54</v>
      </c>
    </row>
    <row r="3350" spans="1:2" x14ac:dyDescent="0.2">
      <c r="A3350">
        <v>3344</v>
      </c>
      <c r="B3350" t="s">
        <v>54</v>
      </c>
    </row>
    <row r="3351" spans="1:2" x14ac:dyDescent="0.2">
      <c r="A3351">
        <v>3345</v>
      </c>
      <c r="B3351" t="s">
        <v>54</v>
      </c>
    </row>
    <row r="3352" spans="1:2" x14ac:dyDescent="0.2">
      <c r="A3352">
        <v>3346</v>
      </c>
      <c r="B3352" t="s">
        <v>54</v>
      </c>
    </row>
    <row r="3353" spans="1:2" x14ac:dyDescent="0.2">
      <c r="A3353">
        <v>3347</v>
      </c>
      <c r="B3353" t="s">
        <v>54</v>
      </c>
    </row>
    <row r="3354" spans="1:2" x14ac:dyDescent="0.2">
      <c r="A3354">
        <v>3348</v>
      </c>
      <c r="B3354" t="s">
        <v>54</v>
      </c>
    </row>
    <row r="3355" spans="1:2" x14ac:dyDescent="0.2">
      <c r="A3355">
        <v>3349</v>
      </c>
      <c r="B3355" t="s">
        <v>54</v>
      </c>
    </row>
    <row r="3356" spans="1:2" x14ac:dyDescent="0.2">
      <c r="A3356">
        <v>3350</v>
      </c>
      <c r="B3356" t="s">
        <v>54</v>
      </c>
    </row>
    <row r="3357" spans="1:2" x14ac:dyDescent="0.2">
      <c r="A3357">
        <v>3351</v>
      </c>
      <c r="B3357" t="s">
        <v>54</v>
      </c>
    </row>
    <row r="3358" spans="1:2" x14ac:dyDescent="0.2">
      <c r="A3358">
        <v>3352</v>
      </c>
      <c r="B3358" t="s">
        <v>54</v>
      </c>
    </row>
    <row r="3359" spans="1:2" x14ac:dyDescent="0.2">
      <c r="A3359">
        <v>3353</v>
      </c>
      <c r="B3359" t="s">
        <v>54</v>
      </c>
    </row>
    <row r="3360" spans="1:2" x14ac:dyDescent="0.2">
      <c r="A3360">
        <v>3354</v>
      </c>
      <c r="B3360" t="s">
        <v>54</v>
      </c>
    </row>
    <row r="3361" spans="1:2" x14ac:dyDescent="0.2">
      <c r="A3361">
        <v>3355</v>
      </c>
      <c r="B3361" t="s">
        <v>54</v>
      </c>
    </row>
    <row r="3362" spans="1:2" x14ac:dyDescent="0.2">
      <c r="A3362">
        <v>3356</v>
      </c>
      <c r="B3362" t="s">
        <v>54</v>
      </c>
    </row>
    <row r="3363" spans="1:2" x14ac:dyDescent="0.2">
      <c r="A3363">
        <v>3357</v>
      </c>
      <c r="B3363" t="s">
        <v>54</v>
      </c>
    </row>
    <row r="3364" spans="1:2" x14ac:dyDescent="0.2">
      <c r="A3364">
        <v>3358</v>
      </c>
      <c r="B3364" t="s">
        <v>54</v>
      </c>
    </row>
    <row r="3365" spans="1:2" x14ac:dyDescent="0.2">
      <c r="A3365">
        <v>3359</v>
      </c>
      <c r="B3365" t="s">
        <v>54</v>
      </c>
    </row>
    <row r="3366" spans="1:2" x14ac:dyDescent="0.2">
      <c r="A3366">
        <v>3360</v>
      </c>
      <c r="B3366" t="s">
        <v>54</v>
      </c>
    </row>
    <row r="3367" spans="1:2" x14ac:dyDescent="0.2">
      <c r="A3367">
        <v>3361</v>
      </c>
      <c r="B3367" t="s">
        <v>54</v>
      </c>
    </row>
    <row r="3368" spans="1:2" x14ac:dyDescent="0.2">
      <c r="A3368">
        <v>3362</v>
      </c>
      <c r="B3368" t="s">
        <v>54</v>
      </c>
    </row>
    <row r="3369" spans="1:2" x14ac:dyDescent="0.2">
      <c r="A3369">
        <v>3363</v>
      </c>
      <c r="B3369" t="s">
        <v>54</v>
      </c>
    </row>
    <row r="3370" spans="1:2" x14ac:dyDescent="0.2">
      <c r="A3370">
        <v>3364</v>
      </c>
      <c r="B3370" t="s">
        <v>54</v>
      </c>
    </row>
    <row r="3371" spans="1:2" x14ac:dyDescent="0.2">
      <c r="A3371">
        <v>3365</v>
      </c>
      <c r="B3371" t="s">
        <v>54</v>
      </c>
    </row>
    <row r="3372" spans="1:2" x14ac:dyDescent="0.2">
      <c r="A3372">
        <v>3366</v>
      </c>
      <c r="B3372" t="s">
        <v>54</v>
      </c>
    </row>
    <row r="3373" spans="1:2" x14ac:dyDescent="0.2">
      <c r="A3373">
        <v>3367</v>
      </c>
      <c r="B3373" t="s">
        <v>54</v>
      </c>
    </row>
    <row r="3374" spans="1:2" x14ac:dyDescent="0.2">
      <c r="A3374">
        <v>3368</v>
      </c>
      <c r="B3374" t="s">
        <v>54</v>
      </c>
    </row>
    <row r="3375" spans="1:2" x14ac:dyDescent="0.2">
      <c r="A3375">
        <v>3369</v>
      </c>
      <c r="B3375" t="s">
        <v>54</v>
      </c>
    </row>
    <row r="3376" spans="1:2" x14ac:dyDescent="0.2">
      <c r="A3376">
        <v>3370</v>
      </c>
      <c r="B3376" t="s">
        <v>54</v>
      </c>
    </row>
    <row r="3377" spans="1:2" x14ac:dyDescent="0.2">
      <c r="A3377">
        <v>3371</v>
      </c>
      <c r="B3377" t="s">
        <v>54</v>
      </c>
    </row>
    <row r="3378" spans="1:2" x14ac:dyDescent="0.2">
      <c r="A3378">
        <v>3372</v>
      </c>
      <c r="B3378" t="s">
        <v>54</v>
      </c>
    </row>
    <row r="3379" spans="1:2" x14ac:dyDescent="0.2">
      <c r="A3379">
        <v>3373</v>
      </c>
      <c r="B3379" t="s">
        <v>54</v>
      </c>
    </row>
    <row r="3380" spans="1:2" x14ac:dyDescent="0.2">
      <c r="A3380">
        <v>3374</v>
      </c>
      <c r="B3380" t="s">
        <v>54</v>
      </c>
    </row>
    <row r="3381" spans="1:2" x14ac:dyDescent="0.2">
      <c r="A3381">
        <v>3375</v>
      </c>
      <c r="B3381" t="s">
        <v>54</v>
      </c>
    </row>
    <row r="3382" spans="1:2" x14ac:dyDescent="0.2">
      <c r="A3382">
        <v>3376</v>
      </c>
      <c r="B3382" t="s">
        <v>54</v>
      </c>
    </row>
    <row r="3383" spans="1:2" x14ac:dyDescent="0.2">
      <c r="A3383">
        <v>3377</v>
      </c>
      <c r="B3383" t="s">
        <v>54</v>
      </c>
    </row>
    <row r="3384" spans="1:2" x14ac:dyDescent="0.2">
      <c r="A3384">
        <v>3378</v>
      </c>
      <c r="B3384" t="s">
        <v>54</v>
      </c>
    </row>
    <row r="3385" spans="1:2" x14ac:dyDescent="0.2">
      <c r="A3385">
        <v>3379</v>
      </c>
      <c r="B3385" t="s">
        <v>54</v>
      </c>
    </row>
    <row r="3386" spans="1:2" x14ac:dyDescent="0.2">
      <c r="A3386">
        <v>3380</v>
      </c>
      <c r="B3386" t="s">
        <v>54</v>
      </c>
    </row>
    <row r="3387" spans="1:2" x14ac:dyDescent="0.2">
      <c r="A3387">
        <v>3381</v>
      </c>
      <c r="B3387" t="s">
        <v>54</v>
      </c>
    </row>
    <row r="3388" spans="1:2" x14ac:dyDescent="0.2">
      <c r="A3388">
        <v>3382</v>
      </c>
      <c r="B3388" t="s">
        <v>54</v>
      </c>
    </row>
    <row r="3389" spans="1:2" x14ac:dyDescent="0.2">
      <c r="A3389">
        <v>3383</v>
      </c>
      <c r="B3389" t="s">
        <v>54</v>
      </c>
    </row>
    <row r="3390" spans="1:2" x14ac:dyDescent="0.2">
      <c r="A3390">
        <v>3384</v>
      </c>
      <c r="B3390" t="s">
        <v>54</v>
      </c>
    </row>
    <row r="3391" spans="1:2" x14ac:dyDescent="0.2">
      <c r="A3391">
        <v>3385</v>
      </c>
      <c r="B3391" t="s">
        <v>54</v>
      </c>
    </row>
    <row r="3392" spans="1:2" x14ac:dyDescent="0.2">
      <c r="A3392">
        <v>3386</v>
      </c>
      <c r="B3392" t="s">
        <v>54</v>
      </c>
    </row>
    <row r="3393" spans="1:2" x14ac:dyDescent="0.2">
      <c r="A3393">
        <v>3387</v>
      </c>
      <c r="B3393" t="s">
        <v>54</v>
      </c>
    </row>
    <row r="3394" spans="1:2" x14ac:dyDescent="0.2">
      <c r="A3394">
        <v>3388</v>
      </c>
      <c r="B3394" t="s">
        <v>54</v>
      </c>
    </row>
    <row r="3395" spans="1:2" x14ac:dyDescent="0.2">
      <c r="A3395">
        <v>3389</v>
      </c>
      <c r="B3395" t="s">
        <v>54</v>
      </c>
    </row>
    <row r="3396" spans="1:2" x14ac:dyDescent="0.2">
      <c r="A3396">
        <v>3390</v>
      </c>
      <c r="B3396" t="s">
        <v>54</v>
      </c>
    </row>
    <row r="3397" spans="1:2" x14ac:dyDescent="0.2">
      <c r="A3397">
        <v>3391</v>
      </c>
      <c r="B3397" t="s">
        <v>54</v>
      </c>
    </row>
    <row r="3398" spans="1:2" x14ac:dyDescent="0.2">
      <c r="A3398">
        <v>3392</v>
      </c>
      <c r="B3398" t="s">
        <v>54</v>
      </c>
    </row>
    <row r="3399" spans="1:2" x14ac:dyDescent="0.2">
      <c r="A3399">
        <v>3393</v>
      </c>
      <c r="B3399" t="s">
        <v>54</v>
      </c>
    </row>
    <row r="3400" spans="1:2" x14ac:dyDescent="0.2">
      <c r="A3400">
        <v>3394</v>
      </c>
      <c r="B3400" t="s">
        <v>54</v>
      </c>
    </row>
    <row r="3401" spans="1:2" x14ac:dyDescent="0.2">
      <c r="A3401">
        <v>3395</v>
      </c>
      <c r="B3401" t="s">
        <v>54</v>
      </c>
    </row>
    <row r="3402" spans="1:2" x14ac:dyDescent="0.2">
      <c r="A3402">
        <v>3396</v>
      </c>
      <c r="B3402" t="s">
        <v>54</v>
      </c>
    </row>
    <row r="3403" spans="1:2" x14ac:dyDescent="0.2">
      <c r="A3403">
        <v>3397</v>
      </c>
      <c r="B3403" t="s">
        <v>54</v>
      </c>
    </row>
    <row r="3404" spans="1:2" x14ac:dyDescent="0.2">
      <c r="A3404">
        <v>3398</v>
      </c>
      <c r="B3404" t="s">
        <v>54</v>
      </c>
    </row>
    <row r="3405" spans="1:2" x14ac:dyDescent="0.2">
      <c r="A3405">
        <v>3399</v>
      </c>
      <c r="B3405" t="s">
        <v>54</v>
      </c>
    </row>
    <row r="3406" spans="1:2" x14ac:dyDescent="0.2">
      <c r="A3406">
        <v>3400</v>
      </c>
      <c r="B3406" t="s">
        <v>54</v>
      </c>
    </row>
    <row r="3407" spans="1:2" x14ac:dyDescent="0.2">
      <c r="A3407">
        <v>3401</v>
      </c>
      <c r="B3407" t="s">
        <v>54</v>
      </c>
    </row>
    <row r="3408" spans="1:2" x14ac:dyDescent="0.2">
      <c r="A3408">
        <v>3402</v>
      </c>
      <c r="B3408" t="s">
        <v>54</v>
      </c>
    </row>
    <row r="3409" spans="1:2" x14ac:dyDescent="0.2">
      <c r="A3409">
        <v>3403</v>
      </c>
      <c r="B3409" t="s">
        <v>54</v>
      </c>
    </row>
    <row r="3410" spans="1:2" x14ac:dyDescent="0.2">
      <c r="A3410">
        <v>3404</v>
      </c>
      <c r="B3410" t="s">
        <v>54</v>
      </c>
    </row>
    <row r="3411" spans="1:2" x14ac:dyDescent="0.2">
      <c r="A3411">
        <v>3405</v>
      </c>
      <c r="B3411" t="s">
        <v>54</v>
      </c>
    </row>
    <row r="3412" spans="1:2" x14ac:dyDescent="0.2">
      <c r="A3412">
        <v>3406</v>
      </c>
      <c r="B3412" t="s">
        <v>54</v>
      </c>
    </row>
    <row r="3413" spans="1:2" x14ac:dyDescent="0.2">
      <c r="A3413">
        <v>3407</v>
      </c>
      <c r="B3413" t="s">
        <v>54</v>
      </c>
    </row>
    <row r="3414" spans="1:2" x14ac:dyDescent="0.2">
      <c r="A3414">
        <v>3408</v>
      </c>
      <c r="B3414" t="s">
        <v>54</v>
      </c>
    </row>
    <row r="3415" spans="1:2" x14ac:dyDescent="0.2">
      <c r="A3415">
        <v>3409</v>
      </c>
      <c r="B3415" t="s">
        <v>54</v>
      </c>
    </row>
    <row r="3416" spans="1:2" x14ac:dyDescent="0.2">
      <c r="A3416">
        <v>3410</v>
      </c>
      <c r="B3416" t="s">
        <v>54</v>
      </c>
    </row>
    <row r="3417" spans="1:2" x14ac:dyDescent="0.2">
      <c r="A3417">
        <v>3411</v>
      </c>
      <c r="B3417" t="s">
        <v>54</v>
      </c>
    </row>
    <row r="3418" spans="1:2" x14ac:dyDescent="0.2">
      <c r="A3418">
        <v>3412</v>
      </c>
      <c r="B3418" t="s">
        <v>54</v>
      </c>
    </row>
    <row r="3419" spans="1:2" x14ac:dyDescent="0.2">
      <c r="A3419">
        <v>3413</v>
      </c>
      <c r="B3419" t="s">
        <v>54</v>
      </c>
    </row>
    <row r="3420" spans="1:2" x14ac:dyDescent="0.2">
      <c r="A3420">
        <v>3414</v>
      </c>
      <c r="B3420" t="s">
        <v>54</v>
      </c>
    </row>
    <row r="3421" spans="1:2" x14ac:dyDescent="0.2">
      <c r="A3421">
        <v>3415</v>
      </c>
      <c r="B3421" t="s">
        <v>54</v>
      </c>
    </row>
    <row r="3422" spans="1:2" x14ac:dyDescent="0.2">
      <c r="A3422">
        <v>3416</v>
      </c>
      <c r="B3422" t="s">
        <v>54</v>
      </c>
    </row>
    <row r="3423" spans="1:2" x14ac:dyDescent="0.2">
      <c r="A3423">
        <v>3417</v>
      </c>
      <c r="B3423" t="s">
        <v>54</v>
      </c>
    </row>
    <row r="3424" spans="1:2" x14ac:dyDescent="0.2">
      <c r="A3424">
        <v>3418</v>
      </c>
      <c r="B3424" t="s">
        <v>54</v>
      </c>
    </row>
    <row r="3425" spans="1:2" x14ac:dyDescent="0.2">
      <c r="A3425">
        <v>3419</v>
      </c>
      <c r="B3425" t="s">
        <v>54</v>
      </c>
    </row>
    <row r="3426" spans="1:2" x14ac:dyDescent="0.2">
      <c r="A3426">
        <v>3420</v>
      </c>
      <c r="B3426" t="s">
        <v>54</v>
      </c>
    </row>
    <row r="3427" spans="1:2" x14ac:dyDescent="0.2">
      <c r="A3427">
        <v>3421</v>
      </c>
      <c r="B3427" t="s">
        <v>54</v>
      </c>
    </row>
    <row r="3428" spans="1:2" x14ac:dyDescent="0.2">
      <c r="A3428">
        <v>3422</v>
      </c>
      <c r="B3428" t="s">
        <v>54</v>
      </c>
    </row>
    <row r="3429" spans="1:2" x14ac:dyDescent="0.2">
      <c r="A3429">
        <v>3423</v>
      </c>
      <c r="B3429" t="s">
        <v>54</v>
      </c>
    </row>
    <row r="3430" spans="1:2" x14ac:dyDescent="0.2">
      <c r="A3430">
        <v>3424</v>
      </c>
      <c r="B3430" t="s">
        <v>54</v>
      </c>
    </row>
    <row r="3431" spans="1:2" x14ac:dyDescent="0.2">
      <c r="A3431">
        <v>3425</v>
      </c>
      <c r="B3431" t="s">
        <v>54</v>
      </c>
    </row>
    <row r="3432" spans="1:2" x14ac:dyDescent="0.2">
      <c r="A3432">
        <v>3426</v>
      </c>
      <c r="B3432" t="s">
        <v>54</v>
      </c>
    </row>
    <row r="3433" spans="1:2" x14ac:dyDescent="0.2">
      <c r="A3433">
        <v>3427</v>
      </c>
      <c r="B3433" t="s">
        <v>54</v>
      </c>
    </row>
    <row r="3434" spans="1:2" x14ac:dyDescent="0.2">
      <c r="A3434">
        <v>3428</v>
      </c>
      <c r="B3434" t="s">
        <v>54</v>
      </c>
    </row>
    <row r="3435" spans="1:2" x14ac:dyDescent="0.2">
      <c r="A3435">
        <v>3429</v>
      </c>
      <c r="B3435" t="s">
        <v>54</v>
      </c>
    </row>
    <row r="3436" spans="1:2" x14ac:dyDescent="0.2">
      <c r="A3436">
        <v>3430</v>
      </c>
      <c r="B3436" t="s">
        <v>54</v>
      </c>
    </row>
    <row r="3437" spans="1:2" x14ac:dyDescent="0.2">
      <c r="A3437">
        <v>3431</v>
      </c>
      <c r="B3437" t="s">
        <v>54</v>
      </c>
    </row>
    <row r="3438" spans="1:2" x14ac:dyDescent="0.2">
      <c r="A3438">
        <v>3432</v>
      </c>
      <c r="B3438" t="s">
        <v>54</v>
      </c>
    </row>
    <row r="3439" spans="1:2" x14ac:dyDescent="0.2">
      <c r="A3439">
        <v>3433</v>
      </c>
      <c r="B3439" t="s">
        <v>54</v>
      </c>
    </row>
    <row r="3440" spans="1:2" x14ac:dyDescent="0.2">
      <c r="A3440">
        <v>3434</v>
      </c>
      <c r="B3440" t="s">
        <v>54</v>
      </c>
    </row>
    <row r="3441" spans="1:2" x14ac:dyDescent="0.2">
      <c r="A3441">
        <v>3435</v>
      </c>
      <c r="B3441" t="s">
        <v>54</v>
      </c>
    </row>
    <row r="3442" spans="1:2" x14ac:dyDescent="0.2">
      <c r="A3442">
        <v>3436</v>
      </c>
      <c r="B3442" t="s">
        <v>54</v>
      </c>
    </row>
    <row r="3443" spans="1:2" x14ac:dyDescent="0.2">
      <c r="A3443">
        <v>3437</v>
      </c>
      <c r="B3443" t="s">
        <v>54</v>
      </c>
    </row>
    <row r="3444" spans="1:2" x14ac:dyDescent="0.2">
      <c r="A3444">
        <v>3438</v>
      </c>
      <c r="B3444" t="s">
        <v>54</v>
      </c>
    </row>
    <row r="3445" spans="1:2" x14ac:dyDescent="0.2">
      <c r="A3445">
        <v>3439</v>
      </c>
      <c r="B3445" t="s">
        <v>54</v>
      </c>
    </row>
    <row r="3446" spans="1:2" x14ac:dyDescent="0.2">
      <c r="A3446">
        <v>3440</v>
      </c>
      <c r="B3446" t="s">
        <v>54</v>
      </c>
    </row>
    <row r="3447" spans="1:2" x14ac:dyDescent="0.2">
      <c r="A3447">
        <v>3441</v>
      </c>
      <c r="B3447" t="s">
        <v>54</v>
      </c>
    </row>
    <row r="3448" spans="1:2" x14ac:dyDescent="0.2">
      <c r="A3448">
        <v>3442</v>
      </c>
      <c r="B3448" t="s">
        <v>54</v>
      </c>
    </row>
    <row r="3449" spans="1:2" x14ac:dyDescent="0.2">
      <c r="A3449">
        <v>3443</v>
      </c>
      <c r="B3449" t="s">
        <v>54</v>
      </c>
    </row>
    <row r="3450" spans="1:2" x14ac:dyDescent="0.2">
      <c r="A3450">
        <v>3444</v>
      </c>
      <c r="B3450" t="s">
        <v>54</v>
      </c>
    </row>
    <row r="3451" spans="1:2" x14ac:dyDescent="0.2">
      <c r="A3451">
        <v>3445</v>
      </c>
      <c r="B3451" t="s">
        <v>54</v>
      </c>
    </row>
    <row r="3452" spans="1:2" x14ac:dyDescent="0.2">
      <c r="A3452">
        <v>3446</v>
      </c>
      <c r="B3452" t="s">
        <v>54</v>
      </c>
    </row>
    <row r="3453" spans="1:2" x14ac:dyDescent="0.2">
      <c r="A3453">
        <v>3447</v>
      </c>
      <c r="B3453" t="s">
        <v>54</v>
      </c>
    </row>
    <row r="3454" spans="1:2" x14ac:dyDescent="0.2">
      <c r="A3454">
        <v>3448</v>
      </c>
      <c r="B3454" t="s">
        <v>54</v>
      </c>
    </row>
    <row r="3455" spans="1:2" x14ac:dyDescent="0.2">
      <c r="A3455">
        <v>3449</v>
      </c>
      <c r="B3455" t="s">
        <v>54</v>
      </c>
    </row>
    <row r="3456" spans="1:2" x14ac:dyDescent="0.2">
      <c r="A3456">
        <v>3450</v>
      </c>
      <c r="B3456" t="s">
        <v>54</v>
      </c>
    </row>
    <row r="3457" spans="1:2" x14ac:dyDescent="0.2">
      <c r="A3457">
        <v>3451</v>
      </c>
      <c r="B3457" t="s">
        <v>54</v>
      </c>
    </row>
    <row r="3458" spans="1:2" x14ac:dyDescent="0.2">
      <c r="A3458">
        <v>3452</v>
      </c>
      <c r="B3458" t="s">
        <v>54</v>
      </c>
    </row>
    <row r="3459" spans="1:2" x14ac:dyDescent="0.2">
      <c r="A3459">
        <v>3453</v>
      </c>
      <c r="B3459" t="s">
        <v>54</v>
      </c>
    </row>
    <row r="3460" spans="1:2" x14ac:dyDescent="0.2">
      <c r="A3460">
        <v>3454</v>
      </c>
      <c r="B3460" t="s">
        <v>54</v>
      </c>
    </row>
    <row r="3461" spans="1:2" x14ac:dyDescent="0.2">
      <c r="A3461">
        <v>3455</v>
      </c>
      <c r="B3461" t="s">
        <v>54</v>
      </c>
    </row>
    <row r="3462" spans="1:2" x14ac:dyDescent="0.2">
      <c r="A3462">
        <v>3456</v>
      </c>
      <c r="B3462" t="s">
        <v>54</v>
      </c>
    </row>
    <row r="3463" spans="1:2" x14ac:dyDescent="0.2">
      <c r="A3463">
        <v>3457</v>
      </c>
      <c r="B3463" t="s">
        <v>54</v>
      </c>
    </row>
    <row r="3464" spans="1:2" x14ac:dyDescent="0.2">
      <c r="A3464">
        <v>3458</v>
      </c>
      <c r="B3464" t="s">
        <v>54</v>
      </c>
    </row>
    <row r="3465" spans="1:2" x14ac:dyDescent="0.2">
      <c r="A3465">
        <v>3459</v>
      </c>
      <c r="B3465" t="s">
        <v>54</v>
      </c>
    </row>
    <row r="3466" spans="1:2" x14ac:dyDescent="0.2">
      <c r="A3466">
        <v>3460</v>
      </c>
      <c r="B3466" t="s">
        <v>54</v>
      </c>
    </row>
    <row r="3467" spans="1:2" x14ac:dyDescent="0.2">
      <c r="A3467">
        <v>3461</v>
      </c>
      <c r="B3467" t="s">
        <v>54</v>
      </c>
    </row>
    <row r="3468" spans="1:2" x14ac:dyDescent="0.2">
      <c r="A3468">
        <v>3462</v>
      </c>
      <c r="B3468" t="s">
        <v>54</v>
      </c>
    </row>
    <row r="3469" spans="1:2" x14ac:dyDescent="0.2">
      <c r="A3469">
        <v>3463</v>
      </c>
      <c r="B3469" t="s">
        <v>54</v>
      </c>
    </row>
    <row r="3470" spans="1:2" x14ac:dyDescent="0.2">
      <c r="A3470">
        <v>3464</v>
      </c>
      <c r="B3470" t="s">
        <v>54</v>
      </c>
    </row>
    <row r="3471" spans="1:2" x14ac:dyDescent="0.2">
      <c r="A3471">
        <v>3465</v>
      </c>
      <c r="B3471" t="s">
        <v>54</v>
      </c>
    </row>
    <row r="3472" spans="1:2" x14ac:dyDescent="0.2">
      <c r="A3472">
        <v>3466</v>
      </c>
      <c r="B3472" t="s">
        <v>54</v>
      </c>
    </row>
    <row r="3473" spans="1:2" x14ac:dyDescent="0.2">
      <c r="A3473">
        <v>3467</v>
      </c>
      <c r="B3473" t="s">
        <v>54</v>
      </c>
    </row>
    <row r="3474" spans="1:2" x14ac:dyDescent="0.2">
      <c r="A3474">
        <v>3468</v>
      </c>
      <c r="B3474" t="s">
        <v>54</v>
      </c>
    </row>
    <row r="3475" spans="1:2" x14ac:dyDescent="0.2">
      <c r="A3475">
        <v>3469</v>
      </c>
      <c r="B3475" t="s">
        <v>54</v>
      </c>
    </row>
    <row r="3476" spans="1:2" x14ac:dyDescent="0.2">
      <c r="A3476">
        <v>3470</v>
      </c>
      <c r="B3476" t="s">
        <v>54</v>
      </c>
    </row>
    <row r="3477" spans="1:2" x14ac:dyDescent="0.2">
      <c r="A3477">
        <v>3471</v>
      </c>
      <c r="B3477" t="s">
        <v>54</v>
      </c>
    </row>
    <row r="3478" spans="1:2" x14ac:dyDescent="0.2">
      <c r="A3478">
        <v>3472</v>
      </c>
      <c r="B3478" t="s">
        <v>54</v>
      </c>
    </row>
    <row r="3479" spans="1:2" x14ac:dyDescent="0.2">
      <c r="A3479">
        <v>3473</v>
      </c>
      <c r="B3479" t="s">
        <v>54</v>
      </c>
    </row>
    <row r="3480" spans="1:2" x14ac:dyDescent="0.2">
      <c r="A3480">
        <v>3474</v>
      </c>
      <c r="B3480" t="s">
        <v>54</v>
      </c>
    </row>
    <row r="3481" spans="1:2" x14ac:dyDescent="0.2">
      <c r="A3481">
        <v>3475</v>
      </c>
      <c r="B3481" t="s">
        <v>54</v>
      </c>
    </row>
    <row r="3482" spans="1:2" x14ac:dyDescent="0.2">
      <c r="A3482">
        <v>3476</v>
      </c>
      <c r="B3482" t="s">
        <v>54</v>
      </c>
    </row>
    <row r="3483" spans="1:2" x14ac:dyDescent="0.2">
      <c r="A3483">
        <v>3477</v>
      </c>
      <c r="B3483" t="s">
        <v>54</v>
      </c>
    </row>
    <row r="3484" spans="1:2" x14ac:dyDescent="0.2">
      <c r="A3484">
        <v>3478</v>
      </c>
      <c r="B3484" t="s">
        <v>54</v>
      </c>
    </row>
    <row r="3485" spans="1:2" x14ac:dyDescent="0.2">
      <c r="A3485">
        <v>3479</v>
      </c>
      <c r="B3485" t="s">
        <v>54</v>
      </c>
    </row>
    <row r="3486" spans="1:2" x14ac:dyDescent="0.2">
      <c r="A3486">
        <v>3480</v>
      </c>
      <c r="B3486" t="s">
        <v>54</v>
      </c>
    </row>
    <row r="3487" spans="1:2" x14ac:dyDescent="0.2">
      <c r="A3487">
        <v>3481</v>
      </c>
      <c r="B3487" t="s">
        <v>54</v>
      </c>
    </row>
    <row r="3488" spans="1:2" x14ac:dyDescent="0.2">
      <c r="A3488">
        <v>3482</v>
      </c>
      <c r="B3488" t="s">
        <v>54</v>
      </c>
    </row>
    <row r="3489" spans="1:2" x14ac:dyDescent="0.2">
      <c r="A3489">
        <v>3483</v>
      </c>
      <c r="B3489" t="s">
        <v>54</v>
      </c>
    </row>
    <row r="3490" spans="1:2" x14ac:dyDescent="0.2">
      <c r="A3490">
        <v>3484</v>
      </c>
      <c r="B3490" t="s">
        <v>54</v>
      </c>
    </row>
    <row r="3491" spans="1:2" x14ac:dyDescent="0.2">
      <c r="A3491">
        <v>3485</v>
      </c>
      <c r="B3491" t="s">
        <v>54</v>
      </c>
    </row>
    <row r="3492" spans="1:2" x14ac:dyDescent="0.2">
      <c r="A3492">
        <v>3486</v>
      </c>
      <c r="B3492" t="s">
        <v>54</v>
      </c>
    </row>
    <row r="3493" spans="1:2" x14ac:dyDescent="0.2">
      <c r="A3493">
        <v>3487</v>
      </c>
      <c r="B3493" t="s">
        <v>54</v>
      </c>
    </row>
    <row r="3494" spans="1:2" x14ac:dyDescent="0.2">
      <c r="A3494">
        <v>3488</v>
      </c>
      <c r="B3494" t="s">
        <v>54</v>
      </c>
    </row>
    <row r="3495" spans="1:2" x14ac:dyDescent="0.2">
      <c r="A3495">
        <v>3489</v>
      </c>
      <c r="B3495" t="s">
        <v>54</v>
      </c>
    </row>
    <row r="3496" spans="1:2" x14ac:dyDescent="0.2">
      <c r="A3496">
        <v>3490</v>
      </c>
      <c r="B3496" t="s">
        <v>54</v>
      </c>
    </row>
    <row r="3497" spans="1:2" x14ac:dyDescent="0.2">
      <c r="A3497">
        <v>3491</v>
      </c>
      <c r="B3497" t="s">
        <v>54</v>
      </c>
    </row>
    <row r="3498" spans="1:2" x14ac:dyDescent="0.2">
      <c r="A3498">
        <v>3492</v>
      </c>
      <c r="B3498" t="s">
        <v>54</v>
      </c>
    </row>
    <row r="3499" spans="1:2" x14ac:dyDescent="0.2">
      <c r="A3499">
        <v>3493</v>
      </c>
      <c r="B3499" t="s">
        <v>54</v>
      </c>
    </row>
    <row r="3500" spans="1:2" x14ac:dyDescent="0.2">
      <c r="A3500">
        <v>3494</v>
      </c>
      <c r="B3500" t="s">
        <v>54</v>
      </c>
    </row>
    <row r="3501" spans="1:2" x14ac:dyDescent="0.2">
      <c r="A3501">
        <v>3495</v>
      </c>
      <c r="B3501" t="s">
        <v>54</v>
      </c>
    </row>
    <row r="3502" spans="1:2" x14ac:dyDescent="0.2">
      <c r="A3502">
        <v>3496</v>
      </c>
      <c r="B3502" t="s">
        <v>54</v>
      </c>
    </row>
    <row r="3503" spans="1:2" x14ac:dyDescent="0.2">
      <c r="A3503">
        <v>3497</v>
      </c>
      <c r="B3503" t="s">
        <v>54</v>
      </c>
    </row>
    <row r="3504" spans="1:2" x14ac:dyDescent="0.2">
      <c r="A3504">
        <v>3498</v>
      </c>
      <c r="B3504" t="s">
        <v>54</v>
      </c>
    </row>
    <row r="3505" spans="1:2" x14ac:dyDescent="0.2">
      <c r="A3505">
        <v>3499</v>
      </c>
      <c r="B3505" t="s">
        <v>54</v>
      </c>
    </row>
    <row r="3506" spans="1:2" x14ac:dyDescent="0.2">
      <c r="A3506">
        <v>3500</v>
      </c>
      <c r="B3506" t="s">
        <v>54</v>
      </c>
    </row>
    <row r="3507" spans="1:2" x14ac:dyDescent="0.2">
      <c r="A3507">
        <v>3501</v>
      </c>
      <c r="B3507" t="s">
        <v>54</v>
      </c>
    </row>
    <row r="3508" spans="1:2" x14ac:dyDescent="0.2">
      <c r="A3508">
        <v>3502</v>
      </c>
      <c r="B3508" t="s">
        <v>54</v>
      </c>
    </row>
    <row r="3509" spans="1:2" x14ac:dyDescent="0.2">
      <c r="A3509">
        <v>3503</v>
      </c>
      <c r="B3509" t="s">
        <v>54</v>
      </c>
    </row>
    <row r="3510" spans="1:2" x14ac:dyDescent="0.2">
      <c r="A3510">
        <v>3504</v>
      </c>
      <c r="B3510" t="s">
        <v>54</v>
      </c>
    </row>
    <row r="3511" spans="1:2" x14ac:dyDescent="0.2">
      <c r="A3511">
        <v>3505</v>
      </c>
      <c r="B3511" t="s">
        <v>54</v>
      </c>
    </row>
    <row r="3512" spans="1:2" x14ac:dyDescent="0.2">
      <c r="A3512">
        <v>3506</v>
      </c>
      <c r="B3512" t="s">
        <v>54</v>
      </c>
    </row>
    <row r="3513" spans="1:2" x14ac:dyDescent="0.2">
      <c r="A3513">
        <v>3507</v>
      </c>
      <c r="B3513" t="s">
        <v>54</v>
      </c>
    </row>
    <row r="3514" spans="1:2" x14ac:dyDescent="0.2">
      <c r="A3514">
        <v>3508</v>
      </c>
      <c r="B3514" t="s">
        <v>54</v>
      </c>
    </row>
    <row r="3515" spans="1:2" x14ac:dyDescent="0.2">
      <c r="A3515">
        <v>3509</v>
      </c>
      <c r="B3515" t="s">
        <v>54</v>
      </c>
    </row>
    <row r="3516" spans="1:2" x14ac:dyDescent="0.2">
      <c r="A3516">
        <v>3510</v>
      </c>
      <c r="B3516" t="s">
        <v>54</v>
      </c>
    </row>
    <row r="3517" spans="1:2" x14ac:dyDescent="0.2">
      <c r="A3517">
        <v>3511</v>
      </c>
      <c r="B3517" t="s">
        <v>54</v>
      </c>
    </row>
    <row r="3518" spans="1:2" x14ac:dyDescent="0.2">
      <c r="A3518">
        <v>3512</v>
      </c>
      <c r="B3518" t="s">
        <v>54</v>
      </c>
    </row>
    <row r="3519" spans="1:2" x14ac:dyDescent="0.2">
      <c r="A3519">
        <v>3513</v>
      </c>
      <c r="B3519" t="s">
        <v>54</v>
      </c>
    </row>
    <row r="3520" spans="1:2" x14ac:dyDescent="0.2">
      <c r="A3520">
        <v>3514</v>
      </c>
      <c r="B3520" t="s">
        <v>54</v>
      </c>
    </row>
    <row r="3521" spans="1:2" x14ac:dyDescent="0.2">
      <c r="A3521">
        <v>3515</v>
      </c>
      <c r="B3521" t="s">
        <v>54</v>
      </c>
    </row>
    <row r="3522" spans="1:2" x14ac:dyDescent="0.2">
      <c r="A3522">
        <v>3516</v>
      </c>
      <c r="B3522" t="s">
        <v>54</v>
      </c>
    </row>
    <row r="3523" spans="1:2" x14ac:dyDescent="0.2">
      <c r="A3523">
        <v>3517</v>
      </c>
      <c r="B3523" t="s">
        <v>54</v>
      </c>
    </row>
    <row r="3524" spans="1:2" x14ac:dyDescent="0.2">
      <c r="A3524">
        <v>3518</v>
      </c>
      <c r="B3524" t="s">
        <v>54</v>
      </c>
    </row>
    <row r="3525" spans="1:2" x14ac:dyDescent="0.2">
      <c r="A3525">
        <v>3519</v>
      </c>
      <c r="B3525" t="s">
        <v>54</v>
      </c>
    </row>
    <row r="3526" spans="1:2" x14ac:dyDescent="0.2">
      <c r="A3526">
        <v>3520</v>
      </c>
      <c r="B3526" t="s">
        <v>54</v>
      </c>
    </row>
    <row r="3527" spans="1:2" x14ac:dyDescent="0.2">
      <c r="A3527">
        <v>3521</v>
      </c>
      <c r="B3527" t="s">
        <v>54</v>
      </c>
    </row>
    <row r="3528" spans="1:2" x14ac:dyDescent="0.2">
      <c r="A3528">
        <v>3522</v>
      </c>
      <c r="B3528" t="s">
        <v>54</v>
      </c>
    </row>
    <row r="3529" spans="1:2" x14ac:dyDescent="0.2">
      <c r="A3529">
        <v>3523</v>
      </c>
      <c r="B3529" t="s">
        <v>54</v>
      </c>
    </row>
    <row r="3530" spans="1:2" x14ac:dyDescent="0.2">
      <c r="A3530">
        <v>3524</v>
      </c>
      <c r="B3530" t="s">
        <v>54</v>
      </c>
    </row>
    <row r="3531" spans="1:2" x14ac:dyDescent="0.2">
      <c r="A3531">
        <v>3525</v>
      </c>
      <c r="B3531" t="s">
        <v>54</v>
      </c>
    </row>
    <row r="3532" spans="1:2" x14ac:dyDescent="0.2">
      <c r="A3532">
        <v>3526</v>
      </c>
      <c r="B3532" t="s">
        <v>54</v>
      </c>
    </row>
    <row r="3533" spans="1:2" x14ac:dyDescent="0.2">
      <c r="A3533">
        <v>3527</v>
      </c>
      <c r="B3533" t="s">
        <v>54</v>
      </c>
    </row>
    <row r="3534" spans="1:2" x14ac:dyDescent="0.2">
      <c r="A3534">
        <v>3528</v>
      </c>
      <c r="B3534" t="s">
        <v>54</v>
      </c>
    </row>
    <row r="3535" spans="1:2" x14ac:dyDescent="0.2">
      <c r="A3535">
        <v>3529</v>
      </c>
      <c r="B3535" t="s">
        <v>54</v>
      </c>
    </row>
    <row r="3536" spans="1:2" x14ac:dyDescent="0.2">
      <c r="A3536">
        <v>3530</v>
      </c>
      <c r="B3536" t="s">
        <v>54</v>
      </c>
    </row>
    <row r="3537" spans="1:2" x14ac:dyDescent="0.2">
      <c r="A3537">
        <v>3531</v>
      </c>
      <c r="B3537" t="s">
        <v>54</v>
      </c>
    </row>
    <row r="3538" spans="1:2" x14ac:dyDescent="0.2">
      <c r="A3538">
        <v>3532</v>
      </c>
      <c r="B3538" t="s">
        <v>54</v>
      </c>
    </row>
    <row r="3539" spans="1:2" x14ac:dyDescent="0.2">
      <c r="A3539">
        <v>3533</v>
      </c>
      <c r="B3539" t="s">
        <v>54</v>
      </c>
    </row>
    <row r="3540" spans="1:2" x14ac:dyDescent="0.2">
      <c r="A3540">
        <v>3534</v>
      </c>
      <c r="B3540" t="s">
        <v>54</v>
      </c>
    </row>
    <row r="3541" spans="1:2" x14ac:dyDescent="0.2">
      <c r="A3541">
        <v>3535</v>
      </c>
      <c r="B3541" t="s">
        <v>54</v>
      </c>
    </row>
    <row r="3542" spans="1:2" x14ac:dyDescent="0.2">
      <c r="A3542">
        <v>3536</v>
      </c>
      <c r="B3542" t="s">
        <v>54</v>
      </c>
    </row>
    <row r="3543" spans="1:2" x14ac:dyDescent="0.2">
      <c r="A3543">
        <v>3537</v>
      </c>
      <c r="B3543" t="s">
        <v>54</v>
      </c>
    </row>
    <row r="3544" spans="1:2" x14ac:dyDescent="0.2">
      <c r="A3544">
        <v>3538</v>
      </c>
      <c r="B3544" t="s">
        <v>54</v>
      </c>
    </row>
    <row r="3545" spans="1:2" x14ac:dyDescent="0.2">
      <c r="A3545">
        <v>3539</v>
      </c>
      <c r="B3545" t="s">
        <v>54</v>
      </c>
    </row>
    <row r="3546" spans="1:2" x14ac:dyDescent="0.2">
      <c r="A3546">
        <v>3540</v>
      </c>
      <c r="B3546" t="s">
        <v>54</v>
      </c>
    </row>
    <row r="3547" spans="1:2" x14ac:dyDescent="0.2">
      <c r="A3547">
        <v>3541</v>
      </c>
      <c r="B3547" t="s">
        <v>54</v>
      </c>
    </row>
    <row r="3548" spans="1:2" x14ac:dyDescent="0.2">
      <c r="A3548">
        <v>3542</v>
      </c>
      <c r="B3548" t="s">
        <v>54</v>
      </c>
    </row>
    <row r="3549" spans="1:2" x14ac:dyDescent="0.2">
      <c r="A3549">
        <v>3543</v>
      </c>
      <c r="B3549" t="s">
        <v>54</v>
      </c>
    </row>
    <row r="3550" spans="1:2" x14ac:dyDescent="0.2">
      <c r="A3550">
        <v>3544</v>
      </c>
      <c r="B3550" t="s">
        <v>54</v>
      </c>
    </row>
    <row r="3551" spans="1:2" x14ac:dyDescent="0.2">
      <c r="A3551">
        <v>3545</v>
      </c>
      <c r="B3551" t="s">
        <v>54</v>
      </c>
    </row>
    <row r="3552" spans="1:2" x14ac:dyDescent="0.2">
      <c r="A3552">
        <v>3546</v>
      </c>
      <c r="B3552" t="s">
        <v>54</v>
      </c>
    </row>
    <row r="3553" spans="1:2" x14ac:dyDescent="0.2">
      <c r="A3553">
        <v>3547</v>
      </c>
      <c r="B3553" t="s">
        <v>54</v>
      </c>
    </row>
    <row r="3554" spans="1:2" x14ac:dyDescent="0.2">
      <c r="A3554">
        <v>3548</v>
      </c>
      <c r="B3554" t="s">
        <v>54</v>
      </c>
    </row>
    <row r="3555" spans="1:2" x14ac:dyDescent="0.2">
      <c r="A3555">
        <v>3549</v>
      </c>
      <c r="B3555" t="s">
        <v>54</v>
      </c>
    </row>
    <row r="3556" spans="1:2" x14ac:dyDescent="0.2">
      <c r="A3556">
        <v>3550</v>
      </c>
      <c r="B3556" t="s">
        <v>54</v>
      </c>
    </row>
    <row r="3557" spans="1:2" x14ac:dyDescent="0.2">
      <c r="A3557">
        <v>3551</v>
      </c>
      <c r="B3557" t="s">
        <v>54</v>
      </c>
    </row>
    <row r="3558" spans="1:2" x14ac:dyDescent="0.2">
      <c r="A3558">
        <v>3552</v>
      </c>
      <c r="B3558" t="s">
        <v>54</v>
      </c>
    </row>
    <row r="3559" spans="1:2" x14ac:dyDescent="0.2">
      <c r="A3559">
        <v>3553</v>
      </c>
      <c r="B3559" t="s">
        <v>54</v>
      </c>
    </row>
    <row r="3560" spans="1:2" x14ac:dyDescent="0.2">
      <c r="A3560">
        <v>3554</v>
      </c>
      <c r="B3560" t="s">
        <v>54</v>
      </c>
    </row>
    <row r="3561" spans="1:2" x14ac:dyDescent="0.2">
      <c r="A3561">
        <v>3555</v>
      </c>
      <c r="B3561" t="s">
        <v>54</v>
      </c>
    </row>
    <row r="3562" spans="1:2" x14ac:dyDescent="0.2">
      <c r="A3562">
        <v>3556</v>
      </c>
      <c r="B3562" t="s">
        <v>54</v>
      </c>
    </row>
    <row r="3563" spans="1:2" x14ac:dyDescent="0.2">
      <c r="A3563">
        <v>3557</v>
      </c>
      <c r="B3563" t="s">
        <v>54</v>
      </c>
    </row>
    <row r="3564" spans="1:2" x14ac:dyDescent="0.2">
      <c r="A3564">
        <v>3558</v>
      </c>
      <c r="B3564" t="s">
        <v>54</v>
      </c>
    </row>
    <row r="3565" spans="1:2" x14ac:dyDescent="0.2">
      <c r="A3565">
        <v>3559</v>
      </c>
      <c r="B3565" t="s">
        <v>54</v>
      </c>
    </row>
    <row r="3566" spans="1:2" x14ac:dyDescent="0.2">
      <c r="A3566">
        <v>3560</v>
      </c>
      <c r="B3566" t="s">
        <v>54</v>
      </c>
    </row>
    <row r="3567" spans="1:2" x14ac:dyDescent="0.2">
      <c r="A3567">
        <v>3561</v>
      </c>
      <c r="B3567" t="s">
        <v>54</v>
      </c>
    </row>
    <row r="3568" spans="1:2" x14ac:dyDescent="0.2">
      <c r="A3568">
        <v>3562</v>
      </c>
      <c r="B3568" t="s">
        <v>54</v>
      </c>
    </row>
    <row r="3569" spans="1:2" x14ac:dyDescent="0.2">
      <c r="A3569">
        <v>3563</v>
      </c>
      <c r="B3569" t="s">
        <v>54</v>
      </c>
    </row>
    <row r="3570" spans="1:2" x14ac:dyDescent="0.2">
      <c r="A3570">
        <v>3564</v>
      </c>
      <c r="B3570" t="s">
        <v>54</v>
      </c>
    </row>
    <row r="3571" spans="1:2" x14ac:dyDescent="0.2">
      <c r="A3571">
        <v>3565</v>
      </c>
      <c r="B3571" t="s">
        <v>54</v>
      </c>
    </row>
    <row r="3572" spans="1:2" x14ac:dyDescent="0.2">
      <c r="A3572">
        <v>3566</v>
      </c>
      <c r="B3572" t="s">
        <v>54</v>
      </c>
    </row>
    <row r="3573" spans="1:2" x14ac:dyDescent="0.2">
      <c r="A3573">
        <v>3567</v>
      </c>
      <c r="B3573" t="s">
        <v>54</v>
      </c>
    </row>
    <row r="3574" spans="1:2" x14ac:dyDescent="0.2">
      <c r="A3574">
        <v>3568</v>
      </c>
      <c r="B3574" t="s">
        <v>54</v>
      </c>
    </row>
    <row r="3575" spans="1:2" x14ac:dyDescent="0.2">
      <c r="A3575">
        <v>3569</v>
      </c>
      <c r="B3575" t="s">
        <v>54</v>
      </c>
    </row>
    <row r="3576" spans="1:2" x14ac:dyDescent="0.2">
      <c r="A3576">
        <v>3570</v>
      </c>
      <c r="B3576" t="s">
        <v>54</v>
      </c>
    </row>
    <row r="3577" spans="1:2" x14ac:dyDescent="0.2">
      <c r="A3577">
        <v>3571</v>
      </c>
      <c r="B3577" t="s">
        <v>54</v>
      </c>
    </row>
    <row r="3578" spans="1:2" x14ac:dyDescent="0.2">
      <c r="A3578">
        <v>3572</v>
      </c>
      <c r="B3578" t="s">
        <v>54</v>
      </c>
    </row>
    <row r="3579" spans="1:2" x14ac:dyDescent="0.2">
      <c r="A3579">
        <v>3573</v>
      </c>
      <c r="B3579" t="s">
        <v>54</v>
      </c>
    </row>
    <row r="3580" spans="1:2" x14ac:dyDescent="0.2">
      <c r="A3580">
        <v>3574</v>
      </c>
      <c r="B3580" t="s">
        <v>54</v>
      </c>
    </row>
    <row r="3581" spans="1:2" x14ac:dyDescent="0.2">
      <c r="A3581">
        <v>3575</v>
      </c>
      <c r="B3581" t="s">
        <v>54</v>
      </c>
    </row>
    <row r="3582" spans="1:2" x14ac:dyDescent="0.2">
      <c r="A3582">
        <v>3576</v>
      </c>
      <c r="B3582" t="s">
        <v>54</v>
      </c>
    </row>
    <row r="3583" spans="1:2" x14ac:dyDescent="0.2">
      <c r="A3583">
        <v>3577</v>
      </c>
      <c r="B3583" t="s">
        <v>54</v>
      </c>
    </row>
    <row r="3584" spans="1:2" x14ac:dyDescent="0.2">
      <c r="A3584">
        <v>3578</v>
      </c>
      <c r="B3584" t="s">
        <v>54</v>
      </c>
    </row>
    <row r="3585" spans="1:2" x14ac:dyDescent="0.2">
      <c r="A3585">
        <v>3579</v>
      </c>
      <c r="B3585" t="s">
        <v>54</v>
      </c>
    </row>
    <row r="3586" spans="1:2" x14ac:dyDescent="0.2">
      <c r="A3586">
        <v>3580</v>
      </c>
      <c r="B3586" t="s">
        <v>54</v>
      </c>
    </row>
    <row r="3587" spans="1:2" x14ac:dyDescent="0.2">
      <c r="A3587">
        <v>3581</v>
      </c>
      <c r="B3587" t="s">
        <v>54</v>
      </c>
    </row>
    <row r="3588" spans="1:2" x14ac:dyDescent="0.2">
      <c r="A3588">
        <v>3582</v>
      </c>
      <c r="B3588" t="s">
        <v>54</v>
      </c>
    </row>
    <row r="3589" spans="1:2" x14ac:dyDescent="0.2">
      <c r="A3589">
        <v>3583</v>
      </c>
      <c r="B3589" t="s">
        <v>54</v>
      </c>
    </row>
    <row r="3590" spans="1:2" x14ac:dyDescent="0.2">
      <c r="A3590">
        <v>3584</v>
      </c>
      <c r="B3590" t="s">
        <v>54</v>
      </c>
    </row>
    <row r="3591" spans="1:2" x14ac:dyDescent="0.2">
      <c r="A3591">
        <v>3585</v>
      </c>
      <c r="B3591" t="s">
        <v>54</v>
      </c>
    </row>
    <row r="3592" spans="1:2" x14ac:dyDescent="0.2">
      <c r="A3592">
        <v>3586</v>
      </c>
      <c r="B3592" t="s">
        <v>54</v>
      </c>
    </row>
    <row r="3593" spans="1:2" x14ac:dyDescent="0.2">
      <c r="A3593">
        <v>3587</v>
      </c>
      <c r="B3593" t="s">
        <v>54</v>
      </c>
    </row>
    <row r="3594" spans="1:2" x14ac:dyDescent="0.2">
      <c r="A3594">
        <v>3588</v>
      </c>
      <c r="B3594" t="s">
        <v>54</v>
      </c>
    </row>
    <row r="3595" spans="1:2" x14ac:dyDescent="0.2">
      <c r="A3595">
        <v>3589</v>
      </c>
      <c r="B3595" t="s">
        <v>54</v>
      </c>
    </row>
    <row r="3596" spans="1:2" x14ac:dyDescent="0.2">
      <c r="A3596">
        <v>3590</v>
      </c>
      <c r="B3596" t="s">
        <v>54</v>
      </c>
    </row>
    <row r="3597" spans="1:2" x14ac:dyDescent="0.2">
      <c r="A3597">
        <v>3591</v>
      </c>
      <c r="B3597" t="s">
        <v>54</v>
      </c>
    </row>
    <row r="3598" spans="1:2" x14ac:dyDescent="0.2">
      <c r="A3598">
        <v>3592</v>
      </c>
      <c r="B3598" t="s">
        <v>54</v>
      </c>
    </row>
    <row r="3599" spans="1:2" x14ac:dyDescent="0.2">
      <c r="A3599">
        <v>3593</v>
      </c>
      <c r="B3599" t="s">
        <v>54</v>
      </c>
    </row>
    <row r="3600" spans="1:2" x14ac:dyDescent="0.2">
      <c r="A3600">
        <v>3594</v>
      </c>
      <c r="B3600" t="s">
        <v>54</v>
      </c>
    </row>
    <row r="3601" spans="1:2" x14ac:dyDescent="0.2">
      <c r="A3601">
        <v>3595</v>
      </c>
      <c r="B3601" t="s">
        <v>54</v>
      </c>
    </row>
    <row r="3602" spans="1:2" x14ac:dyDescent="0.2">
      <c r="A3602">
        <v>3596</v>
      </c>
      <c r="B3602" t="s">
        <v>54</v>
      </c>
    </row>
    <row r="3603" spans="1:2" x14ac:dyDescent="0.2">
      <c r="A3603">
        <v>3597</v>
      </c>
      <c r="B3603" t="s">
        <v>54</v>
      </c>
    </row>
    <row r="3604" spans="1:2" x14ac:dyDescent="0.2">
      <c r="A3604">
        <v>3598</v>
      </c>
      <c r="B3604" t="s">
        <v>54</v>
      </c>
    </row>
    <row r="3605" spans="1:2" x14ac:dyDescent="0.2">
      <c r="A3605">
        <v>3599</v>
      </c>
      <c r="B3605" t="s">
        <v>54</v>
      </c>
    </row>
    <row r="3606" spans="1:2" x14ac:dyDescent="0.2">
      <c r="A3606">
        <v>3600</v>
      </c>
      <c r="B3606" t="s">
        <v>54</v>
      </c>
    </row>
    <row r="3607" spans="1:2" x14ac:dyDescent="0.2">
      <c r="A3607">
        <v>3601</v>
      </c>
      <c r="B3607" t="s">
        <v>54</v>
      </c>
    </row>
    <row r="3608" spans="1:2" x14ac:dyDescent="0.2">
      <c r="A3608">
        <v>3602</v>
      </c>
      <c r="B3608" t="s">
        <v>54</v>
      </c>
    </row>
    <row r="3609" spans="1:2" x14ac:dyDescent="0.2">
      <c r="A3609">
        <v>3603</v>
      </c>
      <c r="B3609" t="s">
        <v>54</v>
      </c>
    </row>
    <row r="3610" spans="1:2" x14ac:dyDescent="0.2">
      <c r="A3610">
        <v>3604</v>
      </c>
      <c r="B3610" t="s">
        <v>54</v>
      </c>
    </row>
    <row r="3611" spans="1:2" x14ac:dyDescent="0.2">
      <c r="A3611">
        <v>3605</v>
      </c>
      <c r="B3611" t="s">
        <v>54</v>
      </c>
    </row>
    <row r="3612" spans="1:2" x14ac:dyDescent="0.2">
      <c r="A3612">
        <v>3606</v>
      </c>
      <c r="B3612" t="s">
        <v>54</v>
      </c>
    </row>
    <row r="3613" spans="1:2" x14ac:dyDescent="0.2">
      <c r="A3613">
        <v>3607</v>
      </c>
      <c r="B3613" t="s">
        <v>54</v>
      </c>
    </row>
    <row r="3614" spans="1:2" x14ac:dyDescent="0.2">
      <c r="A3614">
        <v>3608</v>
      </c>
      <c r="B3614" t="s">
        <v>54</v>
      </c>
    </row>
    <row r="3615" spans="1:2" x14ac:dyDescent="0.2">
      <c r="A3615">
        <v>3609</v>
      </c>
      <c r="B3615" t="s">
        <v>54</v>
      </c>
    </row>
    <row r="3616" spans="1:2" x14ac:dyDescent="0.2">
      <c r="A3616">
        <v>3610</v>
      </c>
      <c r="B3616" t="s">
        <v>54</v>
      </c>
    </row>
    <row r="3617" spans="1:2" x14ac:dyDescent="0.2">
      <c r="A3617">
        <v>3611</v>
      </c>
      <c r="B3617" t="s">
        <v>54</v>
      </c>
    </row>
    <row r="3618" spans="1:2" x14ac:dyDescent="0.2">
      <c r="A3618">
        <v>3612</v>
      </c>
      <c r="B3618" t="s">
        <v>54</v>
      </c>
    </row>
    <row r="3619" spans="1:2" x14ac:dyDescent="0.2">
      <c r="A3619">
        <v>3613</v>
      </c>
      <c r="B3619" t="s">
        <v>54</v>
      </c>
    </row>
    <row r="3620" spans="1:2" x14ac:dyDescent="0.2">
      <c r="A3620">
        <v>3614</v>
      </c>
      <c r="B3620" t="s">
        <v>54</v>
      </c>
    </row>
    <row r="3621" spans="1:2" x14ac:dyDescent="0.2">
      <c r="A3621">
        <v>3615</v>
      </c>
      <c r="B3621" t="s">
        <v>54</v>
      </c>
    </row>
    <row r="3622" spans="1:2" x14ac:dyDescent="0.2">
      <c r="A3622">
        <v>3616</v>
      </c>
      <c r="B3622" t="s">
        <v>54</v>
      </c>
    </row>
    <row r="3623" spans="1:2" x14ac:dyDescent="0.2">
      <c r="A3623">
        <v>3617</v>
      </c>
      <c r="B3623" t="s">
        <v>54</v>
      </c>
    </row>
    <row r="3624" spans="1:2" x14ac:dyDescent="0.2">
      <c r="A3624">
        <v>3618</v>
      </c>
      <c r="B3624" t="s">
        <v>54</v>
      </c>
    </row>
    <row r="3625" spans="1:2" x14ac:dyDescent="0.2">
      <c r="A3625">
        <v>3619</v>
      </c>
      <c r="B3625" t="s">
        <v>54</v>
      </c>
    </row>
    <row r="3626" spans="1:2" x14ac:dyDescent="0.2">
      <c r="A3626">
        <v>3620</v>
      </c>
      <c r="B3626" t="s">
        <v>54</v>
      </c>
    </row>
    <row r="3627" spans="1:2" x14ac:dyDescent="0.2">
      <c r="A3627">
        <v>3621</v>
      </c>
      <c r="B3627" t="s">
        <v>54</v>
      </c>
    </row>
    <row r="3628" spans="1:2" x14ac:dyDescent="0.2">
      <c r="A3628">
        <v>3622</v>
      </c>
      <c r="B3628" t="s">
        <v>54</v>
      </c>
    </row>
    <row r="3629" spans="1:2" x14ac:dyDescent="0.2">
      <c r="A3629">
        <v>3623</v>
      </c>
      <c r="B3629" t="s">
        <v>54</v>
      </c>
    </row>
    <row r="3630" spans="1:2" x14ac:dyDescent="0.2">
      <c r="A3630">
        <v>3624</v>
      </c>
      <c r="B3630" t="s">
        <v>54</v>
      </c>
    </row>
    <row r="3631" spans="1:2" x14ac:dyDescent="0.2">
      <c r="A3631">
        <v>3625</v>
      </c>
      <c r="B3631" t="s">
        <v>54</v>
      </c>
    </row>
    <row r="3632" spans="1:2" x14ac:dyDescent="0.2">
      <c r="A3632">
        <v>3626</v>
      </c>
      <c r="B3632" t="s">
        <v>54</v>
      </c>
    </row>
    <row r="3633" spans="1:2" x14ac:dyDescent="0.2">
      <c r="A3633">
        <v>3627</v>
      </c>
      <c r="B3633" t="s">
        <v>54</v>
      </c>
    </row>
    <row r="3634" spans="1:2" x14ac:dyDescent="0.2">
      <c r="A3634">
        <v>3628</v>
      </c>
      <c r="B3634" t="s">
        <v>54</v>
      </c>
    </row>
    <row r="3635" spans="1:2" x14ac:dyDescent="0.2">
      <c r="A3635">
        <v>3629</v>
      </c>
      <c r="B3635" t="s">
        <v>54</v>
      </c>
    </row>
    <row r="3636" spans="1:2" x14ac:dyDescent="0.2">
      <c r="A3636">
        <v>3630</v>
      </c>
      <c r="B3636" t="s">
        <v>54</v>
      </c>
    </row>
    <row r="3637" spans="1:2" x14ac:dyDescent="0.2">
      <c r="A3637">
        <v>3631</v>
      </c>
      <c r="B3637" t="s">
        <v>54</v>
      </c>
    </row>
    <row r="3638" spans="1:2" x14ac:dyDescent="0.2">
      <c r="A3638">
        <v>3632</v>
      </c>
      <c r="B3638" t="s">
        <v>54</v>
      </c>
    </row>
    <row r="3639" spans="1:2" x14ac:dyDescent="0.2">
      <c r="A3639">
        <v>3633</v>
      </c>
      <c r="B3639" t="s">
        <v>54</v>
      </c>
    </row>
    <row r="3640" spans="1:2" x14ac:dyDescent="0.2">
      <c r="A3640">
        <v>3634</v>
      </c>
      <c r="B3640" t="s">
        <v>54</v>
      </c>
    </row>
    <row r="3641" spans="1:2" x14ac:dyDescent="0.2">
      <c r="A3641">
        <v>3635</v>
      </c>
      <c r="B3641" t="s">
        <v>54</v>
      </c>
    </row>
    <row r="3642" spans="1:2" x14ac:dyDescent="0.2">
      <c r="A3642">
        <v>3636</v>
      </c>
      <c r="B3642" t="s">
        <v>54</v>
      </c>
    </row>
    <row r="3643" spans="1:2" x14ac:dyDescent="0.2">
      <c r="A3643">
        <v>3637</v>
      </c>
      <c r="B3643" t="s">
        <v>54</v>
      </c>
    </row>
    <row r="3644" spans="1:2" x14ac:dyDescent="0.2">
      <c r="A3644">
        <v>3638</v>
      </c>
      <c r="B3644" t="s">
        <v>54</v>
      </c>
    </row>
    <row r="3645" spans="1:2" x14ac:dyDescent="0.2">
      <c r="A3645">
        <v>3639</v>
      </c>
      <c r="B3645" t="s">
        <v>54</v>
      </c>
    </row>
    <row r="3646" spans="1:2" x14ac:dyDescent="0.2">
      <c r="A3646">
        <v>3640</v>
      </c>
      <c r="B3646" t="s">
        <v>54</v>
      </c>
    </row>
    <row r="3647" spans="1:2" x14ac:dyDescent="0.2">
      <c r="A3647">
        <v>3641</v>
      </c>
      <c r="B3647" t="s">
        <v>54</v>
      </c>
    </row>
    <row r="3648" spans="1:2" x14ac:dyDescent="0.2">
      <c r="A3648">
        <v>3642</v>
      </c>
      <c r="B3648" t="s">
        <v>54</v>
      </c>
    </row>
    <row r="3649" spans="1:2" x14ac:dyDescent="0.2">
      <c r="A3649">
        <v>3643</v>
      </c>
      <c r="B3649" t="s">
        <v>54</v>
      </c>
    </row>
    <row r="3650" spans="1:2" x14ac:dyDescent="0.2">
      <c r="A3650">
        <v>3644</v>
      </c>
      <c r="B3650" t="s">
        <v>54</v>
      </c>
    </row>
    <row r="3651" spans="1:2" x14ac:dyDescent="0.2">
      <c r="A3651">
        <v>3645</v>
      </c>
      <c r="B3651" t="s">
        <v>54</v>
      </c>
    </row>
    <row r="3652" spans="1:2" x14ac:dyDescent="0.2">
      <c r="A3652">
        <v>3646</v>
      </c>
      <c r="B3652" t="s">
        <v>54</v>
      </c>
    </row>
    <row r="3653" spans="1:2" x14ac:dyDescent="0.2">
      <c r="A3653">
        <v>3647</v>
      </c>
      <c r="B3653" t="s">
        <v>54</v>
      </c>
    </row>
    <row r="3654" spans="1:2" x14ac:dyDescent="0.2">
      <c r="A3654">
        <v>3648</v>
      </c>
      <c r="B3654" t="s">
        <v>54</v>
      </c>
    </row>
    <row r="3655" spans="1:2" x14ac:dyDescent="0.2">
      <c r="A3655">
        <v>3649</v>
      </c>
      <c r="B3655" t="s">
        <v>54</v>
      </c>
    </row>
    <row r="3656" spans="1:2" x14ac:dyDescent="0.2">
      <c r="A3656">
        <v>3650</v>
      </c>
      <c r="B3656" t="s">
        <v>54</v>
      </c>
    </row>
    <row r="3657" spans="1:2" x14ac:dyDescent="0.2">
      <c r="A3657">
        <v>3651</v>
      </c>
      <c r="B3657" t="s">
        <v>54</v>
      </c>
    </row>
    <row r="3658" spans="1:2" x14ac:dyDescent="0.2">
      <c r="A3658">
        <v>3652</v>
      </c>
      <c r="B3658" t="s">
        <v>54</v>
      </c>
    </row>
    <row r="3659" spans="1:2" x14ac:dyDescent="0.2">
      <c r="A3659">
        <v>3653</v>
      </c>
      <c r="B3659" t="s">
        <v>54</v>
      </c>
    </row>
    <row r="3660" spans="1:2" x14ac:dyDescent="0.2">
      <c r="A3660">
        <v>3654</v>
      </c>
      <c r="B3660" t="s">
        <v>54</v>
      </c>
    </row>
    <row r="3661" spans="1:2" x14ac:dyDescent="0.2">
      <c r="A3661">
        <v>3655</v>
      </c>
      <c r="B3661" t="s">
        <v>54</v>
      </c>
    </row>
    <row r="3662" spans="1:2" x14ac:dyDescent="0.2">
      <c r="A3662">
        <v>3656</v>
      </c>
      <c r="B3662" t="s">
        <v>54</v>
      </c>
    </row>
    <row r="3663" spans="1:2" x14ac:dyDescent="0.2">
      <c r="A3663">
        <v>3657</v>
      </c>
      <c r="B3663" t="s">
        <v>54</v>
      </c>
    </row>
    <row r="3664" spans="1:2" x14ac:dyDescent="0.2">
      <c r="A3664">
        <v>3658</v>
      </c>
      <c r="B3664" t="s">
        <v>54</v>
      </c>
    </row>
    <row r="3665" spans="1:2" x14ac:dyDescent="0.2">
      <c r="A3665">
        <v>3659</v>
      </c>
      <c r="B3665" t="s">
        <v>54</v>
      </c>
    </row>
    <row r="3666" spans="1:2" x14ac:dyDescent="0.2">
      <c r="A3666">
        <v>3660</v>
      </c>
      <c r="B3666" t="s">
        <v>54</v>
      </c>
    </row>
    <row r="3667" spans="1:2" x14ac:dyDescent="0.2">
      <c r="A3667">
        <v>3661</v>
      </c>
      <c r="B3667" t="s">
        <v>54</v>
      </c>
    </row>
    <row r="3668" spans="1:2" x14ac:dyDescent="0.2">
      <c r="A3668">
        <v>3662</v>
      </c>
      <c r="B3668" t="s">
        <v>54</v>
      </c>
    </row>
    <row r="3669" spans="1:2" x14ac:dyDescent="0.2">
      <c r="A3669">
        <v>3663</v>
      </c>
      <c r="B3669" t="s">
        <v>54</v>
      </c>
    </row>
    <row r="3670" spans="1:2" x14ac:dyDescent="0.2">
      <c r="A3670">
        <v>3664</v>
      </c>
      <c r="B3670" t="s">
        <v>54</v>
      </c>
    </row>
    <row r="3671" spans="1:2" x14ac:dyDescent="0.2">
      <c r="A3671">
        <v>3665</v>
      </c>
      <c r="B3671" t="s">
        <v>54</v>
      </c>
    </row>
    <row r="3672" spans="1:2" x14ac:dyDescent="0.2">
      <c r="A3672">
        <v>3666</v>
      </c>
      <c r="B3672" t="s">
        <v>54</v>
      </c>
    </row>
    <row r="3673" spans="1:2" x14ac:dyDescent="0.2">
      <c r="A3673">
        <v>3667</v>
      </c>
      <c r="B3673" t="s">
        <v>54</v>
      </c>
    </row>
    <row r="3674" spans="1:2" x14ac:dyDescent="0.2">
      <c r="A3674">
        <v>3668</v>
      </c>
      <c r="B3674" t="s">
        <v>54</v>
      </c>
    </row>
    <row r="3675" spans="1:2" x14ac:dyDescent="0.2">
      <c r="A3675">
        <v>3669</v>
      </c>
      <c r="B3675" t="s">
        <v>54</v>
      </c>
    </row>
    <row r="3676" spans="1:2" x14ac:dyDescent="0.2">
      <c r="A3676">
        <v>3670</v>
      </c>
      <c r="B3676" t="s">
        <v>54</v>
      </c>
    </row>
    <row r="3677" spans="1:2" x14ac:dyDescent="0.2">
      <c r="A3677">
        <v>3671</v>
      </c>
      <c r="B3677" t="s">
        <v>54</v>
      </c>
    </row>
    <row r="3678" spans="1:2" x14ac:dyDescent="0.2">
      <c r="A3678">
        <v>3672</v>
      </c>
      <c r="B3678" t="s">
        <v>54</v>
      </c>
    </row>
    <row r="3679" spans="1:2" x14ac:dyDescent="0.2">
      <c r="A3679">
        <v>3673</v>
      </c>
      <c r="B3679" t="s">
        <v>54</v>
      </c>
    </row>
    <row r="3680" spans="1:2" x14ac:dyDescent="0.2">
      <c r="A3680">
        <v>3674</v>
      </c>
      <c r="B3680" t="s">
        <v>54</v>
      </c>
    </row>
    <row r="3681" spans="1:2" x14ac:dyDescent="0.2">
      <c r="A3681">
        <v>3675</v>
      </c>
      <c r="B3681" t="s">
        <v>54</v>
      </c>
    </row>
    <row r="3682" spans="1:2" x14ac:dyDescent="0.2">
      <c r="A3682">
        <v>3676</v>
      </c>
      <c r="B3682" t="s">
        <v>54</v>
      </c>
    </row>
    <row r="3683" spans="1:2" x14ac:dyDescent="0.2">
      <c r="A3683">
        <v>3677</v>
      </c>
      <c r="B3683" t="s">
        <v>54</v>
      </c>
    </row>
    <row r="3684" spans="1:2" x14ac:dyDescent="0.2">
      <c r="A3684">
        <v>3678</v>
      </c>
      <c r="B3684" t="s">
        <v>54</v>
      </c>
    </row>
    <row r="3685" spans="1:2" x14ac:dyDescent="0.2">
      <c r="A3685">
        <v>3679</v>
      </c>
      <c r="B3685" t="s">
        <v>54</v>
      </c>
    </row>
    <row r="3686" spans="1:2" x14ac:dyDescent="0.2">
      <c r="A3686">
        <v>3680</v>
      </c>
      <c r="B3686" t="s">
        <v>54</v>
      </c>
    </row>
    <row r="3687" spans="1:2" x14ac:dyDescent="0.2">
      <c r="A3687">
        <v>3681</v>
      </c>
      <c r="B3687" t="s">
        <v>54</v>
      </c>
    </row>
    <row r="3688" spans="1:2" x14ac:dyDescent="0.2">
      <c r="A3688">
        <v>3682</v>
      </c>
      <c r="B3688" t="s">
        <v>54</v>
      </c>
    </row>
    <row r="3689" spans="1:2" x14ac:dyDescent="0.2">
      <c r="A3689">
        <v>3683</v>
      </c>
      <c r="B3689" t="s">
        <v>54</v>
      </c>
    </row>
    <row r="3690" spans="1:2" x14ac:dyDescent="0.2">
      <c r="A3690">
        <v>3684</v>
      </c>
      <c r="B3690" t="s">
        <v>54</v>
      </c>
    </row>
    <row r="3691" spans="1:2" x14ac:dyDescent="0.2">
      <c r="A3691">
        <v>3685</v>
      </c>
      <c r="B3691" t="s">
        <v>54</v>
      </c>
    </row>
    <row r="3692" spans="1:2" x14ac:dyDescent="0.2">
      <c r="A3692">
        <v>3686</v>
      </c>
      <c r="B3692" t="s">
        <v>54</v>
      </c>
    </row>
    <row r="3693" spans="1:2" x14ac:dyDescent="0.2">
      <c r="A3693">
        <v>3687</v>
      </c>
      <c r="B3693" t="s">
        <v>54</v>
      </c>
    </row>
    <row r="3694" spans="1:2" x14ac:dyDescent="0.2">
      <c r="A3694">
        <v>3688</v>
      </c>
      <c r="B3694" t="s">
        <v>54</v>
      </c>
    </row>
    <row r="3695" spans="1:2" x14ac:dyDescent="0.2">
      <c r="A3695">
        <v>3689</v>
      </c>
      <c r="B3695" t="s">
        <v>54</v>
      </c>
    </row>
    <row r="3696" spans="1:2" x14ac:dyDescent="0.2">
      <c r="A3696">
        <v>3690</v>
      </c>
      <c r="B3696" t="s">
        <v>54</v>
      </c>
    </row>
    <row r="3697" spans="1:2" x14ac:dyDescent="0.2">
      <c r="A3697">
        <v>3691</v>
      </c>
      <c r="B3697" t="s">
        <v>54</v>
      </c>
    </row>
    <row r="3698" spans="1:2" x14ac:dyDescent="0.2">
      <c r="A3698">
        <v>3692</v>
      </c>
      <c r="B3698" t="s">
        <v>54</v>
      </c>
    </row>
    <row r="3699" spans="1:2" x14ac:dyDescent="0.2">
      <c r="A3699">
        <v>3693</v>
      </c>
      <c r="B3699" t="s">
        <v>54</v>
      </c>
    </row>
    <row r="3700" spans="1:2" x14ac:dyDescent="0.2">
      <c r="A3700">
        <v>3694</v>
      </c>
      <c r="B3700" t="s">
        <v>54</v>
      </c>
    </row>
    <row r="3701" spans="1:2" x14ac:dyDescent="0.2">
      <c r="A3701">
        <v>3695</v>
      </c>
      <c r="B3701" t="s">
        <v>54</v>
      </c>
    </row>
    <row r="3702" spans="1:2" x14ac:dyDescent="0.2">
      <c r="A3702">
        <v>3696</v>
      </c>
      <c r="B3702" t="s">
        <v>54</v>
      </c>
    </row>
    <row r="3703" spans="1:2" x14ac:dyDescent="0.2">
      <c r="A3703">
        <v>3697</v>
      </c>
      <c r="B3703" t="s">
        <v>54</v>
      </c>
    </row>
    <row r="3704" spans="1:2" x14ac:dyDescent="0.2">
      <c r="A3704">
        <v>3698</v>
      </c>
      <c r="B3704" t="s">
        <v>54</v>
      </c>
    </row>
    <row r="3705" spans="1:2" x14ac:dyDescent="0.2">
      <c r="A3705">
        <v>3699</v>
      </c>
      <c r="B3705" t="s">
        <v>54</v>
      </c>
    </row>
    <row r="3706" spans="1:2" x14ac:dyDescent="0.2">
      <c r="A3706">
        <v>3700</v>
      </c>
      <c r="B3706" t="s">
        <v>54</v>
      </c>
    </row>
    <row r="3707" spans="1:2" x14ac:dyDescent="0.2">
      <c r="A3707">
        <v>3701</v>
      </c>
      <c r="B3707" t="s">
        <v>54</v>
      </c>
    </row>
    <row r="3708" spans="1:2" x14ac:dyDescent="0.2">
      <c r="A3708">
        <v>3702</v>
      </c>
      <c r="B3708" t="s">
        <v>54</v>
      </c>
    </row>
    <row r="3709" spans="1:2" x14ac:dyDescent="0.2">
      <c r="A3709">
        <v>3703</v>
      </c>
      <c r="B3709" t="s">
        <v>54</v>
      </c>
    </row>
    <row r="3710" spans="1:2" x14ac:dyDescent="0.2">
      <c r="A3710">
        <v>3704</v>
      </c>
      <c r="B3710" t="s">
        <v>54</v>
      </c>
    </row>
    <row r="3711" spans="1:2" x14ac:dyDescent="0.2">
      <c r="A3711">
        <v>3705</v>
      </c>
      <c r="B3711" t="s">
        <v>54</v>
      </c>
    </row>
    <row r="3712" spans="1:2" x14ac:dyDescent="0.2">
      <c r="A3712">
        <v>3706</v>
      </c>
      <c r="B3712" t="s">
        <v>54</v>
      </c>
    </row>
    <row r="3713" spans="1:2" x14ac:dyDescent="0.2">
      <c r="A3713">
        <v>3707</v>
      </c>
      <c r="B3713" t="s">
        <v>54</v>
      </c>
    </row>
    <row r="3714" spans="1:2" x14ac:dyDescent="0.2">
      <c r="A3714">
        <v>3708</v>
      </c>
      <c r="B3714" t="s">
        <v>54</v>
      </c>
    </row>
    <row r="3715" spans="1:2" x14ac:dyDescent="0.2">
      <c r="A3715">
        <v>3709</v>
      </c>
      <c r="B3715" t="s">
        <v>54</v>
      </c>
    </row>
    <row r="3716" spans="1:2" x14ac:dyDescent="0.2">
      <c r="A3716">
        <v>3710</v>
      </c>
      <c r="B3716" t="s">
        <v>54</v>
      </c>
    </row>
    <row r="3717" spans="1:2" x14ac:dyDescent="0.2">
      <c r="A3717">
        <v>3711</v>
      </c>
      <c r="B3717" t="s">
        <v>54</v>
      </c>
    </row>
    <row r="3718" spans="1:2" x14ac:dyDescent="0.2">
      <c r="A3718">
        <v>3712</v>
      </c>
      <c r="B3718" t="s">
        <v>54</v>
      </c>
    </row>
    <row r="3719" spans="1:2" x14ac:dyDescent="0.2">
      <c r="A3719">
        <v>3713</v>
      </c>
      <c r="B3719" t="s">
        <v>54</v>
      </c>
    </row>
    <row r="3720" spans="1:2" x14ac:dyDescent="0.2">
      <c r="A3720">
        <v>3714</v>
      </c>
      <c r="B3720" t="s">
        <v>54</v>
      </c>
    </row>
    <row r="3721" spans="1:2" x14ac:dyDescent="0.2">
      <c r="A3721">
        <v>3715</v>
      </c>
      <c r="B3721" t="s">
        <v>54</v>
      </c>
    </row>
    <row r="3722" spans="1:2" x14ac:dyDescent="0.2">
      <c r="A3722">
        <v>3716</v>
      </c>
      <c r="B3722" t="s">
        <v>54</v>
      </c>
    </row>
    <row r="3723" spans="1:2" x14ac:dyDescent="0.2">
      <c r="A3723">
        <v>3717</v>
      </c>
      <c r="B3723" t="s">
        <v>54</v>
      </c>
    </row>
    <row r="3724" spans="1:2" x14ac:dyDescent="0.2">
      <c r="A3724">
        <v>3718</v>
      </c>
      <c r="B3724" t="s">
        <v>54</v>
      </c>
    </row>
    <row r="3725" spans="1:2" x14ac:dyDescent="0.2">
      <c r="A3725">
        <v>3719</v>
      </c>
      <c r="B3725" t="s">
        <v>54</v>
      </c>
    </row>
    <row r="3726" spans="1:2" x14ac:dyDescent="0.2">
      <c r="A3726">
        <v>3720</v>
      </c>
      <c r="B3726" t="s">
        <v>54</v>
      </c>
    </row>
    <row r="3727" spans="1:2" x14ac:dyDescent="0.2">
      <c r="A3727">
        <v>3721</v>
      </c>
      <c r="B3727" t="s">
        <v>54</v>
      </c>
    </row>
    <row r="3728" spans="1:2" x14ac:dyDescent="0.2">
      <c r="A3728">
        <v>3722</v>
      </c>
      <c r="B3728" t="s">
        <v>54</v>
      </c>
    </row>
    <row r="3729" spans="1:2" x14ac:dyDescent="0.2">
      <c r="A3729">
        <v>3723</v>
      </c>
      <c r="B3729" t="s">
        <v>54</v>
      </c>
    </row>
    <row r="3730" spans="1:2" x14ac:dyDescent="0.2">
      <c r="A3730">
        <v>3724</v>
      </c>
      <c r="B3730" t="s">
        <v>54</v>
      </c>
    </row>
    <row r="3731" spans="1:2" x14ac:dyDescent="0.2">
      <c r="A3731">
        <v>3725</v>
      </c>
      <c r="B3731" t="s">
        <v>54</v>
      </c>
    </row>
    <row r="3732" spans="1:2" x14ac:dyDescent="0.2">
      <c r="A3732">
        <v>3726</v>
      </c>
      <c r="B3732" t="s">
        <v>54</v>
      </c>
    </row>
    <row r="3733" spans="1:2" x14ac:dyDescent="0.2">
      <c r="A3733">
        <v>3727</v>
      </c>
      <c r="B3733" t="s">
        <v>54</v>
      </c>
    </row>
    <row r="3734" spans="1:2" x14ac:dyDescent="0.2">
      <c r="A3734">
        <v>3728</v>
      </c>
      <c r="B3734" t="s">
        <v>54</v>
      </c>
    </row>
    <row r="3735" spans="1:2" x14ac:dyDescent="0.2">
      <c r="A3735">
        <v>3729</v>
      </c>
      <c r="B3735" t="s">
        <v>54</v>
      </c>
    </row>
    <row r="3736" spans="1:2" x14ac:dyDescent="0.2">
      <c r="A3736">
        <v>3730</v>
      </c>
      <c r="B3736" t="s">
        <v>54</v>
      </c>
    </row>
    <row r="3737" spans="1:2" x14ac:dyDescent="0.2">
      <c r="A3737">
        <v>3731</v>
      </c>
      <c r="B3737" t="s">
        <v>54</v>
      </c>
    </row>
    <row r="3738" spans="1:2" x14ac:dyDescent="0.2">
      <c r="A3738">
        <v>3732</v>
      </c>
      <c r="B3738" t="s">
        <v>54</v>
      </c>
    </row>
    <row r="3739" spans="1:2" x14ac:dyDescent="0.2">
      <c r="A3739">
        <v>3733</v>
      </c>
      <c r="B3739" t="s">
        <v>54</v>
      </c>
    </row>
    <row r="3740" spans="1:2" x14ac:dyDescent="0.2">
      <c r="A3740">
        <v>3734</v>
      </c>
      <c r="B3740" t="s">
        <v>54</v>
      </c>
    </row>
    <row r="3741" spans="1:2" x14ac:dyDescent="0.2">
      <c r="A3741">
        <v>3735</v>
      </c>
      <c r="B3741" t="s">
        <v>54</v>
      </c>
    </row>
    <row r="3742" spans="1:2" x14ac:dyDescent="0.2">
      <c r="A3742">
        <v>3736</v>
      </c>
      <c r="B3742" t="s">
        <v>54</v>
      </c>
    </row>
    <row r="3743" spans="1:2" x14ac:dyDescent="0.2">
      <c r="A3743">
        <v>3737</v>
      </c>
      <c r="B3743" t="s">
        <v>54</v>
      </c>
    </row>
    <row r="3744" spans="1:2" x14ac:dyDescent="0.2">
      <c r="A3744">
        <v>3738</v>
      </c>
      <c r="B3744" t="s">
        <v>54</v>
      </c>
    </row>
    <row r="3745" spans="1:2" x14ac:dyDescent="0.2">
      <c r="A3745">
        <v>3739</v>
      </c>
      <c r="B3745" t="s">
        <v>54</v>
      </c>
    </row>
    <row r="3746" spans="1:2" x14ac:dyDescent="0.2">
      <c r="A3746">
        <v>3740</v>
      </c>
      <c r="B3746" t="s">
        <v>54</v>
      </c>
    </row>
    <row r="3747" spans="1:2" x14ac:dyDescent="0.2">
      <c r="A3747">
        <v>3741</v>
      </c>
      <c r="B3747" t="s">
        <v>54</v>
      </c>
    </row>
    <row r="3748" spans="1:2" x14ac:dyDescent="0.2">
      <c r="A3748">
        <v>3742</v>
      </c>
      <c r="B3748" t="s">
        <v>54</v>
      </c>
    </row>
    <row r="3749" spans="1:2" x14ac:dyDescent="0.2">
      <c r="A3749">
        <v>3743</v>
      </c>
      <c r="B3749" t="s">
        <v>54</v>
      </c>
    </row>
    <row r="3750" spans="1:2" x14ac:dyDescent="0.2">
      <c r="A3750">
        <v>3744</v>
      </c>
      <c r="B3750" t="s">
        <v>54</v>
      </c>
    </row>
    <row r="3751" spans="1:2" x14ac:dyDescent="0.2">
      <c r="A3751">
        <v>3745</v>
      </c>
      <c r="B3751" t="s">
        <v>54</v>
      </c>
    </row>
    <row r="3752" spans="1:2" x14ac:dyDescent="0.2">
      <c r="A3752">
        <v>3746</v>
      </c>
      <c r="B3752" t="s">
        <v>54</v>
      </c>
    </row>
    <row r="3753" spans="1:2" x14ac:dyDescent="0.2">
      <c r="A3753">
        <v>3747</v>
      </c>
      <c r="B3753" t="s">
        <v>54</v>
      </c>
    </row>
    <row r="3754" spans="1:2" x14ac:dyDescent="0.2">
      <c r="A3754">
        <v>3748</v>
      </c>
      <c r="B3754" t="s">
        <v>54</v>
      </c>
    </row>
    <row r="3755" spans="1:2" x14ac:dyDescent="0.2">
      <c r="A3755">
        <v>3749</v>
      </c>
      <c r="B3755" t="s">
        <v>54</v>
      </c>
    </row>
    <row r="3756" spans="1:2" x14ac:dyDescent="0.2">
      <c r="A3756">
        <v>3750</v>
      </c>
      <c r="B3756" t="s">
        <v>54</v>
      </c>
    </row>
    <row r="3757" spans="1:2" x14ac:dyDescent="0.2">
      <c r="A3757">
        <v>3751</v>
      </c>
      <c r="B3757" t="s">
        <v>54</v>
      </c>
    </row>
    <row r="3758" spans="1:2" x14ac:dyDescent="0.2">
      <c r="A3758">
        <v>3752</v>
      </c>
      <c r="B3758" t="s">
        <v>54</v>
      </c>
    </row>
    <row r="3759" spans="1:2" x14ac:dyDescent="0.2">
      <c r="A3759">
        <v>3753</v>
      </c>
      <c r="B3759" t="s">
        <v>54</v>
      </c>
    </row>
    <row r="3760" spans="1:2" x14ac:dyDescent="0.2">
      <c r="A3760">
        <v>3754</v>
      </c>
      <c r="B3760" t="s">
        <v>54</v>
      </c>
    </row>
    <row r="3761" spans="1:2" x14ac:dyDescent="0.2">
      <c r="A3761">
        <v>3755</v>
      </c>
      <c r="B3761" t="s">
        <v>54</v>
      </c>
    </row>
    <row r="3762" spans="1:2" x14ac:dyDescent="0.2">
      <c r="A3762">
        <v>3756</v>
      </c>
      <c r="B3762" t="s">
        <v>54</v>
      </c>
    </row>
    <row r="3763" spans="1:2" x14ac:dyDescent="0.2">
      <c r="A3763">
        <v>3757</v>
      </c>
      <c r="B3763" t="s">
        <v>54</v>
      </c>
    </row>
    <row r="3764" spans="1:2" x14ac:dyDescent="0.2">
      <c r="A3764">
        <v>3758</v>
      </c>
      <c r="B3764" t="s">
        <v>54</v>
      </c>
    </row>
    <row r="3765" spans="1:2" x14ac:dyDescent="0.2">
      <c r="A3765">
        <v>3759</v>
      </c>
      <c r="B3765" t="s">
        <v>54</v>
      </c>
    </row>
    <row r="3766" spans="1:2" x14ac:dyDescent="0.2">
      <c r="A3766">
        <v>3760</v>
      </c>
      <c r="B3766" t="s">
        <v>54</v>
      </c>
    </row>
    <row r="3767" spans="1:2" x14ac:dyDescent="0.2">
      <c r="A3767">
        <v>3761</v>
      </c>
      <c r="B3767" t="s">
        <v>54</v>
      </c>
    </row>
    <row r="3768" spans="1:2" x14ac:dyDescent="0.2">
      <c r="A3768">
        <v>3762</v>
      </c>
      <c r="B3768" t="s">
        <v>54</v>
      </c>
    </row>
    <row r="3769" spans="1:2" x14ac:dyDescent="0.2">
      <c r="A3769">
        <v>3763</v>
      </c>
      <c r="B3769" t="s">
        <v>54</v>
      </c>
    </row>
    <row r="3770" spans="1:2" x14ac:dyDescent="0.2">
      <c r="A3770">
        <v>3764</v>
      </c>
      <c r="B3770" t="s">
        <v>54</v>
      </c>
    </row>
    <row r="3771" spans="1:2" x14ac:dyDescent="0.2">
      <c r="A3771">
        <v>3765</v>
      </c>
      <c r="B3771" t="s">
        <v>54</v>
      </c>
    </row>
    <row r="3772" spans="1:2" x14ac:dyDescent="0.2">
      <c r="A3772">
        <v>3766</v>
      </c>
      <c r="B3772" t="s">
        <v>54</v>
      </c>
    </row>
    <row r="3773" spans="1:2" x14ac:dyDescent="0.2">
      <c r="A3773">
        <v>3767</v>
      </c>
      <c r="B3773" t="s">
        <v>54</v>
      </c>
    </row>
    <row r="3774" spans="1:2" x14ac:dyDescent="0.2">
      <c r="A3774">
        <v>3768</v>
      </c>
      <c r="B3774" t="s">
        <v>54</v>
      </c>
    </row>
    <row r="3775" spans="1:2" x14ac:dyDescent="0.2">
      <c r="A3775">
        <v>3769</v>
      </c>
      <c r="B3775" t="s">
        <v>54</v>
      </c>
    </row>
    <row r="3776" spans="1:2" x14ac:dyDescent="0.2">
      <c r="A3776">
        <v>3770</v>
      </c>
      <c r="B3776" t="s">
        <v>54</v>
      </c>
    </row>
    <row r="3777" spans="1:2" x14ac:dyDescent="0.2">
      <c r="A3777">
        <v>3771</v>
      </c>
      <c r="B3777" t="s">
        <v>54</v>
      </c>
    </row>
    <row r="3778" spans="1:2" x14ac:dyDescent="0.2">
      <c r="A3778">
        <v>3772</v>
      </c>
      <c r="B3778" t="s">
        <v>54</v>
      </c>
    </row>
    <row r="3779" spans="1:2" x14ac:dyDescent="0.2">
      <c r="A3779">
        <v>3773</v>
      </c>
      <c r="B3779" t="s">
        <v>54</v>
      </c>
    </row>
    <row r="3780" spans="1:2" x14ac:dyDescent="0.2">
      <c r="A3780">
        <v>3774</v>
      </c>
      <c r="B3780" t="s">
        <v>54</v>
      </c>
    </row>
    <row r="3781" spans="1:2" x14ac:dyDescent="0.2">
      <c r="A3781">
        <v>3775</v>
      </c>
      <c r="B3781" t="s">
        <v>54</v>
      </c>
    </row>
    <row r="3782" spans="1:2" x14ac:dyDescent="0.2">
      <c r="A3782">
        <v>3776</v>
      </c>
      <c r="B3782" t="s">
        <v>54</v>
      </c>
    </row>
    <row r="3783" spans="1:2" x14ac:dyDescent="0.2">
      <c r="A3783">
        <v>3777</v>
      </c>
      <c r="B3783" t="s">
        <v>54</v>
      </c>
    </row>
    <row r="3784" spans="1:2" x14ac:dyDescent="0.2">
      <c r="A3784">
        <v>3778</v>
      </c>
      <c r="B3784" t="s">
        <v>54</v>
      </c>
    </row>
    <row r="3785" spans="1:2" x14ac:dyDescent="0.2">
      <c r="A3785">
        <v>3779</v>
      </c>
      <c r="B3785" t="s">
        <v>54</v>
      </c>
    </row>
    <row r="3786" spans="1:2" x14ac:dyDescent="0.2">
      <c r="A3786">
        <v>3780</v>
      </c>
      <c r="B3786" t="s">
        <v>54</v>
      </c>
    </row>
    <row r="3787" spans="1:2" x14ac:dyDescent="0.2">
      <c r="A3787">
        <v>3781</v>
      </c>
      <c r="B3787" t="s">
        <v>54</v>
      </c>
    </row>
    <row r="3788" spans="1:2" x14ac:dyDescent="0.2">
      <c r="A3788">
        <v>3782</v>
      </c>
      <c r="B3788" t="s">
        <v>54</v>
      </c>
    </row>
    <row r="3789" spans="1:2" x14ac:dyDescent="0.2">
      <c r="A3789">
        <v>3783</v>
      </c>
      <c r="B3789" t="s">
        <v>54</v>
      </c>
    </row>
    <row r="3790" spans="1:2" x14ac:dyDescent="0.2">
      <c r="A3790">
        <v>3784</v>
      </c>
      <c r="B3790" t="s">
        <v>54</v>
      </c>
    </row>
    <row r="3791" spans="1:2" x14ac:dyDescent="0.2">
      <c r="A3791">
        <v>3785</v>
      </c>
      <c r="B3791" t="s">
        <v>54</v>
      </c>
    </row>
    <row r="3792" spans="1:2" x14ac:dyDescent="0.2">
      <c r="A3792">
        <v>3786</v>
      </c>
      <c r="B3792" t="s">
        <v>54</v>
      </c>
    </row>
    <row r="3793" spans="1:2" x14ac:dyDescent="0.2">
      <c r="A3793">
        <v>3787</v>
      </c>
      <c r="B3793" t="s">
        <v>54</v>
      </c>
    </row>
    <row r="3794" spans="1:2" x14ac:dyDescent="0.2">
      <c r="A3794">
        <v>3788</v>
      </c>
      <c r="B3794" t="s">
        <v>54</v>
      </c>
    </row>
    <row r="3795" spans="1:2" x14ac:dyDescent="0.2">
      <c r="A3795">
        <v>3789</v>
      </c>
      <c r="B3795" t="s">
        <v>54</v>
      </c>
    </row>
    <row r="3796" spans="1:2" x14ac:dyDescent="0.2">
      <c r="A3796">
        <v>3790</v>
      </c>
      <c r="B3796" t="s">
        <v>54</v>
      </c>
    </row>
    <row r="3797" spans="1:2" x14ac:dyDescent="0.2">
      <c r="A3797">
        <v>3791</v>
      </c>
      <c r="B3797" t="s">
        <v>54</v>
      </c>
    </row>
    <row r="3798" spans="1:2" x14ac:dyDescent="0.2">
      <c r="A3798">
        <v>3792</v>
      </c>
      <c r="B3798" t="s">
        <v>54</v>
      </c>
    </row>
    <row r="3799" spans="1:2" x14ac:dyDescent="0.2">
      <c r="A3799">
        <v>3793</v>
      </c>
      <c r="B3799" t="s">
        <v>54</v>
      </c>
    </row>
    <row r="3800" spans="1:2" x14ac:dyDescent="0.2">
      <c r="A3800">
        <v>3794</v>
      </c>
      <c r="B3800" t="s">
        <v>54</v>
      </c>
    </row>
    <row r="3801" spans="1:2" x14ac:dyDescent="0.2">
      <c r="A3801">
        <v>3795</v>
      </c>
      <c r="B3801" t="s">
        <v>54</v>
      </c>
    </row>
    <row r="3802" spans="1:2" x14ac:dyDescent="0.2">
      <c r="A3802">
        <v>3796</v>
      </c>
      <c r="B3802" t="s">
        <v>54</v>
      </c>
    </row>
    <row r="3803" spans="1:2" x14ac:dyDescent="0.2">
      <c r="A3803">
        <v>3797</v>
      </c>
      <c r="B3803" t="s">
        <v>54</v>
      </c>
    </row>
    <row r="3804" spans="1:2" x14ac:dyDescent="0.2">
      <c r="A3804">
        <v>3798</v>
      </c>
      <c r="B3804" t="s">
        <v>54</v>
      </c>
    </row>
    <row r="3805" spans="1:2" x14ac:dyDescent="0.2">
      <c r="A3805">
        <v>3799</v>
      </c>
      <c r="B3805" t="s">
        <v>54</v>
      </c>
    </row>
    <row r="3806" spans="1:2" x14ac:dyDescent="0.2">
      <c r="A3806">
        <v>3800</v>
      </c>
      <c r="B3806" t="s">
        <v>54</v>
      </c>
    </row>
    <row r="3807" spans="1:2" x14ac:dyDescent="0.2">
      <c r="A3807">
        <v>3801</v>
      </c>
      <c r="B3807" t="s">
        <v>54</v>
      </c>
    </row>
    <row r="3808" spans="1:2" x14ac:dyDescent="0.2">
      <c r="A3808">
        <v>3802</v>
      </c>
      <c r="B3808" t="s">
        <v>54</v>
      </c>
    </row>
    <row r="3809" spans="1:2" x14ac:dyDescent="0.2">
      <c r="A3809">
        <v>3803</v>
      </c>
      <c r="B3809" t="s">
        <v>54</v>
      </c>
    </row>
    <row r="3810" spans="1:2" x14ac:dyDescent="0.2">
      <c r="A3810">
        <v>3804</v>
      </c>
      <c r="B3810" t="s">
        <v>54</v>
      </c>
    </row>
    <row r="3811" spans="1:2" x14ac:dyDescent="0.2">
      <c r="A3811">
        <v>3805</v>
      </c>
      <c r="B3811" t="s">
        <v>54</v>
      </c>
    </row>
    <row r="3812" spans="1:2" x14ac:dyDescent="0.2">
      <c r="A3812">
        <v>3806</v>
      </c>
      <c r="B3812" t="s">
        <v>54</v>
      </c>
    </row>
    <row r="3813" spans="1:2" x14ac:dyDescent="0.2">
      <c r="A3813">
        <v>3807</v>
      </c>
      <c r="B3813" t="s">
        <v>54</v>
      </c>
    </row>
    <row r="3814" spans="1:2" x14ac:dyDescent="0.2">
      <c r="A3814">
        <v>3808</v>
      </c>
      <c r="B3814" t="s">
        <v>54</v>
      </c>
    </row>
    <row r="3815" spans="1:2" x14ac:dyDescent="0.2">
      <c r="A3815">
        <v>3809</v>
      </c>
      <c r="B3815" t="s">
        <v>54</v>
      </c>
    </row>
    <row r="3816" spans="1:2" x14ac:dyDescent="0.2">
      <c r="A3816">
        <v>3810</v>
      </c>
      <c r="B3816" t="s">
        <v>54</v>
      </c>
    </row>
    <row r="3817" spans="1:2" x14ac:dyDescent="0.2">
      <c r="A3817">
        <v>3811</v>
      </c>
      <c r="B3817" t="s">
        <v>54</v>
      </c>
    </row>
    <row r="3818" spans="1:2" x14ac:dyDescent="0.2">
      <c r="A3818">
        <v>3812</v>
      </c>
      <c r="B3818" t="s">
        <v>54</v>
      </c>
    </row>
    <row r="3819" spans="1:2" x14ac:dyDescent="0.2">
      <c r="A3819">
        <v>3813</v>
      </c>
      <c r="B3819" t="s">
        <v>54</v>
      </c>
    </row>
    <row r="3820" spans="1:2" x14ac:dyDescent="0.2">
      <c r="A3820">
        <v>3814</v>
      </c>
      <c r="B3820" t="s">
        <v>54</v>
      </c>
    </row>
    <row r="3821" spans="1:2" x14ac:dyDescent="0.2">
      <c r="A3821">
        <v>3815</v>
      </c>
      <c r="B3821" t="s">
        <v>54</v>
      </c>
    </row>
    <row r="3822" spans="1:2" x14ac:dyDescent="0.2">
      <c r="A3822">
        <v>3816</v>
      </c>
      <c r="B3822" t="s">
        <v>54</v>
      </c>
    </row>
    <row r="3823" spans="1:2" x14ac:dyDescent="0.2">
      <c r="A3823">
        <v>3817</v>
      </c>
      <c r="B3823" t="s">
        <v>54</v>
      </c>
    </row>
    <row r="3824" spans="1:2" x14ac:dyDescent="0.2">
      <c r="A3824">
        <v>3818</v>
      </c>
      <c r="B3824" t="s">
        <v>54</v>
      </c>
    </row>
    <row r="3825" spans="1:2" x14ac:dyDescent="0.2">
      <c r="A3825">
        <v>3819</v>
      </c>
      <c r="B3825" t="s">
        <v>54</v>
      </c>
    </row>
    <row r="3826" spans="1:2" x14ac:dyDescent="0.2">
      <c r="A3826">
        <v>3820</v>
      </c>
      <c r="B3826" t="s">
        <v>54</v>
      </c>
    </row>
    <row r="3827" spans="1:2" x14ac:dyDescent="0.2">
      <c r="A3827">
        <v>3821</v>
      </c>
      <c r="B3827" t="s">
        <v>54</v>
      </c>
    </row>
    <row r="3828" spans="1:2" x14ac:dyDescent="0.2">
      <c r="A3828">
        <v>3822</v>
      </c>
      <c r="B3828" t="s">
        <v>54</v>
      </c>
    </row>
    <row r="3829" spans="1:2" x14ac:dyDescent="0.2">
      <c r="A3829">
        <v>3823</v>
      </c>
      <c r="B3829" t="s">
        <v>54</v>
      </c>
    </row>
    <row r="3830" spans="1:2" x14ac:dyDescent="0.2">
      <c r="A3830">
        <v>3824</v>
      </c>
      <c r="B3830" t="s">
        <v>54</v>
      </c>
    </row>
    <row r="3831" spans="1:2" x14ac:dyDescent="0.2">
      <c r="A3831">
        <v>3825</v>
      </c>
      <c r="B3831" t="s">
        <v>54</v>
      </c>
    </row>
    <row r="3832" spans="1:2" x14ac:dyDescent="0.2">
      <c r="A3832">
        <v>3826</v>
      </c>
      <c r="B3832" t="s">
        <v>54</v>
      </c>
    </row>
    <row r="3833" spans="1:2" x14ac:dyDescent="0.2">
      <c r="A3833">
        <v>3827</v>
      </c>
      <c r="B3833" t="s">
        <v>54</v>
      </c>
    </row>
    <row r="3834" spans="1:2" x14ac:dyDescent="0.2">
      <c r="A3834">
        <v>3828</v>
      </c>
      <c r="B3834" t="s">
        <v>54</v>
      </c>
    </row>
    <row r="3835" spans="1:2" x14ac:dyDescent="0.2">
      <c r="A3835">
        <v>3829</v>
      </c>
      <c r="B3835" t="s">
        <v>54</v>
      </c>
    </row>
    <row r="3836" spans="1:2" x14ac:dyDescent="0.2">
      <c r="A3836">
        <v>3830</v>
      </c>
      <c r="B3836" t="s">
        <v>54</v>
      </c>
    </row>
    <row r="3837" spans="1:2" x14ac:dyDescent="0.2">
      <c r="A3837">
        <v>3831</v>
      </c>
      <c r="B3837" t="s">
        <v>54</v>
      </c>
    </row>
    <row r="3838" spans="1:2" x14ac:dyDescent="0.2">
      <c r="A3838">
        <v>3832</v>
      </c>
      <c r="B3838" t="s">
        <v>54</v>
      </c>
    </row>
    <row r="3839" spans="1:2" x14ac:dyDescent="0.2">
      <c r="A3839">
        <v>3833</v>
      </c>
      <c r="B3839" t="s">
        <v>54</v>
      </c>
    </row>
    <row r="3840" spans="1:2" x14ac:dyDescent="0.2">
      <c r="A3840">
        <v>3834</v>
      </c>
      <c r="B3840" t="s">
        <v>54</v>
      </c>
    </row>
    <row r="3841" spans="1:2" x14ac:dyDescent="0.2">
      <c r="A3841">
        <v>3835</v>
      </c>
      <c r="B3841" t="s">
        <v>54</v>
      </c>
    </row>
    <row r="3842" spans="1:2" x14ac:dyDescent="0.2">
      <c r="A3842">
        <v>3836</v>
      </c>
      <c r="B3842" t="s">
        <v>54</v>
      </c>
    </row>
    <row r="3843" spans="1:2" x14ac:dyDescent="0.2">
      <c r="A3843">
        <v>3837</v>
      </c>
      <c r="B3843" t="s">
        <v>54</v>
      </c>
    </row>
    <row r="3844" spans="1:2" x14ac:dyDescent="0.2">
      <c r="A3844">
        <v>3838</v>
      </c>
      <c r="B3844" t="s">
        <v>54</v>
      </c>
    </row>
    <row r="3845" spans="1:2" x14ac:dyDescent="0.2">
      <c r="A3845">
        <v>3839</v>
      </c>
      <c r="B3845" t="s">
        <v>54</v>
      </c>
    </row>
    <row r="3846" spans="1:2" x14ac:dyDescent="0.2">
      <c r="A3846">
        <v>3840</v>
      </c>
      <c r="B3846" t="s">
        <v>54</v>
      </c>
    </row>
    <row r="3847" spans="1:2" x14ac:dyDescent="0.2">
      <c r="A3847">
        <v>3841</v>
      </c>
      <c r="B3847" t="s">
        <v>54</v>
      </c>
    </row>
    <row r="3848" spans="1:2" x14ac:dyDescent="0.2">
      <c r="A3848">
        <v>3842</v>
      </c>
      <c r="B3848" t="s">
        <v>54</v>
      </c>
    </row>
    <row r="3849" spans="1:2" x14ac:dyDescent="0.2">
      <c r="A3849">
        <v>3843</v>
      </c>
      <c r="B3849" t="s">
        <v>54</v>
      </c>
    </row>
    <row r="3850" spans="1:2" x14ac:dyDescent="0.2">
      <c r="A3850">
        <v>3844</v>
      </c>
      <c r="B3850" t="s">
        <v>54</v>
      </c>
    </row>
    <row r="3851" spans="1:2" x14ac:dyDescent="0.2">
      <c r="A3851">
        <v>3845</v>
      </c>
      <c r="B3851" t="s">
        <v>54</v>
      </c>
    </row>
    <row r="3852" spans="1:2" x14ac:dyDescent="0.2">
      <c r="A3852">
        <v>3846</v>
      </c>
      <c r="B3852" t="s">
        <v>54</v>
      </c>
    </row>
    <row r="3853" spans="1:2" x14ac:dyDescent="0.2">
      <c r="A3853">
        <v>3847</v>
      </c>
      <c r="B3853" t="s">
        <v>54</v>
      </c>
    </row>
    <row r="3854" spans="1:2" x14ac:dyDescent="0.2">
      <c r="A3854">
        <v>3848</v>
      </c>
      <c r="B3854" t="s">
        <v>54</v>
      </c>
    </row>
    <row r="3855" spans="1:2" x14ac:dyDescent="0.2">
      <c r="A3855">
        <v>3849</v>
      </c>
      <c r="B3855" t="s">
        <v>54</v>
      </c>
    </row>
    <row r="3856" spans="1:2" x14ac:dyDescent="0.2">
      <c r="A3856">
        <v>3850</v>
      </c>
      <c r="B3856" t="s">
        <v>54</v>
      </c>
    </row>
    <row r="3857" spans="1:2" x14ac:dyDescent="0.2">
      <c r="A3857">
        <v>3851</v>
      </c>
      <c r="B3857" t="s">
        <v>54</v>
      </c>
    </row>
    <row r="3858" spans="1:2" x14ac:dyDescent="0.2">
      <c r="A3858">
        <v>3852</v>
      </c>
      <c r="B3858" t="s">
        <v>54</v>
      </c>
    </row>
    <row r="3859" spans="1:2" x14ac:dyDescent="0.2">
      <c r="A3859">
        <v>3853</v>
      </c>
      <c r="B3859" t="s">
        <v>54</v>
      </c>
    </row>
    <row r="3860" spans="1:2" x14ac:dyDescent="0.2">
      <c r="A3860">
        <v>3854</v>
      </c>
      <c r="B3860" t="s">
        <v>54</v>
      </c>
    </row>
    <row r="3861" spans="1:2" x14ac:dyDescent="0.2">
      <c r="A3861">
        <v>3855</v>
      </c>
      <c r="B3861" t="s">
        <v>54</v>
      </c>
    </row>
    <row r="3862" spans="1:2" x14ac:dyDescent="0.2">
      <c r="A3862">
        <v>3856</v>
      </c>
      <c r="B3862" t="s">
        <v>54</v>
      </c>
    </row>
    <row r="3863" spans="1:2" x14ac:dyDescent="0.2">
      <c r="A3863">
        <v>3857</v>
      </c>
      <c r="B3863" t="s">
        <v>54</v>
      </c>
    </row>
    <row r="3864" spans="1:2" x14ac:dyDescent="0.2">
      <c r="A3864">
        <v>3858</v>
      </c>
      <c r="B3864" t="s">
        <v>54</v>
      </c>
    </row>
    <row r="3865" spans="1:2" x14ac:dyDescent="0.2">
      <c r="A3865">
        <v>3859</v>
      </c>
      <c r="B3865" t="s">
        <v>54</v>
      </c>
    </row>
    <row r="3866" spans="1:2" x14ac:dyDescent="0.2">
      <c r="A3866">
        <v>3860</v>
      </c>
      <c r="B3866" t="s">
        <v>54</v>
      </c>
    </row>
    <row r="3867" spans="1:2" x14ac:dyDescent="0.2">
      <c r="A3867">
        <v>3861</v>
      </c>
      <c r="B3867" t="s">
        <v>54</v>
      </c>
    </row>
    <row r="3868" spans="1:2" x14ac:dyDescent="0.2">
      <c r="A3868">
        <v>3862</v>
      </c>
      <c r="B3868" t="s">
        <v>54</v>
      </c>
    </row>
    <row r="3869" spans="1:2" x14ac:dyDescent="0.2">
      <c r="A3869">
        <v>3863</v>
      </c>
      <c r="B3869" t="s">
        <v>54</v>
      </c>
    </row>
    <row r="3870" spans="1:2" x14ac:dyDescent="0.2">
      <c r="A3870">
        <v>3864</v>
      </c>
      <c r="B3870" t="s">
        <v>54</v>
      </c>
    </row>
    <row r="3871" spans="1:2" x14ac:dyDescent="0.2">
      <c r="A3871">
        <v>3865</v>
      </c>
      <c r="B3871" t="s">
        <v>54</v>
      </c>
    </row>
    <row r="3872" spans="1:2" x14ac:dyDescent="0.2">
      <c r="A3872">
        <v>3866</v>
      </c>
      <c r="B3872" t="s">
        <v>54</v>
      </c>
    </row>
    <row r="3873" spans="1:2" x14ac:dyDescent="0.2">
      <c r="A3873">
        <v>3867</v>
      </c>
      <c r="B3873" t="s">
        <v>54</v>
      </c>
    </row>
    <row r="3874" spans="1:2" x14ac:dyDescent="0.2">
      <c r="A3874">
        <v>3868</v>
      </c>
      <c r="B3874" t="s">
        <v>54</v>
      </c>
    </row>
    <row r="3875" spans="1:2" x14ac:dyDescent="0.2">
      <c r="A3875">
        <v>3869</v>
      </c>
      <c r="B3875" t="s">
        <v>54</v>
      </c>
    </row>
    <row r="3876" spans="1:2" x14ac:dyDescent="0.2">
      <c r="A3876">
        <v>3870</v>
      </c>
      <c r="B3876" t="s">
        <v>54</v>
      </c>
    </row>
    <row r="3877" spans="1:2" x14ac:dyDescent="0.2">
      <c r="A3877">
        <v>3871</v>
      </c>
      <c r="B3877" t="s">
        <v>54</v>
      </c>
    </row>
    <row r="3878" spans="1:2" x14ac:dyDescent="0.2">
      <c r="A3878">
        <v>3872</v>
      </c>
      <c r="B3878" t="s">
        <v>54</v>
      </c>
    </row>
    <row r="3879" spans="1:2" x14ac:dyDescent="0.2">
      <c r="A3879">
        <v>3873</v>
      </c>
      <c r="B3879" t="s">
        <v>54</v>
      </c>
    </row>
    <row r="3880" spans="1:2" x14ac:dyDescent="0.2">
      <c r="A3880">
        <v>3874</v>
      </c>
      <c r="B3880" t="s">
        <v>54</v>
      </c>
    </row>
    <row r="3881" spans="1:2" x14ac:dyDescent="0.2">
      <c r="A3881">
        <v>3875</v>
      </c>
      <c r="B3881" t="s">
        <v>54</v>
      </c>
    </row>
    <row r="3882" spans="1:2" x14ac:dyDescent="0.2">
      <c r="A3882">
        <v>3876</v>
      </c>
      <c r="B3882" t="s">
        <v>54</v>
      </c>
    </row>
    <row r="3883" spans="1:2" x14ac:dyDescent="0.2">
      <c r="A3883">
        <v>3877</v>
      </c>
      <c r="B3883" t="s">
        <v>54</v>
      </c>
    </row>
    <row r="3884" spans="1:2" x14ac:dyDescent="0.2">
      <c r="A3884">
        <v>3878</v>
      </c>
      <c r="B3884" t="s">
        <v>54</v>
      </c>
    </row>
    <row r="3885" spans="1:2" x14ac:dyDescent="0.2">
      <c r="A3885">
        <v>3879</v>
      </c>
      <c r="B3885" t="s">
        <v>54</v>
      </c>
    </row>
    <row r="3886" spans="1:2" x14ac:dyDescent="0.2">
      <c r="A3886">
        <v>3880</v>
      </c>
      <c r="B3886" t="s">
        <v>54</v>
      </c>
    </row>
    <row r="3887" spans="1:2" x14ac:dyDescent="0.2">
      <c r="A3887">
        <v>3881</v>
      </c>
      <c r="B3887" t="s">
        <v>54</v>
      </c>
    </row>
    <row r="3888" spans="1:2" x14ac:dyDescent="0.2">
      <c r="A3888">
        <v>3882</v>
      </c>
      <c r="B3888" t="s">
        <v>54</v>
      </c>
    </row>
    <row r="3889" spans="1:2" x14ac:dyDescent="0.2">
      <c r="A3889">
        <v>3883</v>
      </c>
      <c r="B3889" t="s">
        <v>54</v>
      </c>
    </row>
    <row r="3890" spans="1:2" x14ac:dyDescent="0.2">
      <c r="A3890">
        <v>3884</v>
      </c>
      <c r="B3890" t="s">
        <v>54</v>
      </c>
    </row>
    <row r="3891" spans="1:2" x14ac:dyDescent="0.2">
      <c r="A3891">
        <v>3885</v>
      </c>
      <c r="B3891" t="s">
        <v>54</v>
      </c>
    </row>
    <row r="3892" spans="1:2" x14ac:dyDescent="0.2">
      <c r="A3892">
        <v>3886</v>
      </c>
      <c r="B3892" t="s">
        <v>54</v>
      </c>
    </row>
    <row r="3893" spans="1:2" x14ac:dyDescent="0.2">
      <c r="A3893">
        <v>3887</v>
      </c>
      <c r="B3893" t="s">
        <v>54</v>
      </c>
    </row>
    <row r="3894" spans="1:2" x14ac:dyDescent="0.2">
      <c r="A3894">
        <v>3888</v>
      </c>
      <c r="B3894" t="s">
        <v>54</v>
      </c>
    </row>
    <row r="3895" spans="1:2" x14ac:dyDescent="0.2">
      <c r="A3895">
        <v>3889</v>
      </c>
      <c r="B3895" t="s">
        <v>54</v>
      </c>
    </row>
    <row r="3896" spans="1:2" x14ac:dyDescent="0.2">
      <c r="A3896">
        <v>3890</v>
      </c>
      <c r="B3896" t="s">
        <v>54</v>
      </c>
    </row>
    <row r="3897" spans="1:2" x14ac:dyDescent="0.2">
      <c r="A3897">
        <v>3891</v>
      </c>
      <c r="B3897" t="s">
        <v>54</v>
      </c>
    </row>
    <row r="3898" spans="1:2" x14ac:dyDescent="0.2">
      <c r="A3898">
        <v>3892</v>
      </c>
      <c r="B3898" t="s">
        <v>54</v>
      </c>
    </row>
    <row r="3899" spans="1:2" x14ac:dyDescent="0.2">
      <c r="A3899">
        <v>3893</v>
      </c>
      <c r="B3899" t="s">
        <v>54</v>
      </c>
    </row>
    <row r="3900" spans="1:2" x14ac:dyDescent="0.2">
      <c r="A3900">
        <v>3894</v>
      </c>
      <c r="B3900" t="s">
        <v>54</v>
      </c>
    </row>
    <row r="3901" spans="1:2" x14ac:dyDescent="0.2">
      <c r="A3901">
        <v>3895</v>
      </c>
      <c r="B3901" t="s">
        <v>54</v>
      </c>
    </row>
    <row r="3902" spans="1:2" x14ac:dyDescent="0.2">
      <c r="A3902">
        <v>3896</v>
      </c>
      <c r="B3902" t="s">
        <v>54</v>
      </c>
    </row>
    <row r="3903" spans="1:2" x14ac:dyDescent="0.2">
      <c r="A3903">
        <v>3897</v>
      </c>
      <c r="B3903" t="s">
        <v>54</v>
      </c>
    </row>
    <row r="3904" spans="1:2" x14ac:dyDescent="0.2">
      <c r="A3904">
        <v>3898</v>
      </c>
      <c r="B3904" t="s">
        <v>54</v>
      </c>
    </row>
    <row r="3905" spans="1:2" x14ac:dyDescent="0.2">
      <c r="A3905">
        <v>3899</v>
      </c>
      <c r="B3905" t="s">
        <v>54</v>
      </c>
    </row>
    <row r="3906" spans="1:2" x14ac:dyDescent="0.2">
      <c r="A3906">
        <v>3900</v>
      </c>
      <c r="B3906" t="s">
        <v>54</v>
      </c>
    </row>
    <row r="3907" spans="1:2" x14ac:dyDescent="0.2">
      <c r="A3907">
        <v>3901</v>
      </c>
      <c r="B3907" t="s">
        <v>54</v>
      </c>
    </row>
    <row r="3908" spans="1:2" x14ac:dyDescent="0.2">
      <c r="A3908">
        <v>3902</v>
      </c>
      <c r="B3908" t="s">
        <v>54</v>
      </c>
    </row>
    <row r="3909" spans="1:2" x14ac:dyDescent="0.2">
      <c r="A3909">
        <v>3903</v>
      </c>
      <c r="B3909" t="s">
        <v>54</v>
      </c>
    </row>
    <row r="3910" spans="1:2" x14ac:dyDescent="0.2">
      <c r="A3910">
        <v>3904</v>
      </c>
      <c r="B3910" t="s">
        <v>54</v>
      </c>
    </row>
    <row r="3911" spans="1:2" x14ac:dyDescent="0.2">
      <c r="A3911">
        <v>3905</v>
      </c>
      <c r="B3911" t="s">
        <v>54</v>
      </c>
    </row>
    <row r="3912" spans="1:2" x14ac:dyDescent="0.2">
      <c r="A3912">
        <v>3906</v>
      </c>
      <c r="B3912" t="s">
        <v>54</v>
      </c>
    </row>
    <row r="3913" spans="1:2" x14ac:dyDescent="0.2">
      <c r="A3913">
        <v>3907</v>
      </c>
      <c r="B3913" t="s">
        <v>54</v>
      </c>
    </row>
    <row r="3914" spans="1:2" x14ac:dyDescent="0.2">
      <c r="A3914">
        <v>3908</v>
      </c>
      <c r="B3914" t="s">
        <v>54</v>
      </c>
    </row>
    <row r="3915" spans="1:2" x14ac:dyDescent="0.2">
      <c r="A3915">
        <v>3909</v>
      </c>
      <c r="B3915" t="s">
        <v>54</v>
      </c>
    </row>
    <row r="3916" spans="1:2" x14ac:dyDescent="0.2">
      <c r="A3916">
        <v>3910</v>
      </c>
      <c r="B3916" t="s">
        <v>54</v>
      </c>
    </row>
    <row r="3917" spans="1:2" x14ac:dyDescent="0.2">
      <c r="A3917">
        <v>3911</v>
      </c>
      <c r="B3917" t="s">
        <v>54</v>
      </c>
    </row>
    <row r="3918" spans="1:2" x14ac:dyDescent="0.2">
      <c r="A3918">
        <v>3912</v>
      </c>
      <c r="B3918" t="s">
        <v>54</v>
      </c>
    </row>
    <row r="3919" spans="1:2" x14ac:dyDescent="0.2">
      <c r="A3919">
        <v>3913</v>
      </c>
      <c r="B3919" t="s">
        <v>54</v>
      </c>
    </row>
    <row r="3920" spans="1:2" x14ac:dyDescent="0.2">
      <c r="A3920">
        <v>3914</v>
      </c>
      <c r="B3920" t="s">
        <v>54</v>
      </c>
    </row>
    <row r="3921" spans="1:2" x14ac:dyDescent="0.2">
      <c r="A3921">
        <v>3915</v>
      </c>
      <c r="B3921" t="s">
        <v>54</v>
      </c>
    </row>
    <row r="3922" spans="1:2" x14ac:dyDescent="0.2">
      <c r="A3922">
        <v>3916</v>
      </c>
      <c r="B3922" t="s">
        <v>54</v>
      </c>
    </row>
    <row r="3923" spans="1:2" x14ac:dyDescent="0.2">
      <c r="A3923">
        <v>3917</v>
      </c>
      <c r="B3923" t="s">
        <v>54</v>
      </c>
    </row>
    <row r="3924" spans="1:2" x14ac:dyDescent="0.2">
      <c r="A3924">
        <v>3918</v>
      </c>
      <c r="B3924" t="s">
        <v>54</v>
      </c>
    </row>
    <row r="3925" spans="1:2" x14ac:dyDescent="0.2">
      <c r="A3925">
        <v>3919</v>
      </c>
      <c r="B3925" t="s">
        <v>54</v>
      </c>
    </row>
    <row r="3926" spans="1:2" x14ac:dyDescent="0.2">
      <c r="A3926">
        <v>3920</v>
      </c>
      <c r="B3926" t="s">
        <v>54</v>
      </c>
    </row>
    <row r="3927" spans="1:2" x14ac:dyDescent="0.2">
      <c r="A3927">
        <v>3921</v>
      </c>
      <c r="B3927" t="s">
        <v>54</v>
      </c>
    </row>
    <row r="3928" spans="1:2" x14ac:dyDescent="0.2">
      <c r="A3928">
        <v>3922</v>
      </c>
      <c r="B3928" t="s">
        <v>54</v>
      </c>
    </row>
    <row r="3929" spans="1:2" x14ac:dyDescent="0.2">
      <c r="A3929">
        <v>3923</v>
      </c>
      <c r="B3929" t="s">
        <v>54</v>
      </c>
    </row>
    <row r="3930" spans="1:2" x14ac:dyDescent="0.2">
      <c r="A3930">
        <v>3924</v>
      </c>
      <c r="B3930" t="s">
        <v>54</v>
      </c>
    </row>
    <row r="3931" spans="1:2" x14ac:dyDescent="0.2">
      <c r="A3931">
        <v>3925</v>
      </c>
      <c r="B3931" t="s">
        <v>54</v>
      </c>
    </row>
    <row r="3932" spans="1:2" x14ac:dyDescent="0.2">
      <c r="A3932">
        <v>3926</v>
      </c>
      <c r="B3932" t="s">
        <v>54</v>
      </c>
    </row>
    <row r="3933" spans="1:2" x14ac:dyDescent="0.2">
      <c r="A3933">
        <v>3927</v>
      </c>
      <c r="B3933" t="s">
        <v>54</v>
      </c>
    </row>
    <row r="3934" spans="1:2" x14ac:dyDescent="0.2">
      <c r="A3934">
        <v>3928</v>
      </c>
      <c r="B3934" t="s">
        <v>54</v>
      </c>
    </row>
    <row r="3935" spans="1:2" x14ac:dyDescent="0.2">
      <c r="A3935">
        <v>3929</v>
      </c>
      <c r="B3935" t="s">
        <v>54</v>
      </c>
    </row>
    <row r="3936" spans="1:2" x14ac:dyDescent="0.2">
      <c r="A3936">
        <v>3930</v>
      </c>
      <c r="B3936" t="s">
        <v>54</v>
      </c>
    </row>
    <row r="3937" spans="1:2" x14ac:dyDescent="0.2">
      <c r="A3937">
        <v>3931</v>
      </c>
      <c r="B3937" t="s">
        <v>54</v>
      </c>
    </row>
    <row r="3938" spans="1:2" x14ac:dyDescent="0.2">
      <c r="A3938">
        <v>3932</v>
      </c>
      <c r="B3938" t="s">
        <v>54</v>
      </c>
    </row>
    <row r="3939" spans="1:2" x14ac:dyDescent="0.2">
      <c r="A3939">
        <v>3933</v>
      </c>
      <c r="B3939" t="s">
        <v>54</v>
      </c>
    </row>
    <row r="3940" spans="1:2" x14ac:dyDescent="0.2">
      <c r="A3940">
        <v>3934</v>
      </c>
      <c r="B3940" t="s">
        <v>54</v>
      </c>
    </row>
    <row r="3941" spans="1:2" x14ac:dyDescent="0.2">
      <c r="A3941">
        <v>3935</v>
      </c>
      <c r="B3941" t="s">
        <v>54</v>
      </c>
    </row>
    <row r="3942" spans="1:2" x14ac:dyDescent="0.2">
      <c r="A3942">
        <v>3936</v>
      </c>
      <c r="B3942" t="s">
        <v>54</v>
      </c>
    </row>
    <row r="3943" spans="1:2" x14ac:dyDescent="0.2">
      <c r="A3943">
        <v>3937</v>
      </c>
      <c r="B3943" t="s">
        <v>54</v>
      </c>
    </row>
    <row r="3944" spans="1:2" x14ac:dyDescent="0.2">
      <c r="A3944">
        <v>3938</v>
      </c>
      <c r="B3944" t="s">
        <v>54</v>
      </c>
    </row>
    <row r="3945" spans="1:2" x14ac:dyDescent="0.2">
      <c r="A3945">
        <v>3939</v>
      </c>
      <c r="B3945" t="s">
        <v>54</v>
      </c>
    </row>
    <row r="3946" spans="1:2" x14ac:dyDescent="0.2">
      <c r="A3946">
        <v>3940</v>
      </c>
      <c r="B3946" t="s">
        <v>54</v>
      </c>
    </row>
    <row r="3947" spans="1:2" x14ac:dyDescent="0.2">
      <c r="A3947">
        <v>3941</v>
      </c>
      <c r="B3947" t="s">
        <v>54</v>
      </c>
    </row>
    <row r="3948" spans="1:2" x14ac:dyDescent="0.2">
      <c r="A3948">
        <v>3942</v>
      </c>
      <c r="B3948" t="s">
        <v>54</v>
      </c>
    </row>
    <row r="3949" spans="1:2" x14ac:dyDescent="0.2">
      <c r="A3949">
        <v>3943</v>
      </c>
      <c r="B3949" t="s">
        <v>54</v>
      </c>
    </row>
    <row r="3950" spans="1:2" x14ac:dyDescent="0.2">
      <c r="A3950">
        <v>3944</v>
      </c>
      <c r="B3950" t="s">
        <v>54</v>
      </c>
    </row>
    <row r="3951" spans="1:2" x14ac:dyDescent="0.2">
      <c r="A3951">
        <v>3945</v>
      </c>
      <c r="B3951" t="s">
        <v>54</v>
      </c>
    </row>
    <row r="3952" spans="1:2" x14ac:dyDescent="0.2">
      <c r="A3952">
        <v>3946</v>
      </c>
      <c r="B3952" t="s">
        <v>54</v>
      </c>
    </row>
    <row r="3953" spans="1:2" x14ac:dyDescent="0.2">
      <c r="A3953">
        <v>3947</v>
      </c>
      <c r="B3953" t="s">
        <v>54</v>
      </c>
    </row>
    <row r="3954" spans="1:2" x14ac:dyDescent="0.2">
      <c r="A3954">
        <v>3948</v>
      </c>
      <c r="B3954" t="s">
        <v>54</v>
      </c>
    </row>
    <row r="3955" spans="1:2" x14ac:dyDescent="0.2">
      <c r="A3955">
        <v>3949</v>
      </c>
      <c r="B3955" t="s">
        <v>54</v>
      </c>
    </row>
    <row r="3956" spans="1:2" x14ac:dyDescent="0.2">
      <c r="A3956">
        <v>3950</v>
      </c>
      <c r="B3956" t="s">
        <v>54</v>
      </c>
    </row>
    <row r="3957" spans="1:2" x14ac:dyDescent="0.2">
      <c r="A3957">
        <v>3951</v>
      </c>
      <c r="B3957" t="s">
        <v>54</v>
      </c>
    </row>
    <row r="3958" spans="1:2" x14ac:dyDescent="0.2">
      <c r="A3958">
        <v>3952</v>
      </c>
      <c r="B3958" t="s">
        <v>54</v>
      </c>
    </row>
    <row r="3959" spans="1:2" x14ac:dyDescent="0.2">
      <c r="A3959">
        <v>3953</v>
      </c>
      <c r="B3959" t="s">
        <v>54</v>
      </c>
    </row>
    <row r="3960" spans="1:2" x14ac:dyDescent="0.2">
      <c r="A3960">
        <v>3954</v>
      </c>
      <c r="B3960" t="s">
        <v>54</v>
      </c>
    </row>
    <row r="3961" spans="1:2" x14ac:dyDescent="0.2">
      <c r="A3961">
        <v>3955</v>
      </c>
      <c r="B3961" t="s">
        <v>54</v>
      </c>
    </row>
    <row r="3962" spans="1:2" x14ac:dyDescent="0.2">
      <c r="A3962">
        <v>3956</v>
      </c>
      <c r="B3962" t="s">
        <v>54</v>
      </c>
    </row>
    <row r="3963" spans="1:2" x14ac:dyDescent="0.2">
      <c r="A3963">
        <v>3957</v>
      </c>
      <c r="B3963" t="s">
        <v>54</v>
      </c>
    </row>
    <row r="3964" spans="1:2" x14ac:dyDescent="0.2">
      <c r="A3964">
        <v>3958</v>
      </c>
      <c r="B3964" t="s">
        <v>54</v>
      </c>
    </row>
    <row r="3965" spans="1:2" x14ac:dyDescent="0.2">
      <c r="A3965">
        <v>3959</v>
      </c>
      <c r="B3965" t="s">
        <v>54</v>
      </c>
    </row>
    <row r="3966" spans="1:2" x14ac:dyDescent="0.2">
      <c r="A3966">
        <v>3960</v>
      </c>
      <c r="B3966" t="s">
        <v>54</v>
      </c>
    </row>
    <row r="3967" spans="1:2" x14ac:dyDescent="0.2">
      <c r="A3967">
        <v>3961</v>
      </c>
      <c r="B3967" t="s">
        <v>54</v>
      </c>
    </row>
    <row r="3968" spans="1:2" x14ac:dyDescent="0.2">
      <c r="A3968">
        <v>3962</v>
      </c>
      <c r="B3968" t="s">
        <v>54</v>
      </c>
    </row>
    <row r="3969" spans="1:2" x14ac:dyDescent="0.2">
      <c r="A3969">
        <v>3963</v>
      </c>
      <c r="B3969" t="s">
        <v>54</v>
      </c>
    </row>
    <row r="3970" spans="1:2" x14ac:dyDescent="0.2">
      <c r="A3970">
        <v>3964</v>
      </c>
      <c r="B3970" t="s">
        <v>54</v>
      </c>
    </row>
    <row r="3971" spans="1:2" x14ac:dyDescent="0.2">
      <c r="A3971">
        <v>3965</v>
      </c>
      <c r="B3971" t="s">
        <v>54</v>
      </c>
    </row>
    <row r="3972" spans="1:2" x14ac:dyDescent="0.2">
      <c r="A3972">
        <v>3966</v>
      </c>
      <c r="B3972" t="s">
        <v>54</v>
      </c>
    </row>
    <row r="3973" spans="1:2" x14ac:dyDescent="0.2">
      <c r="A3973">
        <v>3967</v>
      </c>
      <c r="B3973" t="s">
        <v>54</v>
      </c>
    </row>
    <row r="3974" spans="1:2" x14ac:dyDescent="0.2">
      <c r="A3974">
        <v>3968</v>
      </c>
      <c r="B3974" t="s">
        <v>54</v>
      </c>
    </row>
    <row r="3975" spans="1:2" x14ac:dyDescent="0.2">
      <c r="A3975">
        <v>3969</v>
      </c>
      <c r="B3975" t="s">
        <v>54</v>
      </c>
    </row>
    <row r="3976" spans="1:2" x14ac:dyDescent="0.2">
      <c r="A3976">
        <v>3970</v>
      </c>
      <c r="B3976" t="s">
        <v>54</v>
      </c>
    </row>
    <row r="3977" spans="1:2" x14ac:dyDescent="0.2">
      <c r="A3977">
        <v>3971</v>
      </c>
      <c r="B3977" t="s">
        <v>54</v>
      </c>
    </row>
    <row r="3978" spans="1:2" x14ac:dyDescent="0.2">
      <c r="A3978">
        <v>3972</v>
      </c>
      <c r="B3978" t="s">
        <v>54</v>
      </c>
    </row>
    <row r="3979" spans="1:2" x14ac:dyDescent="0.2">
      <c r="A3979">
        <v>3973</v>
      </c>
      <c r="B3979" t="s">
        <v>54</v>
      </c>
    </row>
    <row r="3980" spans="1:2" x14ac:dyDescent="0.2">
      <c r="A3980">
        <v>3974</v>
      </c>
      <c r="B3980" t="s">
        <v>54</v>
      </c>
    </row>
    <row r="3981" spans="1:2" x14ac:dyDescent="0.2">
      <c r="A3981">
        <v>3975</v>
      </c>
      <c r="B3981" t="s">
        <v>54</v>
      </c>
    </row>
    <row r="3982" spans="1:2" x14ac:dyDescent="0.2">
      <c r="A3982">
        <v>3976</v>
      </c>
      <c r="B3982" t="s">
        <v>54</v>
      </c>
    </row>
    <row r="3983" spans="1:2" x14ac:dyDescent="0.2">
      <c r="A3983">
        <v>3977</v>
      </c>
      <c r="B3983" t="s">
        <v>54</v>
      </c>
    </row>
    <row r="3984" spans="1:2" x14ac:dyDescent="0.2">
      <c r="A3984">
        <v>3978</v>
      </c>
      <c r="B3984" t="s">
        <v>54</v>
      </c>
    </row>
    <row r="3985" spans="1:2" x14ac:dyDescent="0.2">
      <c r="A3985">
        <v>3979</v>
      </c>
      <c r="B3985" t="s">
        <v>54</v>
      </c>
    </row>
    <row r="3986" spans="1:2" x14ac:dyDescent="0.2">
      <c r="A3986">
        <v>3980</v>
      </c>
      <c r="B3986" t="s">
        <v>54</v>
      </c>
    </row>
    <row r="3987" spans="1:2" x14ac:dyDescent="0.2">
      <c r="A3987">
        <v>3981</v>
      </c>
      <c r="B3987" t="s">
        <v>54</v>
      </c>
    </row>
    <row r="3988" spans="1:2" x14ac:dyDescent="0.2">
      <c r="A3988">
        <v>3982</v>
      </c>
      <c r="B3988" t="s">
        <v>54</v>
      </c>
    </row>
    <row r="3989" spans="1:2" x14ac:dyDescent="0.2">
      <c r="A3989">
        <v>3983</v>
      </c>
      <c r="B3989" t="s">
        <v>54</v>
      </c>
    </row>
    <row r="3990" spans="1:2" x14ac:dyDescent="0.2">
      <c r="A3990">
        <v>3984</v>
      </c>
      <c r="B3990" t="s">
        <v>54</v>
      </c>
    </row>
    <row r="3991" spans="1:2" x14ac:dyDescent="0.2">
      <c r="A3991">
        <v>3985</v>
      </c>
      <c r="B3991" t="s">
        <v>54</v>
      </c>
    </row>
    <row r="3992" spans="1:2" x14ac:dyDescent="0.2">
      <c r="A3992">
        <v>3986</v>
      </c>
      <c r="B3992" t="s">
        <v>54</v>
      </c>
    </row>
    <row r="3993" spans="1:2" x14ac:dyDescent="0.2">
      <c r="A3993">
        <v>3987</v>
      </c>
      <c r="B3993" t="s">
        <v>54</v>
      </c>
    </row>
    <row r="3994" spans="1:2" x14ac:dyDescent="0.2">
      <c r="A3994">
        <v>3988</v>
      </c>
      <c r="B3994" t="s">
        <v>54</v>
      </c>
    </row>
    <row r="3995" spans="1:2" x14ac:dyDescent="0.2">
      <c r="A3995">
        <v>3989</v>
      </c>
      <c r="B3995" t="s">
        <v>54</v>
      </c>
    </row>
    <row r="3996" spans="1:2" x14ac:dyDescent="0.2">
      <c r="A3996">
        <v>3990</v>
      </c>
      <c r="B3996" t="s">
        <v>54</v>
      </c>
    </row>
    <row r="3997" spans="1:2" x14ac:dyDescent="0.2">
      <c r="A3997">
        <v>3991</v>
      </c>
      <c r="B3997" t="s">
        <v>54</v>
      </c>
    </row>
    <row r="3998" spans="1:2" x14ac:dyDescent="0.2">
      <c r="A3998">
        <v>3992</v>
      </c>
      <c r="B3998" t="s">
        <v>54</v>
      </c>
    </row>
    <row r="3999" spans="1:2" x14ac:dyDescent="0.2">
      <c r="A3999">
        <v>3993</v>
      </c>
      <c r="B3999" t="s">
        <v>54</v>
      </c>
    </row>
    <row r="4000" spans="1:2" x14ac:dyDescent="0.2">
      <c r="A4000">
        <v>3994</v>
      </c>
      <c r="B4000" t="s">
        <v>54</v>
      </c>
    </row>
    <row r="4001" spans="1:2" x14ac:dyDescent="0.2">
      <c r="A4001">
        <v>3995</v>
      </c>
      <c r="B4001" t="s">
        <v>54</v>
      </c>
    </row>
    <row r="4002" spans="1:2" x14ac:dyDescent="0.2">
      <c r="A4002">
        <v>3996</v>
      </c>
      <c r="B4002" t="s">
        <v>54</v>
      </c>
    </row>
    <row r="4003" spans="1:2" x14ac:dyDescent="0.2">
      <c r="A4003">
        <v>3997</v>
      </c>
      <c r="B4003" t="s">
        <v>54</v>
      </c>
    </row>
    <row r="4004" spans="1:2" x14ac:dyDescent="0.2">
      <c r="A4004">
        <v>3998</v>
      </c>
      <c r="B4004" t="s">
        <v>54</v>
      </c>
    </row>
    <row r="4005" spans="1:2" x14ac:dyDescent="0.2">
      <c r="A4005">
        <v>3999</v>
      </c>
      <c r="B4005" t="s">
        <v>54</v>
      </c>
    </row>
    <row r="4006" spans="1:2" x14ac:dyDescent="0.2">
      <c r="A4006">
        <v>4000</v>
      </c>
      <c r="B4006" t="s">
        <v>54</v>
      </c>
    </row>
    <row r="4007" spans="1:2" x14ac:dyDescent="0.2">
      <c r="A4007">
        <v>4001</v>
      </c>
      <c r="B4007" t="s">
        <v>54</v>
      </c>
    </row>
    <row r="4008" spans="1:2" x14ac:dyDescent="0.2">
      <c r="A4008">
        <v>4002</v>
      </c>
      <c r="B4008" t="s">
        <v>54</v>
      </c>
    </row>
    <row r="4009" spans="1:2" x14ac:dyDescent="0.2">
      <c r="A4009">
        <v>4003</v>
      </c>
      <c r="B4009" t="s">
        <v>54</v>
      </c>
    </row>
    <row r="4010" spans="1:2" x14ac:dyDescent="0.2">
      <c r="A4010">
        <v>4004</v>
      </c>
      <c r="B4010" t="s">
        <v>54</v>
      </c>
    </row>
    <row r="4011" spans="1:2" x14ac:dyDescent="0.2">
      <c r="A4011">
        <v>4005</v>
      </c>
      <c r="B4011" t="s">
        <v>54</v>
      </c>
    </row>
    <row r="4012" spans="1:2" x14ac:dyDescent="0.2">
      <c r="A4012">
        <v>4006</v>
      </c>
      <c r="B4012" t="s">
        <v>54</v>
      </c>
    </row>
    <row r="4013" spans="1:2" x14ac:dyDescent="0.2">
      <c r="A4013">
        <v>4007</v>
      </c>
      <c r="B4013" t="s">
        <v>54</v>
      </c>
    </row>
    <row r="4014" spans="1:2" x14ac:dyDescent="0.2">
      <c r="A4014">
        <v>4008</v>
      </c>
      <c r="B4014" t="s">
        <v>54</v>
      </c>
    </row>
    <row r="4015" spans="1:2" x14ac:dyDescent="0.2">
      <c r="A4015">
        <v>4009</v>
      </c>
      <c r="B4015" t="s">
        <v>54</v>
      </c>
    </row>
    <row r="4016" spans="1:2" x14ac:dyDescent="0.2">
      <c r="A4016">
        <v>4010</v>
      </c>
      <c r="B4016" t="s">
        <v>54</v>
      </c>
    </row>
    <row r="4017" spans="1:2" x14ac:dyDescent="0.2">
      <c r="A4017">
        <v>4011</v>
      </c>
      <c r="B4017" t="s">
        <v>54</v>
      </c>
    </row>
    <row r="4018" spans="1:2" x14ac:dyDescent="0.2">
      <c r="A4018">
        <v>4012</v>
      </c>
      <c r="B4018" t="s">
        <v>54</v>
      </c>
    </row>
    <row r="4019" spans="1:2" x14ac:dyDescent="0.2">
      <c r="A4019">
        <v>4013</v>
      </c>
      <c r="B4019" t="s">
        <v>54</v>
      </c>
    </row>
    <row r="4020" spans="1:2" x14ac:dyDescent="0.2">
      <c r="A4020">
        <v>4014</v>
      </c>
      <c r="B4020" t="s">
        <v>54</v>
      </c>
    </row>
    <row r="4021" spans="1:2" x14ac:dyDescent="0.2">
      <c r="A4021">
        <v>4015</v>
      </c>
      <c r="B4021" t="s">
        <v>54</v>
      </c>
    </row>
    <row r="4022" spans="1:2" x14ac:dyDescent="0.2">
      <c r="A4022">
        <v>4016</v>
      </c>
      <c r="B4022" t="s">
        <v>54</v>
      </c>
    </row>
    <row r="4023" spans="1:2" x14ac:dyDescent="0.2">
      <c r="A4023">
        <v>4017</v>
      </c>
      <c r="B4023" t="s">
        <v>54</v>
      </c>
    </row>
    <row r="4024" spans="1:2" x14ac:dyDescent="0.2">
      <c r="A4024">
        <v>4018</v>
      </c>
      <c r="B4024" t="s">
        <v>54</v>
      </c>
    </row>
    <row r="4025" spans="1:2" x14ac:dyDescent="0.2">
      <c r="A4025">
        <v>4019</v>
      </c>
      <c r="B4025" t="s">
        <v>54</v>
      </c>
    </row>
    <row r="4026" spans="1:2" x14ac:dyDescent="0.2">
      <c r="A4026">
        <v>4020</v>
      </c>
      <c r="B4026" t="s">
        <v>54</v>
      </c>
    </row>
    <row r="4027" spans="1:2" x14ac:dyDescent="0.2">
      <c r="A4027">
        <v>4021</v>
      </c>
      <c r="B4027" t="s">
        <v>54</v>
      </c>
    </row>
    <row r="4028" spans="1:2" x14ac:dyDescent="0.2">
      <c r="A4028">
        <v>4022</v>
      </c>
      <c r="B4028" t="s">
        <v>54</v>
      </c>
    </row>
    <row r="4029" spans="1:2" x14ac:dyDescent="0.2">
      <c r="A4029">
        <v>4023</v>
      </c>
      <c r="B4029" t="s">
        <v>54</v>
      </c>
    </row>
    <row r="4030" spans="1:2" x14ac:dyDescent="0.2">
      <c r="A4030">
        <v>4024</v>
      </c>
      <c r="B4030" t="s">
        <v>54</v>
      </c>
    </row>
    <row r="4031" spans="1:2" x14ac:dyDescent="0.2">
      <c r="A4031">
        <v>4025</v>
      </c>
      <c r="B4031" t="s">
        <v>54</v>
      </c>
    </row>
    <row r="4032" spans="1:2" x14ac:dyDescent="0.2">
      <c r="A4032">
        <v>4026</v>
      </c>
      <c r="B4032" t="s">
        <v>54</v>
      </c>
    </row>
    <row r="4033" spans="1:2" x14ac:dyDescent="0.2">
      <c r="A4033">
        <v>4027</v>
      </c>
      <c r="B4033" t="s">
        <v>54</v>
      </c>
    </row>
    <row r="4034" spans="1:2" x14ac:dyDescent="0.2">
      <c r="A4034">
        <v>4028</v>
      </c>
      <c r="B4034" t="s">
        <v>54</v>
      </c>
    </row>
    <row r="4035" spans="1:2" x14ac:dyDescent="0.2">
      <c r="A4035">
        <v>4029</v>
      </c>
      <c r="B4035" t="s">
        <v>54</v>
      </c>
    </row>
    <row r="4036" spans="1:2" x14ac:dyDescent="0.2">
      <c r="A4036">
        <v>4030</v>
      </c>
      <c r="B4036" t="s">
        <v>54</v>
      </c>
    </row>
    <row r="4037" spans="1:2" x14ac:dyDescent="0.2">
      <c r="A4037">
        <v>4031</v>
      </c>
      <c r="B4037" t="s">
        <v>54</v>
      </c>
    </row>
    <row r="4038" spans="1:2" x14ac:dyDescent="0.2">
      <c r="A4038">
        <v>4032</v>
      </c>
      <c r="B4038" t="s">
        <v>54</v>
      </c>
    </row>
    <row r="4039" spans="1:2" x14ac:dyDescent="0.2">
      <c r="A4039">
        <v>4033</v>
      </c>
      <c r="B4039" t="s">
        <v>54</v>
      </c>
    </row>
    <row r="4040" spans="1:2" x14ac:dyDescent="0.2">
      <c r="A4040">
        <v>4034</v>
      </c>
      <c r="B4040" t="s">
        <v>54</v>
      </c>
    </row>
    <row r="4041" spans="1:2" x14ac:dyDescent="0.2">
      <c r="A4041">
        <v>4035</v>
      </c>
      <c r="B4041" t="s">
        <v>54</v>
      </c>
    </row>
    <row r="4042" spans="1:2" x14ac:dyDescent="0.2">
      <c r="A4042">
        <v>4036</v>
      </c>
      <c r="B4042" t="s">
        <v>54</v>
      </c>
    </row>
    <row r="4043" spans="1:2" x14ac:dyDescent="0.2">
      <c r="A4043">
        <v>4037</v>
      </c>
      <c r="B4043" t="s">
        <v>54</v>
      </c>
    </row>
    <row r="4044" spans="1:2" x14ac:dyDescent="0.2">
      <c r="A4044">
        <v>4038</v>
      </c>
      <c r="B4044" t="s">
        <v>54</v>
      </c>
    </row>
    <row r="4045" spans="1:2" x14ac:dyDescent="0.2">
      <c r="A4045">
        <v>4039</v>
      </c>
      <c r="B4045" t="s">
        <v>54</v>
      </c>
    </row>
    <row r="4046" spans="1:2" x14ac:dyDescent="0.2">
      <c r="A4046">
        <v>4040</v>
      </c>
      <c r="B4046" t="s">
        <v>54</v>
      </c>
    </row>
    <row r="4047" spans="1:2" x14ac:dyDescent="0.2">
      <c r="A4047">
        <v>4041</v>
      </c>
      <c r="B4047" t="s">
        <v>54</v>
      </c>
    </row>
    <row r="4048" spans="1:2" x14ac:dyDescent="0.2">
      <c r="A4048">
        <v>4042</v>
      </c>
      <c r="B4048" t="s">
        <v>54</v>
      </c>
    </row>
    <row r="4049" spans="1:2" x14ac:dyDescent="0.2">
      <c r="A4049">
        <v>4043</v>
      </c>
      <c r="B4049" t="s">
        <v>54</v>
      </c>
    </row>
    <row r="4050" spans="1:2" x14ac:dyDescent="0.2">
      <c r="A4050">
        <v>4044</v>
      </c>
      <c r="B4050" t="s">
        <v>54</v>
      </c>
    </row>
    <row r="4051" spans="1:2" x14ac:dyDescent="0.2">
      <c r="A4051">
        <v>4045</v>
      </c>
      <c r="B4051" t="s">
        <v>54</v>
      </c>
    </row>
    <row r="4052" spans="1:2" x14ac:dyDescent="0.2">
      <c r="A4052">
        <v>4046</v>
      </c>
      <c r="B4052" t="s">
        <v>54</v>
      </c>
    </row>
    <row r="4053" spans="1:2" x14ac:dyDescent="0.2">
      <c r="A4053">
        <v>4047</v>
      </c>
      <c r="B4053" t="s">
        <v>54</v>
      </c>
    </row>
    <row r="4054" spans="1:2" x14ac:dyDescent="0.2">
      <c r="A4054">
        <v>4048</v>
      </c>
      <c r="B4054" t="s">
        <v>54</v>
      </c>
    </row>
    <row r="4055" spans="1:2" x14ac:dyDescent="0.2">
      <c r="A4055">
        <v>4049</v>
      </c>
      <c r="B4055" t="s">
        <v>54</v>
      </c>
    </row>
    <row r="4056" spans="1:2" x14ac:dyDescent="0.2">
      <c r="A4056">
        <v>4050</v>
      </c>
      <c r="B4056" t="s">
        <v>54</v>
      </c>
    </row>
    <row r="4057" spans="1:2" x14ac:dyDescent="0.2">
      <c r="A4057">
        <v>4051</v>
      </c>
      <c r="B4057" t="s">
        <v>54</v>
      </c>
    </row>
    <row r="4058" spans="1:2" x14ac:dyDescent="0.2">
      <c r="A4058">
        <v>4052</v>
      </c>
      <c r="B4058" t="s">
        <v>54</v>
      </c>
    </row>
    <row r="4059" spans="1:2" x14ac:dyDescent="0.2">
      <c r="A4059">
        <v>4053</v>
      </c>
      <c r="B4059" t="s">
        <v>54</v>
      </c>
    </row>
    <row r="4060" spans="1:2" x14ac:dyDescent="0.2">
      <c r="A4060">
        <v>4054</v>
      </c>
      <c r="B4060" t="s">
        <v>54</v>
      </c>
    </row>
    <row r="4061" spans="1:2" x14ac:dyDescent="0.2">
      <c r="A4061">
        <v>4055</v>
      </c>
      <c r="B4061" t="s">
        <v>54</v>
      </c>
    </row>
    <row r="4062" spans="1:2" x14ac:dyDescent="0.2">
      <c r="A4062">
        <v>4056</v>
      </c>
      <c r="B4062" t="s">
        <v>54</v>
      </c>
    </row>
    <row r="4063" spans="1:2" x14ac:dyDescent="0.2">
      <c r="A4063">
        <v>4057</v>
      </c>
      <c r="B4063" t="s">
        <v>54</v>
      </c>
    </row>
    <row r="4064" spans="1:2" x14ac:dyDescent="0.2">
      <c r="A4064">
        <v>4058</v>
      </c>
      <c r="B4064" t="s">
        <v>54</v>
      </c>
    </row>
    <row r="4065" spans="1:2" x14ac:dyDescent="0.2">
      <c r="A4065">
        <v>4059</v>
      </c>
      <c r="B4065" t="s">
        <v>54</v>
      </c>
    </row>
    <row r="4066" spans="1:2" x14ac:dyDescent="0.2">
      <c r="A4066">
        <v>4060</v>
      </c>
      <c r="B4066" t="s">
        <v>54</v>
      </c>
    </row>
    <row r="4067" spans="1:2" x14ac:dyDescent="0.2">
      <c r="A4067">
        <v>4061</v>
      </c>
      <c r="B4067" t="s">
        <v>54</v>
      </c>
    </row>
    <row r="4068" spans="1:2" x14ac:dyDescent="0.2">
      <c r="A4068">
        <v>4062</v>
      </c>
      <c r="B4068" t="s">
        <v>54</v>
      </c>
    </row>
    <row r="4069" spans="1:2" x14ac:dyDescent="0.2">
      <c r="A4069">
        <v>4063</v>
      </c>
      <c r="B4069" t="s">
        <v>54</v>
      </c>
    </row>
    <row r="4070" spans="1:2" x14ac:dyDescent="0.2">
      <c r="A4070">
        <v>4064</v>
      </c>
      <c r="B4070" t="s">
        <v>54</v>
      </c>
    </row>
    <row r="4071" spans="1:2" x14ac:dyDescent="0.2">
      <c r="A4071">
        <v>4065</v>
      </c>
      <c r="B4071" t="s">
        <v>54</v>
      </c>
    </row>
    <row r="4072" spans="1:2" x14ac:dyDescent="0.2">
      <c r="A4072">
        <v>4066</v>
      </c>
      <c r="B4072" t="s">
        <v>54</v>
      </c>
    </row>
    <row r="4073" spans="1:2" x14ac:dyDescent="0.2">
      <c r="A4073">
        <v>4067</v>
      </c>
      <c r="B4073" t="s">
        <v>54</v>
      </c>
    </row>
    <row r="4074" spans="1:2" x14ac:dyDescent="0.2">
      <c r="A4074">
        <v>4068</v>
      </c>
      <c r="B4074" t="s">
        <v>54</v>
      </c>
    </row>
    <row r="4075" spans="1:2" x14ac:dyDescent="0.2">
      <c r="A4075">
        <v>4069</v>
      </c>
      <c r="B4075" t="s">
        <v>54</v>
      </c>
    </row>
    <row r="4076" spans="1:2" x14ac:dyDescent="0.2">
      <c r="A4076">
        <v>4070</v>
      </c>
      <c r="B4076" t="s">
        <v>54</v>
      </c>
    </row>
    <row r="4077" spans="1:2" x14ac:dyDescent="0.2">
      <c r="A4077">
        <v>4071</v>
      </c>
      <c r="B4077" t="s">
        <v>54</v>
      </c>
    </row>
    <row r="4078" spans="1:2" x14ac:dyDescent="0.2">
      <c r="A4078">
        <v>4072</v>
      </c>
      <c r="B4078" t="s">
        <v>54</v>
      </c>
    </row>
    <row r="4079" spans="1:2" x14ac:dyDescent="0.2">
      <c r="A4079">
        <v>4073</v>
      </c>
      <c r="B4079" t="s">
        <v>54</v>
      </c>
    </row>
    <row r="4080" spans="1:2" x14ac:dyDescent="0.2">
      <c r="A4080">
        <v>4074</v>
      </c>
      <c r="B4080" t="s">
        <v>54</v>
      </c>
    </row>
    <row r="4081" spans="1:2" x14ac:dyDescent="0.2">
      <c r="A4081">
        <v>4075</v>
      </c>
      <c r="B4081" t="s">
        <v>54</v>
      </c>
    </row>
    <row r="4082" spans="1:2" x14ac:dyDescent="0.2">
      <c r="A4082">
        <v>4076</v>
      </c>
      <c r="B4082" t="s">
        <v>54</v>
      </c>
    </row>
    <row r="4083" spans="1:2" x14ac:dyDescent="0.2">
      <c r="A4083">
        <v>4077</v>
      </c>
      <c r="B4083" t="s">
        <v>54</v>
      </c>
    </row>
    <row r="4084" spans="1:2" x14ac:dyDescent="0.2">
      <c r="A4084">
        <v>4078</v>
      </c>
      <c r="B4084" t="s">
        <v>54</v>
      </c>
    </row>
    <row r="4085" spans="1:2" x14ac:dyDescent="0.2">
      <c r="A4085">
        <v>4079</v>
      </c>
      <c r="B4085" t="s">
        <v>54</v>
      </c>
    </row>
    <row r="4086" spans="1:2" x14ac:dyDescent="0.2">
      <c r="A4086">
        <v>4080</v>
      </c>
      <c r="B4086" t="s">
        <v>54</v>
      </c>
    </row>
    <row r="4087" spans="1:2" x14ac:dyDescent="0.2">
      <c r="A4087">
        <v>4081</v>
      </c>
      <c r="B4087" t="s">
        <v>54</v>
      </c>
    </row>
    <row r="4088" spans="1:2" x14ac:dyDescent="0.2">
      <c r="A4088">
        <v>4082</v>
      </c>
      <c r="B4088" t="s">
        <v>54</v>
      </c>
    </row>
    <row r="4089" spans="1:2" x14ac:dyDescent="0.2">
      <c r="A4089">
        <v>4083</v>
      </c>
      <c r="B4089" t="s">
        <v>54</v>
      </c>
    </row>
    <row r="4090" spans="1:2" x14ac:dyDescent="0.2">
      <c r="A4090">
        <v>4084</v>
      </c>
      <c r="B4090" t="s">
        <v>54</v>
      </c>
    </row>
    <row r="4091" spans="1:2" x14ac:dyDescent="0.2">
      <c r="A4091">
        <v>4085</v>
      </c>
      <c r="B4091" t="s">
        <v>54</v>
      </c>
    </row>
    <row r="4092" spans="1:2" x14ac:dyDescent="0.2">
      <c r="A4092">
        <v>4086</v>
      </c>
      <c r="B4092" t="s">
        <v>54</v>
      </c>
    </row>
    <row r="4093" spans="1:2" x14ac:dyDescent="0.2">
      <c r="A4093">
        <v>4087</v>
      </c>
      <c r="B4093" t="s">
        <v>54</v>
      </c>
    </row>
    <row r="4094" spans="1:2" x14ac:dyDescent="0.2">
      <c r="A4094">
        <v>4088</v>
      </c>
      <c r="B4094" t="s">
        <v>54</v>
      </c>
    </row>
    <row r="4095" spans="1:2" x14ac:dyDescent="0.2">
      <c r="A4095">
        <v>4089</v>
      </c>
      <c r="B4095" t="s">
        <v>54</v>
      </c>
    </row>
    <row r="4096" spans="1:2" x14ac:dyDescent="0.2">
      <c r="A4096">
        <v>4090</v>
      </c>
      <c r="B4096" t="s">
        <v>54</v>
      </c>
    </row>
    <row r="4097" spans="1:2" x14ac:dyDescent="0.2">
      <c r="A4097">
        <v>4091</v>
      </c>
      <c r="B4097" t="s">
        <v>54</v>
      </c>
    </row>
    <row r="4098" spans="1:2" x14ac:dyDescent="0.2">
      <c r="A4098">
        <v>4092</v>
      </c>
      <c r="B4098" t="s">
        <v>54</v>
      </c>
    </row>
    <row r="4099" spans="1:2" x14ac:dyDescent="0.2">
      <c r="A4099">
        <v>4093</v>
      </c>
      <c r="B4099" t="s">
        <v>54</v>
      </c>
    </row>
    <row r="4100" spans="1:2" x14ac:dyDescent="0.2">
      <c r="A4100">
        <v>4094</v>
      </c>
      <c r="B4100" t="s">
        <v>54</v>
      </c>
    </row>
    <row r="4101" spans="1:2" x14ac:dyDescent="0.2">
      <c r="A4101">
        <v>4095</v>
      </c>
      <c r="B4101" t="s">
        <v>54</v>
      </c>
    </row>
    <row r="4102" spans="1:2" x14ac:dyDescent="0.2">
      <c r="A4102">
        <v>4096</v>
      </c>
      <c r="B4102" t="s">
        <v>54</v>
      </c>
    </row>
    <row r="4103" spans="1:2" x14ac:dyDescent="0.2">
      <c r="A4103">
        <v>4097</v>
      </c>
      <c r="B4103" t="s">
        <v>54</v>
      </c>
    </row>
    <row r="4104" spans="1:2" x14ac:dyDescent="0.2">
      <c r="A4104">
        <v>4098</v>
      </c>
      <c r="B4104" t="s">
        <v>54</v>
      </c>
    </row>
    <row r="4105" spans="1:2" x14ac:dyDescent="0.2">
      <c r="A4105">
        <v>4099</v>
      </c>
      <c r="B4105" t="s">
        <v>54</v>
      </c>
    </row>
    <row r="4106" spans="1:2" x14ac:dyDescent="0.2">
      <c r="A4106">
        <v>4100</v>
      </c>
      <c r="B4106" t="s">
        <v>54</v>
      </c>
    </row>
    <row r="4107" spans="1:2" x14ac:dyDescent="0.2">
      <c r="A4107">
        <v>4101</v>
      </c>
      <c r="B4107" t="s">
        <v>54</v>
      </c>
    </row>
    <row r="4108" spans="1:2" x14ac:dyDescent="0.2">
      <c r="A4108">
        <v>4102</v>
      </c>
      <c r="B4108" t="s">
        <v>54</v>
      </c>
    </row>
    <row r="4109" spans="1:2" x14ac:dyDescent="0.2">
      <c r="A4109">
        <v>4103</v>
      </c>
      <c r="B4109" t="s">
        <v>54</v>
      </c>
    </row>
    <row r="4110" spans="1:2" x14ac:dyDescent="0.2">
      <c r="A4110">
        <v>4104</v>
      </c>
      <c r="B4110" t="s">
        <v>54</v>
      </c>
    </row>
    <row r="4111" spans="1:2" x14ac:dyDescent="0.2">
      <c r="A4111">
        <v>4105</v>
      </c>
      <c r="B4111" t="s">
        <v>54</v>
      </c>
    </row>
    <row r="4112" spans="1:2" x14ac:dyDescent="0.2">
      <c r="A4112">
        <v>4106</v>
      </c>
      <c r="B4112" t="s">
        <v>54</v>
      </c>
    </row>
    <row r="4113" spans="1:2" x14ac:dyDescent="0.2">
      <c r="A4113">
        <v>4107</v>
      </c>
      <c r="B4113" t="s">
        <v>54</v>
      </c>
    </row>
    <row r="4114" spans="1:2" x14ac:dyDescent="0.2">
      <c r="A4114">
        <v>4108</v>
      </c>
      <c r="B4114" t="s">
        <v>54</v>
      </c>
    </row>
    <row r="4115" spans="1:2" x14ac:dyDescent="0.2">
      <c r="A4115">
        <v>4109</v>
      </c>
      <c r="B4115" t="s">
        <v>54</v>
      </c>
    </row>
    <row r="4116" spans="1:2" x14ac:dyDescent="0.2">
      <c r="A4116">
        <v>4110</v>
      </c>
      <c r="B4116" t="s">
        <v>54</v>
      </c>
    </row>
    <row r="4117" spans="1:2" x14ac:dyDescent="0.2">
      <c r="A4117">
        <v>4111</v>
      </c>
      <c r="B4117" t="s">
        <v>54</v>
      </c>
    </row>
    <row r="4118" spans="1:2" x14ac:dyDescent="0.2">
      <c r="A4118">
        <v>4112</v>
      </c>
      <c r="B4118" t="s">
        <v>54</v>
      </c>
    </row>
    <row r="4119" spans="1:2" x14ac:dyDescent="0.2">
      <c r="A4119">
        <v>4113</v>
      </c>
      <c r="B4119" t="s">
        <v>54</v>
      </c>
    </row>
    <row r="4120" spans="1:2" x14ac:dyDescent="0.2">
      <c r="A4120">
        <v>4114</v>
      </c>
      <c r="B4120" t="s">
        <v>54</v>
      </c>
    </row>
    <row r="4121" spans="1:2" x14ac:dyDescent="0.2">
      <c r="A4121">
        <v>4115</v>
      </c>
      <c r="B4121" t="s">
        <v>54</v>
      </c>
    </row>
    <row r="4122" spans="1:2" x14ac:dyDescent="0.2">
      <c r="A4122">
        <v>4116</v>
      </c>
      <c r="B4122" t="s">
        <v>54</v>
      </c>
    </row>
    <row r="4123" spans="1:2" x14ac:dyDescent="0.2">
      <c r="A4123">
        <v>4117</v>
      </c>
      <c r="B4123" t="s">
        <v>54</v>
      </c>
    </row>
    <row r="4124" spans="1:2" x14ac:dyDescent="0.2">
      <c r="A4124">
        <v>4118</v>
      </c>
      <c r="B4124" t="s">
        <v>54</v>
      </c>
    </row>
    <row r="4125" spans="1:2" x14ac:dyDescent="0.2">
      <c r="A4125">
        <v>4119</v>
      </c>
      <c r="B4125" t="s">
        <v>54</v>
      </c>
    </row>
    <row r="4126" spans="1:2" x14ac:dyDescent="0.2">
      <c r="A4126">
        <v>4120</v>
      </c>
      <c r="B4126" t="s">
        <v>54</v>
      </c>
    </row>
    <row r="4127" spans="1:2" x14ac:dyDescent="0.2">
      <c r="A4127">
        <v>4121</v>
      </c>
      <c r="B4127" t="s">
        <v>54</v>
      </c>
    </row>
    <row r="4128" spans="1:2" x14ac:dyDescent="0.2">
      <c r="A4128">
        <v>4122</v>
      </c>
      <c r="B4128" t="s">
        <v>54</v>
      </c>
    </row>
    <row r="4129" spans="1:2" x14ac:dyDescent="0.2">
      <c r="A4129">
        <v>4123</v>
      </c>
      <c r="B4129" t="s">
        <v>54</v>
      </c>
    </row>
    <row r="4130" spans="1:2" x14ac:dyDescent="0.2">
      <c r="A4130">
        <v>4124</v>
      </c>
      <c r="B4130" t="s">
        <v>54</v>
      </c>
    </row>
    <row r="4131" spans="1:2" x14ac:dyDescent="0.2">
      <c r="A4131">
        <v>4125</v>
      </c>
      <c r="B4131" t="s">
        <v>54</v>
      </c>
    </row>
    <row r="4132" spans="1:2" x14ac:dyDescent="0.2">
      <c r="A4132">
        <v>4126</v>
      </c>
      <c r="B4132" t="s">
        <v>54</v>
      </c>
    </row>
    <row r="4133" spans="1:2" x14ac:dyDescent="0.2">
      <c r="A4133">
        <v>4127</v>
      </c>
      <c r="B4133" t="s">
        <v>54</v>
      </c>
    </row>
    <row r="4134" spans="1:2" x14ac:dyDescent="0.2">
      <c r="A4134">
        <v>4128</v>
      </c>
      <c r="B4134" t="s">
        <v>54</v>
      </c>
    </row>
    <row r="4135" spans="1:2" x14ac:dyDescent="0.2">
      <c r="A4135">
        <v>4129</v>
      </c>
      <c r="B4135" t="s">
        <v>54</v>
      </c>
    </row>
    <row r="4136" spans="1:2" x14ac:dyDescent="0.2">
      <c r="A4136">
        <v>4130</v>
      </c>
      <c r="B4136" t="s">
        <v>54</v>
      </c>
    </row>
    <row r="4137" spans="1:2" x14ac:dyDescent="0.2">
      <c r="A4137">
        <v>4131</v>
      </c>
      <c r="B4137" t="s">
        <v>54</v>
      </c>
    </row>
    <row r="4138" spans="1:2" x14ac:dyDescent="0.2">
      <c r="A4138">
        <v>4132</v>
      </c>
      <c r="B4138" t="s">
        <v>54</v>
      </c>
    </row>
    <row r="4139" spans="1:2" x14ac:dyDescent="0.2">
      <c r="A4139">
        <v>4133</v>
      </c>
      <c r="B4139" t="s">
        <v>54</v>
      </c>
    </row>
    <row r="4140" spans="1:2" x14ac:dyDescent="0.2">
      <c r="A4140">
        <v>4134</v>
      </c>
      <c r="B4140" t="s">
        <v>54</v>
      </c>
    </row>
    <row r="4141" spans="1:2" x14ac:dyDescent="0.2">
      <c r="A4141">
        <v>4135</v>
      </c>
      <c r="B4141" t="s">
        <v>54</v>
      </c>
    </row>
    <row r="4142" spans="1:2" x14ac:dyDescent="0.2">
      <c r="A4142">
        <v>4136</v>
      </c>
      <c r="B4142" t="s">
        <v>54</v>
      </c>
    </row>
    <row r="4143" spans="1:2" x14ac:dyDescent="0.2">
      <c r="A4143">
        <v>4137</v>
      </c>
      <c r="B4143" t="s">
        <v>54</v>
      </c>
    </row>
    <row r="4144" spans="1:2" x14ac:dyDescent="0.2">
      <c r="A4144">
        <v>4138</v>
      </c>
      <c r="B4144" t="s">
        <v>54</v>
      </c>
    </row>
    <row r="4145" spans="1:2" x14ac:dyDescent="0.2">
      <c r="A4145">
        <v>4139</v>
      </c>
      <c r="B4145" t="s">
        <v>54</v>
      </c>
    </row>
    <row r="4146" spans="1:2" x14ac:dyDescent="0.2">
      <c r="A4146">
        <v>4140</v>
      </c>
      <c r="B4146" t="s">
        <v>54</v>
      </c>
    </row>
    <row r="4147" spans="1:2" x14ac:dyDescent="0.2">
      <c r="A4147">
        <v>4141</v>
      </c>
      <c r="B4147" t="s">
        <v>54</v>
      </c>
    </row>
    <row r="4148" spans="1:2" x14ac:dyDescent="0.2">
      <c r="A4148">
        <v>4142</v>
      </c>
      <c r="B4148" t="s">
        <v>54</v>
      </c>
    </row>
    <row r="4149" spans="1:2" x14ac:dyDescent="0.2">
      <c r="A4149">
        <v>4143</v>
      </c>
      <c r="B4149" t="s">
        <v>54</v>
      </c>
    </row>
    <row r="4150" spans="1:2" x14ac:dyDescent="0.2">
      <c r="A4150">
        <v>4144</v>
      </c>
      <c r="B4150" t="s">
        <v>54</v>
      </c>
    </row>
    <row r="4151" spans="1:2" x14ac:dyDescent="0.2">
      <c r="A4151">
        <v>4145</v>
      </c>
      <c r="B4151" t="s">
        <v>54</v>
      </c>
    </row>
    <row r="4152" spans="1:2" x14ac:dyDescent="0.2">
      <c r="A4152">
        <v>4146</v>
      </c>
      <c r="B4152" t="s">
        <v>54</v>
      </c>
    </row>
    <row r="4153" spans="1:2" x14ac:dyDescent="0.2">
      <c r="A4153">
        <v>4147</v>
      </c>
      <c r="B4153" t="s">
        <v>54</v>
      </c>
    </row>
    <row r="4154" spans="1:2" x14ac:dyDescent="0.2">
      <c r="A4154">
        <v>4148</v>
      </c>
      <c r="B4154" t="s">
        <v>54</v>
      </c>
    </row>
    <row r="4155" spans="1:2" x14ac:dyDescent="0.2">
      <c r="A4155">
        <v>4149</v>
      </c>
      <c r="B4155" t="s">
        <v>54</v>
      </c>
    </row>
    <row r="4156" spans="1:2" x14ac:dyDescent="0.2">
      <c r="A4156">
        <v>4150</v>
      </c>
      <c r="B4156" t="s">
        <v>54</v>
      </c>
    </row>
    <row r="4157" spans="1:2" x14ac:dyDescent="0.2">
      <c r="A4157">
        <v>4151</v>
      </c>
      <c r="B4157" t="s">
        <v>54</v>
      </c>
    </row>
    <row r="4158" spans="1:2" x14ac:dyDescent="0.2">
      <c r="A4158">
        <v>4152</v>
      </c>
      <c r="B4158" t="s">
        <v>54</v>
      </c>
    </row>
    <row r="4159" spans="1:2" x14ac:dyDescent="0.2">
      <c r="A4159">
        <v>4153</v>
      </c>
      <c r="B4159" t="s">
        <v>54</v>
      </c>
    </row>
    <row r="4160" spans="1:2" x14ac:dyDescent="0.2">
      <c r="A4160">
        <v>4154</v>
      </c>
      <c r="B4160" t="s">
        <v>54</v>
      </c>
    </row>
    <row r="4161" spans="1:2" x14ac:dyDescent="0.2">
      <c r="A4161">
        <v>4155</v>
      </c>
      <c r="B4161" t="s">
        <v>54</v>
      </c>
    </row>
    <row r="4162" spans="1:2" x14ac:dyDescent="0.2">
      <c r="A4162">
        <v>4156</v>
      </c>
      <c r="B4162" t="s">
        <v>54</v>
      </c>
    </row>
    <row r="4163" spans="1:2" x14ac:dyDescent="0.2">
      <c r="A4163">
        <v>4157</v>
      </c>
      <c r="B4163" t="s">
        <v>54</v>
      </c>
    </row>
    <row r="4164" spans="1:2" x14ac:dyDescent="0.2">
      <c r="A4164">
        <v>4158</v>
      </c>
      <c r="B4164" t="s">
        <v>54</v>
      </c>
    </row>
    <row r="4165" spans="1:2" x14ac:dyDescent="0.2">
      <c r="A4165">
        <v>4159</v>
      </c>
      <c r="B4165" t="s">
        <v>54</v>
      </c>
    </row>
    <row r="4166" spans="1:2" x14ac:dyDescent="0.2">
      <c r="A4166">
        <v>4160</v>
      </c>
      <c r="B4166" t="s">
        <v>54</v>
      </c>
    </row>
    <row r="4167" spans="1:2" x14ac:dyDescent="0.2">
      <c r="A4167">
        <v>4161</v>
      </c>
      <c r="B4167" t="s">
        <v>54</v>
      </c>
    </row>
    <row r="4168" spans="1:2" x14ac:dyDescent="0.2">
      <c r="A4168">
        <v>4162</v>
      </c>
      <c r="B4168" t="s">
        <v>54</v>
      </c>
    </row>
    <row r="4169" spans="1:2" x14ac:dyDescent="0.2">
      <c r="A4169">
        <v>4163</v>
      </c>
      <c r="B4169" t="s">
        <v>54</v>
      </c>
    </row>
    <row r="4170" spans="1:2" x14ac:dyDescent="0.2">
      <c r="A4170">
        <v>4164</v>
      </c>
      <c r="B4170" t="s">
        <v>54</v>
      </c>
    </row>
    <row r="4171" spans="1:2" x14ac:dyDescent="0.2">
      <c r="A4171">
        <v>4165</v>
      </c>
      <c r="B4171" t="s">
        <v>54</v>
      </c>
    </row>
    <row r="4172" spans="1:2" x14ac:dyDescent="0.2">
      <c r="A4172">
        <v>4166</v>
      </c>
      <c r="B4172" t="s">
        <v>54</v>
      </c>
    </row>
    <row r="4173" spans="1:2" x14ac:dyDescent="0.2">
      <c r="A4173">
        <v>4167</v>
      </c>
      <c r="B4173" t="s">
        <v>54</v>
      </c>
    </row>
    <row r="4174" spans="1:2" x14ac:dyDescent="0.2">
      <c r="A4174">
        <v>4168</v>
      </c>
      <c r="B4174" t="s">
        <v>54</v>
      </c>
    </row>
    <row r="4175" spans="1:2" x14ac:dyDescent="0.2">
      <c r="A4175">
        <v>4169</v>
      </c>
      <c r="B4175" t="s">
        <v>54</v>
      </c>
    </row>
    <row r="4176" spans="1:2" x14ac:dyDescent="0.2">
      <c r="A4176">
        <v>4170</v>
      </c>
      <c r="B4176" t="s">
        <v>54</v>
      </c>
    </row>
    <row r="4177" spans="1:2" x14ac:dyDescent="0.2">
      <c r="A4177">
        <v>4171</v>
      </c>
      <c r="B4177" t="s">
        <v>54</v>
      </c>
    </row>
    <row r="4178" spans="1:2" x14ac:dyDescent="0.2">
      <c r="A4178">
        <v>4172</v>
      </c>
      <c r="B4178" t="s">
        <v>54</v>
      </c>
    </row>
    <row r="4179" spans="1:2" x14ac:dyDescent="0.2">
      <c r="A4179">
        <v>4173</v>
      </c>
      <c r="B4179" t="s">
        <v>54</v>
      </c>
    </row>
    <row r="4180" spans="1:2" x14ac:dyDescent="0.2">
      <c r="A4180">
        <v>4174</v>
      </c>
      <c r="B4180" t="s">
        <v>54</v>
      </c>
    </row>
    <row r="4181" spans="1:2" x14ac:dyDescent="0.2">
      <c r="A4181">
        <v>4175</v>
      </c>
      <c r="B4181" t="s">
        <v>54</v>
      </c>
    </row>
    <row r="4182" spans="1:2" x14ac:dyDescent="0.2">
      <c r="A4182">
        <v>4176</v>
      </c>
      <c r="B4182" t="s">
        <v>54</v>
      </c>
    </row>
    <row r="4183" spans="1:2" x14ac:dyDescent="0.2">
      <c r="A4183">
        <v>4177</v>
      </c>
      <c r="B4183" t="s">
        <v>54</v>
      </c>
    </row>
    <row r="4184" spans="1:2" x14ac:dyDescent="0.2">
      <c r="A4184">
        <v>4178</v>
      </c>
      <c r="B4184" t="s">
        <v>54</v>
      </c>
    </row>
    <row r="4185" spans="1:2" x14ac:dyDescent="0.2">
      <c r="A4185">
        <v>4179</v>
      </c>
      <c r="B4185" t="s">
        <v>54</v>
      </c>
    </row>
    <row r="4186" spans="1:2" x14ac:dyDescent="0.2">
      <c r="A4186">
        <v>4180</v>
      </c>
      <c r="B4186" t="s">
        <v>54</v>
      </c>
    </row>
    <row r="4187" spans="1:2" x14ac:dyDescent="0.2">
      <c r="A4187">
        <v>4181</v>
      </c>
      <c r="B4187" t="s">
        <v>54</v>
      </c>
    </row>
    <row r="4188" spans="1:2" x14ac:dyDescent="0.2">
      <c r="A4188">
        <v>4182</v>
      </c>
      <c r="B4188" t="s">
        <v>54</v>
      </c>
    </row>
    <row r="4189" spans="1:2" x14ac:dyDescent="0.2">
      <c r="A4189">
        <v>4183</v>
      </c>
      <c r="B4189" t="s">
        <v>54</v>
      </c>
    </row>
    <row r="4190" spans="1:2" x14ac:dyDescent="0.2">
      <c r="A4190">
        <v>4184</v>
      </c>
      <c r="B4190" t="s">
        <v>54</v>
      </c>
    </row>
    <row r="4191" spans="1:2" x14ac:dyDescent="0.2">
      <c r="A4191">
        <v>4185</v>
      </c>
      <c r="B4191" t="s">
        <v>54</v>
      </c>
    </row>
    <row r="4192" spans="1:2" x14ac:dyDescent="0.2">
      <c r="A4192">
        <v>4186</v>
      </c>
      <c r="B4192" t="s">
        <v>54</v>
      </c>
    </row>
    <row r="4193" spans="1:2" x14ac:dyDescent="0.2">
      <c r="A4193">
        <v>4187</v>
      </c>
      <c r="B4193" t="s">
        <v>54</v>
      </c>
    </row>
    <row r="4194" spans="1:2" x14ac:dyDescent="0.2">
      <c r="A4194">
        <v>4188</v>
      </c>
      <c r="B4194" t="s">
        <v>54</v>
      </c>
    </row>
    <row r="4195" spans="1:2" x14ac:dyDescent="0.2">
      <c r="A4195">
        <v>4189</v>
      </c>
      <c r="B4195" t="s">
        <v>54</v>
      </c>
    </row>
    <row r="4196" spans="1:2" x14ac:dyDescent="0.2">
      <c r="A4196">
        <v>4190</v>
      </c>
      <c r="B4196" t="s">
        <v>54</v>
      </c>
    </row>
    <row r="4197" spans="1:2" x14ac:dyDescent="0.2">
      <c r="A4197">
        <v>4191</v>
      </c>
      <c r="B4197" t="s">
        <v>54</v>
      </c>
    </row>
    <row r="4198" spans="1:2" x14ac:dyDescent="0.2">
      <c r="A4198">
        <v>4192</v>
      </c>
      <c r="B4198" t="s">
        <v>54</v>
      </c>
    </row>
    <row r="4199" spans="1:2" x14ac:dyDescent="0.2">
      <c r="A4199">
        <v>4193</v>
      </c>
      <c r="B4199" t="s">
        <v>54</v>
      </c>
    </row>
    <row r="4200" spans="1:2" x14ac:dyDescent="0.2">
      <c r="A4200">
        <v>4194</v>
      </c>
      <c r="B4200" t="s">
        <v>54</v>
      </c>
    </row>
    <row r="4201" spans="1:2" x14ac:dyDescent="0.2">
      <c r="A4201">
        <v>4195</v>
      </c>
      <c r="B4201" t="s">
        <v>54</v>
      </c>
    </row>
    <row r="4202" spans="1:2" x14ac:dyDescent="0.2">
      <c r="A4202">
        <v>4196</v>
      </c>
      <c r="B4202" t="s">
        <v>54</v>
      </c>
    </row>
    <row r="4203" spans="1:2" x14ac:dyDescent="0.2">
      <c r="A4203">
        <v>4197</v>
      </c>
      <c r="B4203" t="s">
        <v>54</v>
      </c>
    </row>
    <row r="4204" spans="1:2" x14ac:dyDescent="0.2">
      <c r="A4204">
        <v>4198</v>
      </c>
      <c r="B4204" t="s">
        <v>54</v>
      </c>
    </row>
    <row r="4205" spans="1:2" x14ac:dyDescent="0.2">
      <c r="A4205">
        <v>4199</v>
      </c>
      <c r="B4205" t="s">
        <v>54</v>
      </c>
    </row>
    <row r="4206" spans="1:2" x14ac:dyDescent="0.2">
      <c r="A4206">
        <v>4200</v>
      </c>
      <c r="B4206" t="s">
        <v>54</v>
      </c>
    </row>
    <row r="4207" spans="1:2" x14ac:dyDescent="0.2">
      <c r="A4207">
        <v>4201</v>
      </c>
      <c r="B4207" t="s">
        <v>54</v>
      </c>
    </row>
    <row r="4208" spans="1:2" x14ac:dyDescent="0.2">
      <c r="A4208">
        <v>4202</v>
      </c>
      <c r="B4208" t="s">
        <v>54</v>
      </c>
    </row>
    <row r="4209" spans="1:2" x14ac:dyDescent="0.2">
      <c r="A4209">
        <v>4203</v>
      </c>
      <c r="B4209" t="s">
        <v>54</v>
      </c>
    </row>
    <row r="4210" spans="1:2" x14ac:dyDescent="0.2">
      <c r="A4210">
        <v>4204</v>
      </c>
      <c r="B4210" t="s">
        <v>54</v>
      </c>
    </row>
    <row r="4211" spans="1:2" x14ac:dyDescent="0.2">
      <c r="A4211">
        <v>4205</v>
      </c>
      <c r="B4211" t="s">
        <v>54</v>
      </c>
    </row>
    <row r="4212" spans="1:2" x14ac:dyDescent="0.2">
      <c r="A4212">
        <v>4206</v>
      </c>
      <c r="B4212" t="s">
        <v>54</v>
      </c>
    </row>
    <row r="4213" spans="1:2" x14ac:dyDescent="0.2">
      <c r="A4213">
        <v>4207</v>
      </c>
      <c r="B4213" t="s">
        <v>54</v>
      </c>
    </row>
    <row r="4214" spans="1:2" x14ac:dyDescent="0.2">
      <c r="A4214">
        <v>4208</v>
      </c>
      <c r="B4214" t="s">
        <v>54</v>
      </c>
    </row>
    <row r="4215" spans="1:2" x14ac:dyDescent="0.2">
      <c r="A4215">
        <v>4209</v>
      </c>
      <c r="B4215" t="s">
        <v>54</v>
      </c>
    </row>
    <row r="4216" spans="1:2" x14ac:dyDescent="0.2">
      <c r="A4216">
        <v>4210</v>
      </c>
      <c r="B4216" t="s">
        <v>54</v>
      </c>
    </row>
    <row r="4217" spans="1:2" x14ac:dyDescent="0.2">
      <c r="A4217">
        <v>4211</v>
      </c>
      <c r="B4217" t="s">
        <v>54</v>
      </c>
    </row>
    <row r="4218" spans="1:2" x14ac:dyDescent="0.2">
      <c r="A4218">
        <v>4212</v>
      </c>
      <c r="B4218" t="s">
        <v>54</v>
      </c>
    </row>
    <row r="4219" spans="1:2" x14ac:dyDescent="0.2">
      <c r="A4219">
        <v>4213</v>
      </c>
      <c r="B4219" t="s">
        <v>54</v>
      </c>
    </row>
    <row r="4220" spans="1:2" x14ac:dyDescent="0.2">
      <c r="A4220">
        <v>4214</v>
      </c>
      <c r="B4220" t="s">
        <v>54</v>
      </c>
    </row>
    <row r="4221" spans="1:2" x14ac:dyDescent="0.2">
      <c r="A4221">
        <v>4215</v>
      </c>
      <c r="B4221" t="s">
        <v>54</v>
      </c>
    </row>
    <row r="4222" spans="1:2" x14ac:dyDescent="0.2">
      <c r="A4222">
        <v>4216</v>
      </c>
      <c r="B4222" t="s">
        <v>54</v>
      </c>
    </row>
    <row r="4223" spans="1:2" x14ac:dyDescent="0.2">
      <c r="A4223">
        <v>4217</v>
      </c>
      <c r="B4223" t="s">
        <v>54</v>
      </c>
    </row>
    <row r="4224" spans="1:2" x14ac:dyDescent="0.2">
      <c r="A4224">
        <v>4218</v>
      </c>
      <c r="B4224" t="s">
        <v>54</v>
      </c>
    </row>
    <row r="4225" spans="1:2" x14ac:dyDescent="0.2">
      <c r="A4225">
        <v>4219</v>
      </c>
      <c r="B4225" t="s">
        <v>54</v>
      </c>
    </row>
    <row r="4226" spans="1:2" x14ac:dyDescent="0.2">
      <c r="A4226">
        <v>4220</v>
      </c>
      <c r="B4226" t="s">
        <v>54</v>
      </c>
    </row>
    <row r="4227" spans="1:2" x14ac:dyDescent="0.2">
      <c r="A4227">
        <v>4221</v>
      </c>
      <c r="B4227" t="s">
        <v>54</v>
      </c>
    </row>
    <row r="4228" spans="1:2" x14ac:dyDescent="0.2">
      <c r="A4228">
        <v>4222</v>
      </c>
      <c r="B4228" t="s">
        <v>54</v>
      </c>
    </row>
    <row r="4229" spans="1:2" x14ac:dyDescent="0.2">
      <c r="A4229">
        <v>4223</v>
      </c>
      <c r="B4229" t="s">
        <v>54</v>
      </c>
    </row>
    <row r="4230" spans="1:2" x14ac:dyDescent="0.2">
      <c r="A4230">
        <v>4224</v>
      </c>
      <c r="B4230" t="s">
        <v>54</v>
      </c>
    </row>
    <row r="4231" spans="1:2" x14ac:dyDescent="0.2">
      <c r="A4231">
        <v>4225</v>
      </c>
      <c r="B4231" t="s">
        <v>54</v>
      </c>
    </row>
    <row r="4232" spans="1:2" x14ac:dyDescent="0.2">
      <c r="A4232">
        <v>4226</v>
      </c>
      <c r="B4232" t="s">
        <v>54</v>
      </c>
    </row>
    <row r="4233" spans="1:2" x14ac:dyDescent="0.2">
      <c r="A4233">
        <v>4227</v>
      </c>
      <c r="B4233" t="s">
        <v>54</v>
      </c>
    </row>
    <row r="4234" spans="1:2" x14ac:dyDescent="0.2">
      <c r="A4234">
        <v>4228</v>
      </c>
      <c r="B4234" t="s">
        <v>54</v>
      </c>
    </row>
    <row r="4235" spans="1:2" x14ac:dyDescent="0.2">
      <c r="A4235">
        <v>4229</v>
      </c>
      <c r="B4235" t="s">
        <v>54</v>
      </c>
    </row>
    <row r="4236" spans="1:2" x14ac:dyDescent="0.2">
      <c r="A4236">
        <v>4230</v>
      </c>
      <c r="B4236" t="s">
        <v>54</v>
      </c>
    </row>
    <row r="4237" spans="1:2" x14ac:dyDescent="0.2">
      <c r="A4237">
        <v>4231</v>
      </c>
      <c r="B4237" t="s">
        <v>54</v>
      </c>
    </row>
    <row r="4238" spans="1:2" x14ac:dyDescent="0.2">
      <c r="A4238">
        <v>4232</v>
      </c>
      <c r="B4238" t="s">
        <v>54</v>
      </c>
    </row>
    <row r="4239" spans="1:2" x14ac:dyDescent="0.2">
      <c r="A4239">
        <v>4233</v>
      </c>
      <c r="B4239" t="s">
        <v>54</v>
      </c>
    </row>
    <row r="4240" spans="1:2" x14ac:dyDescent="0.2">
      <c r="A4240">
        <v>4234</v>
      </c>
      <c r="B4240" t="s">
        <v>54</v>
      </c>
    </row>
    <row r="4241" spans="1:2" x14ac:dyDescent="0.2">
      <c r="A4241">
        <v>4235</v>
      </c>
      <c r="B4241" t="s">
        <v>54</v>
      </c>
    </row>
    <row r="4242" spans="1:2" x14ac:dyDescent="0.2">
      <c r="A4242">
        <v>4236</v>
      </c>
      <c r="B4242" t="s">
        <v>54</v>
      </c>
    </row>
    <row r="4243" spans="1:2" x14ac:dyDescent="0.2">
      <c r="A4243">
        <v>4237</v>
      </c>
      <c r="B4243" t="s">
        <v>54</v>
      </c>
    </row>
    <row r="4244" spans="1:2" x14ac:dyDescent="0.2">
      <c r="A4244">
        <v>4238</v>
      </c>
      <c r="B4244" t="s">
        <v>54</v>
      </c>
    </row>
    <row r="4245" spans="1:2" x14ac:dyDescent="0.2">
      <c r="A4245">
        <v>4239</v>
      </c>
      <c r="B4245" t="s">
        <v>54</v>
      </c>
    </row>
    <row r="4246" spans="1:2" x14ac:dyDescent="0.2">
      <c r="A4246">
        <v>4240</v>
      </c>
      <c r="B4246" t="s">
        <v>54</v>
      </c>
    </row>
    <row r="4247" spans="1:2" x14ac:dyDescent="0.2">
      <c r="A4247">
        <v>4241</v>
      </c>
      <c r="B4247" t="s">
        <v>54</v>
      </c>
    </row>
    <row r="4248" spans="1:2" x14ac:dyDescent="0.2">
      <c r="A4248">
        <v>4242</v>
      </c>
      <c r="B4248" t="s">
        <v>54</v>
      </c>
    </row>
    <row r="4249" spans="1:2" x14ac:dyDescent="0.2">
      <c r="A4249">
        <v>4243</v>
      </c>
      <c r="B4249" t="s">
        <v>54</v>
      </c>
    </row>
    <row r="4250" spans="1:2" x14ac:dyDescent="0.2">
      <c r="A4250">
        <v>4244</v>
      </c>
      <c r="B4250" t="s">
        <v>54</v>
      </c>
    </row>
    <row r="4251" spans="1:2" x14ac:dyDescent="0.2">
      <c r="A4251">
        <v>4245</v>
      </c>
      <c r="B4251" t="s">
        <v>54</v>
      </c>
    </row>
    <row r="4252" spans="1:2" x14ac:dyDescent="0.2">
      <c r="A4252">
        <v>4246</v>
      </c>
      <c r="B4252" t="s">
        <v>54</v>
      </c>
    </row>
    <row r="4253" spans="1:2" x14ac:dyDescent="0.2">
      <c r="A4253">
        <v>4247</v>
      </c>
      <c r="B4253" t="s">
        <v>54</v>
      </c>
    </row>
    <row r="4254" spans="1:2" x14ac:dyDescent="0.2">
      <c r="A4254">
        <v>4248</v>
      </c>
      <c r="B4254" t="s">
        <v>54</v>
      </c>
    </row>
    <row r="4255" spans="1:2" x14ac:dyDescent="0.2">
      <c r="A4255">
        <v>4249</v>
      </c>
      <c r="B4255" t="s">
        <v>54</v>
      </c>
    </row>
    <row r="4256" spans="1:2" x14ac:dyDescent="0.2">
      <c r="A4256">
        <v>4250</v>
      </c>
      <c r="B4256" t="s">
        <v>54</v>
      </c>
    </row>
    <row r="4257" spans="1:2" x14ac:dyDescent="0.2">
      <c r="A4257">
        <v>4251</v>
      </c>
      <c r="B4257" t="s">
        <v>54</v>
      </c>
    </row>
    <row r="4258" spans="1:2" x14ac:dyDescent="0.2">
      <c r="A4258">
        <v>4252</v>
      </c>
      <c r="B4258" t="s">
        <v>54</v>
      </c>
    </row>
    <row r="4259" spans="1:2" x14ac:dyDescent="0.2">
      <c r="A4259">
        <v>4253</v>
      </c>
      <c r="B4259" t="s">
        <v>54</v>
      </c>
    </row>
    <row r="4260" spans="1:2" x14ac:dyDescent="0.2">
      <c r="A4260">
        <v>4254</v>
      </c>
      <c r="B4260" t="s">
        <v>54</v>
      </c>
    </row>
    <row r="4261" spans="1:2" x14ac:dyDescent="0.2">
      <c r="A4261">
        <v>4255</v>
      </c>
      <c r="B4261" t="s">
        <v>54</v>
      </c>
    </row>
    <row r="4262" spans="1:2" x14ac:dyDescent="0.2">
      <c r="A4262">
        <v>4256</v>
      </c>
      <c r="B4262" t="s">
        <v>54</v>
      </c>
    </row>
    <row r="4263" spans="1:2" x14ac:dyDescent="0.2">
      <c r="A4263">
        <v>4257</v>
      </c>
      <c r="B4263" t="s">
        <v>54</v>
      </c>
    </row>
    <row r="4264" spans="1:2" x14ac:dyDescent="0.2">
      <c r="A4264">
        <v>4258</v>
      </c>
      <c r="B4264" t="s">
        <v>54</v>
      </c>
    </row>
    <row r="4265" spans="1:2" x14ac:dyDescent="0.2">
      <c r="A4265">
        <v>4259</v>
      </c>
      <c r="B4265" t="s">
        <v>54</v>
      </c>
    </row>
    <row r="4266" spans="1:2" x14ac:dyDescent="0.2">
      <c r="A4266">
        <v>4260</v>
      </c>
      <c r="B4266" t="s">
        <v>54</v>
      </c>
    </row>
    <row r="4267" spans="1:2" x14ac:dyDescent="0.2">
      <c r="A4267">
        <v>4261</v>
      </c>
      <c r="B4267" t="s">
        <v>54</v>
      </c>
    </row>
    <row r="4268" spans="1:2" x14ac:dyDescent="0.2">
      <c r="A4268">
        <v>4262</v>
      </c>
      <c r="B4268" t="s">
        <v>54</v>
      </c>
    </row>
    <row r="4269" spans="1:2" x14ac:dyDescent="0.2">
      <c r="A4269">
        <v>4263</v>
      </c>
      <c r="B4269" t="s">
        <v>54</v>
      </c>
    </row>
    <row r="4270" spans="1:2" x14ac:dyDescent="0.2">
      <c r="A4270">
        <v>4264</v>
      </c>
      <c r="B4270" t="s">
        <v>54</v>
      </c>
    </row>
    <row r="4271" spans="1:2" x14ac:dyDescent="0.2">
      <c r="A4271">
        <v>4265</v>
      </c>
      <c r="B4271" t="s">
        <v>54</v>
      </c>
    </row>
    <row r="4272" spans="1:2" x14ac:dyDescent="0.2">
      <c r="A4272">
        <v>4266</v>
      </c>
      <c r="B4272" t="s">
        <v>54</v>
      </c>
    </row>
    <row r="4273" spans="1:2" x14ac:dyDescent="0.2">
      <c r="A4273">
        <v>4267</v>
      </c>
      <c r="B4273" t="s">
        <v>54</v>
      </c>
    </row>
    <row r="4274" spans="1:2" x14ac:dyDescent="0.2">
      <c r="A4274">
        <v>4268</v>
      </c>
      <c r="B4274" t="s">
        <v>54</v>
      </c>
    </row>
    <row r="4275" spans="1:2" x14ac:dyDescent="0.2">
      <c r="A4275">
        <v>4269</v>
      </c>
      <c r="B4275" t="s">
        <v>54</v>
      </c>
    </row>
    <row r="4276" spans="1:2" x14ac:dyDescent="0.2">
      <c r="A4276">
        <v>4270</v>
      </c>
      <c r="B4276" t="s">
        <v>54</v>
      </c>
    </row>
    <row r="4277" spans="1:2" x14ac:dyDescent="0.2">
      <c r="A4277">
        <v>4271</v>
      </c>
      <c r="B4277" t="s">
        <v>54</v>
      </c>
    </row>
    <row r="4278" spans="1:2" x14ac:dyDescent="0.2">
      <c r="A4278">
        <v>4272</v>
      </c>
      <c r="B4278" t="s">
        <v>54</v>
      </c>
    </row>
    <row r="4279" spans="1:2" x14ac:dyDescent="0.2">
      <c r="A4279">
        <v>4273</v>
      </c>
      <c r="B4279" t="s">
        <v>54</v>
      </c>
    </row>
    <row r="4280" spans="1:2" x14ac:dyDescent="0.2">
      <c r="A4280">
        <v>4274</v>
      </c>
      <c r="B4280" t="s">
        <v>54</v>
      </c>
    </row>
    <row r="4281" spans="1:2" x14ac:dyDescent="0.2">
      <c r="A4281">
        <v>4275</v>
      </c>
      <c r="B4281" t="s">
        <v>54</v>
      </c>
    </row>
    <row r="4282" spans="1:2" x14ac:dyDescent="0.2">
      <c r="A4282">
        <v>4276</v>
      </c>
      <c r="B4282" t="s">
        <v>54</v>
      </c>
    </row>
    <row r="4283" spans="1:2" x14ac:dyDescent="0.2">
      <c r="A4283">
        <v>4277</v>
      </c>
      <c r="B4283" t="s">
        <v>54</v>
      </c>
    </row>
    <row r="4284" spans="1:2" x14ac:dyDescent="0.2">
      <c r="A4284">
        <v>4278</v>
      </c>
      <c r="B4284" t="s">
        <v>54</v>
      </c>
    </row>
    <row r="4285" spans="1:2" x14ac:dyDescent="0.2">
      <c r="A4285">
        <v>4279</v>
      </c>
      <c r="B4285" t="s">
        <v>54</v>
      </c>
    </row>
    <row r="4286" spans="1:2" x14ac:dyDescent="0.2">
      <c r="A4286">
        <v>4280</v>
      </c>
      <c r="B4286" t="s">
        <v>54</v>
      </c>
    </row>
    <row r="4287" spans="1:2" x14ac:dyDescent="0.2">
      <c r="A4287">
        <v>4281</v>
      </c>
      <c r="B4287" t="s">
        <v>54</v>
      </c>
    </row>
    <row r="4288" spans="1:2" x14ac:dyDescent="0.2">
      <c r="A4288">
        <v>4282</v>
      </c>
      <c r="B4288" t="s">
        <v>54</v>
      </c>
    </row>
    <row r="4289" spans="1:2" x14ac:dyDescent="0.2">
      <c r="A4289">
        <v>4283</v>
      </c>
      <c r="B4289" t="s">
        <v>54</v>
      </c>
    </row>
    <row r="4290" spans="1:2" x14ac:dyDescent="0.2">
      <c r="A4290">
        <v>4284</v>
      </c>
      <c r="B4290" t="s">
        <v>54</v>
      </c>
    </row>
    <row r="4291" spans="1:2" x14ac:dyDescent="0.2">
      <c r="A4291">
        <v>4285</v>
      </c>
      <c r="B4291" t="s">
        <v>54</v>
      </c>
    </row>
    <row r="4292" spans="1:2" x14ac:dyDescent="0.2">
      <c r="A4292">
        <v>4286</v>
      </c>
      <c r="B4292" t="s">
        <v>54</v>
      </c>
    </row>
    <row r="4293" spans="1:2" x14ac:dyDescent="0.2">
      <c r="A4293">
        <v>4287</v>
      </c>
      <c r="B4293" t="s">
        <v>54</v>
      </c>
    </row>
    <row r="4294" spans="1:2" x14ac:dyDescent="0.2">
      <c r="A4294">
        <v>4288</v>
      </c>
      <c r="B4294" t="s">
        <v>54</v>
      </c>
    </row>
    <row r="4295" spans="1:2" x14ac:dyDescent="0.2">
      <c r="A4295">
        <v>4289</v>
      </c>
      <c r="B4295" t="s">
        <v>54</v>
      </c>
    </row>
    <row r="4296" spans="1:2" x14ac:dyDescent="0.2">
      <c r="A4296">
        <v>4290</v>
      </c>
      <c r="B4296" t="s">
        <v>54</v>
      </c>
    </row>
    <row r="4297" spans="1:2" x14ac:dyDescent="0.2">
      <c r="A4297">
        <v>4291</v>
      </c>
      <c r="B4297" t="s">
        <v>54</v>
      </c>
    </row>
    <row r="4298" spans="1:2" x14ac:dyDescent="0.2">
      <c r="A4298">
        <v>4292</v>
      </c>
      <c r="B4298" t="s">
        <v>54</v>
      </c>
    </row>
    <row r="4299" spans="1:2" x14ac:dyDescent="0.2">
      <c r="A4299">
        <v>4293</v>
      </c>
      <c r="B4299" t="s">
        <v>54</v>
      </c>
    </row>
    <row r="4300" spans="1:2" x14ac:dyDescent="0.2">
      <c r="A4300">
        <v>4294</v>
      </c>
      <c r="B4300" t="s">
        <v>54</v>
      </c>
    </row>
    <row r="4301" spans="1:2" x14ac:dyDescent="0.2">
      <c r="A4301">
        <v>4295</v>
      </c>
      <c r="B4301" t="s">
        <v>54</v>
      </c>
    </row>
    <row r="4302" spans="1:2" x14ac:dyDescent="0.2">
      <c r="A4302">
        <v>4296</v>
      </c>
      <c r="B4302" t="s">
        <v>54</v>
      </c>
    </row>
    <row r="4303" spans="1:2" x14ac:dyDescent="0.2">
      <c r="A4303">
        <v>4297</v>
      </c>
      <c r="B4303" t="s">
        <v>54</v>
      </c>
    </row>
    <row r="4304" spans="1:2" x14ac:dyDescent="0.2">
      <c r="A4304">
        <v>4298</v>
      </c>
      <c r="B4304" t="s">
        <v>54</v>
      </c>
    </row>
    <row r="4305" spans="1:2" x14ac:dyDescent="0.2">
      <c r="A4305">
        <v>4299</v>
      </c>
      <c r="B4305" t="s">
        <v>54</v>
      </c>
    </row>
    <row r="4306" spans="1:2" x14ac:dyDescent="0.2">
      <c r="A4306">
        <v>4300</v>
      </c>
      <c r="B4306" t="s">
        <v>54</v>
      </c>
    </row>
    <row r="4307" spans="1:2" x14ac:dyDescent="0.2">
      <c r="A4307">
        <v>4301</v>
      </c>
      <c r="B4307" t="s">
        <v>54</v>
      </c>
    </row>
    <row r="4308" spans="1:2" x14ac:dyDescent="0.2">
      <c r="A4308">
        <v>4302</v>
      </c>
      <c r="B4308" t="s">
        <v>54</v>
      </c>
    </row>
    <row r="4309" spans="1:2" x14ac:dyDescent="0.2">
      <c r="A4309">
        <v>4303</v>
      </c>
      <c r="B4309" t="s">
        <v>54</v>
      </c>
    </row>
    <row r="4310" spans="1:2" x14ac:dyDescent="0.2">
      <c r="A4310">
        <v>4304</v>
      </c>
      <c r="B4310" t="s">
        <v>54</v>
      </c>
    </row>
    <row r="4311" spans="1:2" x14ac:dyDescent="0.2">
      <c r="A4311">
        <v>4305</v>
      </c>
      <c r="B4311" t="s">
        <v>54</v>
      </c>
    </row>
    <row r="4312" spans="1:2" x14ac:dyDescent="0.2">
      <c r="A4312">
        <v>4306</v>
      </c>
      <c r="B4312" t="s">
        <v>54</v>
      </c>
    </row>
    <row r="4313" spans="1:2" x14ac:dyDescent="0.2">
      <c r="A4313">
        <v>4307</v>
      </c>
      <c r="B4313" t="s">
        <v>54</v>
      </c>
    </row>
    <row r="4314" spans="1:2" x14ac:dyDescent="0.2">
      <c r="A4314">
        <v>4308</v>
      </c>
      <c r="B4314" t="s">
        <v>54</v>
      </c>
    </row>
    <row r="4315" spans="1:2" x14ac:dyDescent="0.2">
      <c r="A4315">
        <v>4309</v>
      </c>
      <c r="B4315" t="s">
        <v>54</v>
      </c>
    </row>
    <row r="4316" spans="1:2" x14ac:dyDescent="0.2">
      <c r="A4316">
        <v>4310</v>
      </c>
      <c r="B4316" t="s">
        <v>54</v>
      </c>
    </row>
    <row r="4317" spans="1:2" x14ac:dyDescent="0.2">
      <c r="A4317">
        <v>4311</v>
      </c>
      <c r="B4317" t="s">
        <v>54</v>
      </c>
    </row>
    <row r="4318" spans="1:2" x14ac:dyDescent="0.2">
      <c r="A4318">
        <v>4312</v>
      </c>
      <c r="B4318" t="s">
        <v>54</v>
      </c>
    </row>
    <row r="4319" spans="1:2" x14ac:dyDescent="0.2">
      <c r="A4319">
        <v>4313</v>
      </c>
      <c r="B4319" t="s">
        <v>54</v>
      </c>
    </row>
    <row r="4320" spans="1:2" x14ac:dyDescent="0.2">
      <c r="A4320">
        <v>4314</v>
      </c>
      <c r="B4320" t="s">
        <v>54</v>
      </c>
    </row>
    <row r="4321" spans="1:2" x14ac:dyDescent="0.2">
      <c r="A4321">
        <v>4315</v>
      </c>
      <c r="B4321" t="s">
        <v>54</v>
      </c>
    </row>
    <row r="4322" spans="1:2" x14ac:dyDescent="0.2">
      <c r="A4322">
        <v>4316</v>
      </c>
      <c r="B4322" t="s">
        <v>54</v>
      </c>
    </row>
    <row r="4323" spans="1:2" x14ac:dyDescent="0.2">
      <c r="A4323">
        <v>4317</v>
      </c>
      <c r="B4323" t="s">
        <v>54</v>
      </c>
    </row>
    <row r="4324" spans="1:2" x14ac:dyDescent="0.2">
      <c r="A4324">
        <v>4318</v>
      </c>
      <c r="B4324" t="s">
        <v>54</v>
      </c>
    </row>
    <row r="4325" spans="1:2" x14ac:dyDescent="0.2">
      <c r="A4325">
        <v>4319</v>
      </c>
      <c r="B4325" t="s">
        <v>54</v>
      </c>
    </row>
    <row r="4326" spans="1:2" x14ac:dyDescent="0.2">
      <c r="A4326">
        <v>4320</v>
      </c>
      <c r="B4326" t="s">
        <v>54</v>
      </c>
    </row>
    <row r="4327" spans="1:2" x14ac:dyDescent="0.2">
      <c r="A4327">
        <v>4321</v>
      </c>
      <c r="B4327" t="s">
        <v>54</v>
      </c>
    </row>
    <row r="4328" spans="1:2" x14ac:dyDescent="0.2">
      <c r="A4328">
        <v>4322</v>
      </c>
      <c r="B4328" t="s">
        <v>54</v>
      </c>
    </row>
    <row r="4329" spans="1:2" x14ac:dyDescent="0.2">
      <c r="A4329">
        <v>4323</v>
      </c>
      <c r="B4329" t="s">
        <v>54</v>
      </c>
    </row>
    <row r="4330" spans="1:2" x14ac:dyDescent="0.2">
      <c r="A4330">
        <v>4324</v>
      </c>
      <c r="B4330" t="s">
        <v>54</v>
      </c>
    </row>
    <row r="4331" spans="1:2" x14ac:dyDescent="0.2">
      <c r="A4331">
        <v>4325</v>
      </c>
      <c r="B4331" t="s">
        <v>54</v>
      </c>
    </row>
    <row r="4332" spans="1:2" x14ac:dyDescent="0.2">
      <c r="A4332">
        <v>4326</v>
      </c>
      <c r="B4332" t="s">
        <v>54</v>
      </c>
    </row>
    <row r="4333" spans="1:2" x14ac:dyDescent="0.2">
      <c r="A4333">
        <v>4327</v>
      </c>
      <c r="B4333" t="s">
        <v>54</v>
      </c>
    </row>
    <row r="4334" spans="1:2" x14ac:dyDescent="0.2">
      <c r="A4334">
        <v>4328</v>
      </c>
      <c r="B4334" t="s">
        <v>54</v>
      </c>
    </row>
    <row r="4335" spans="1:2" x14ac:dyDescent="0.2">
      <c r="A4335">
        <v>4329</v>
      </c>
      <c r="B4335" t="s">
        <v>54</v>
      </c>
    </row>
    <row r="4336" spans="1:2" x14ac:dyDescent="0.2">
      <c r="A4336">
        <v>4330</v>
      </c>
      <c r="B4336" t="s">
        <v>54</v>
      </c>
    </row>
    <row r="4337" spans="1:2" x14ac:dyDescent="0.2">
      <c r="A4337">
        <v>4331</v>
      </c>
      <c r="B4337" t="s">
        <v>54</v>
      </c>
    </row>
    <row r="4338" spans="1:2" x14ac:dyDescent="0.2">
      <c r="A4338">
        <v>4332</v>
      </c>
      <c r="B4338" t="s">
        <v>54</v>
      </c>
    </row>
    <row r="4339" spans="1:2" x14ac:dyDescent="0.2">
      <c r="A4339">
        <v>4333</v>
      </c>
      <c r="B4339" t="s">
        <v>54</v>
      </c>
    </row>
    <row r="4340" spans="1:2" x14ac:dyDescent="0.2">
      <c r="A4340">
        <v>4334</v>
      </c>
      <c r="B4340" t="s">
        <v>54</v>
      </c>
    </row>
    <row r="4341" spans="1:2" x14ac:dyDescent="0.2">
      <c r="A4341">
        <v>4335</v>
      </c>
      <c r="B4341" t="s">
        <v>54</v>
      </c>
    </row>
    <row r="4342" spans="1:2" x14ac:dyDescent="0.2">
      <c r="A4342">
        <v>4336</v>
      </c>
      <c r="B4342" t="s">
        <v>54</v>
      </c>
    </row>
    <row r="4343" spans="1:2" x14ac:dyDescent="0.2">
      <c r="A4343">
        <v>4337</v>
      </c>
      <c r="B4343" t="s">
        <v>54</v>
      </c>
    </row>
    <row r="4344" spans="1:2" x14ac:dyDescent="0.2">
      <c r="A4344">
        <v>4338</v>
      </c>
      <c r="B4344" t="s">
        <v>54</v>
      </c>
    </row>
    <row r="4345" spans="1:2" x14ac:dyDescent="0.2">
      <c r="A4345">
        <v>4339</v>
      </c>
      <c r="B4345" t="s">
        <v>54</v>
      </c>
    </row>
    <row r="4346" spans="1:2" x14ac:dyDescent="0.2">
      <c r="A4346">
        <v>4340</v>
      </c>
      <c r="B4346" t="s">
        <v>54</v>
      </c>
    </row>
    <row r="4347" spans="1:2" x14ac:dyDescent="0.2">
      <c r="A4347">
        <v>4341</v>
      </c>
      <c r="B4347" t="s">
        <v>54</v>
      </c>
    </row>
    <row r="4348" spans="1:2" x14ac:dyDescent="0.2">
      <c r="A4348">
        <v>4342</v>
      </c>
      <c r="B4348" t="s">
        <v>54</v>
      </c>
    </row>
    <row r="4349" spans="1:2" x14ac:dyDescent="0.2">
      <c r="A4349">
        <v>4343</v>
      </c>
      <c r="B4349" t="s">
        <v>54</v>
      </c>
    </row>
    <row r="4350" spans="1:2" x14ac:dyDescent="0.2">
      <c r="A4350">
        <v>4344</v>
      </c>
      <c r="B4350" t="s">
        <v>54</v>
      </c>
    </row>
    <row r="4351" spans="1:2" x14ac:dyDescent="0.2">
      <c r="A4351">
        <v>4345</v>
      </c>
      <c r="B4351" t="s">
        <v>54</v>
      </c>
    </row>
    <row r="4352" spans="1:2" x14ac:dyDescent="0.2">
      <c r="A4352">
        <v>4346</v>
      </c>
      <c r="B4352" t="s">
        <v>54</v>
      </c>
    </row>
    <row r="4353" spans="1:2" x14ac:dyDescent="0.2">
      <c r="A4353">
        <v>4347</v>
      </c>
      <c r="B4353" t="s">
        <v>54</v>
      </c>
    </row>
    <row r="4354" spans="1:2" x14ac:dyDescent="0.2">
      <c r="A4354">
        <v>4348</v>
      </c>
      <c r="B4354" t="s">
        <v>54</v>
      </c>
    </row>
    <row r="4355" spans="1:2" x14ac:dyDescent="0.2">
      <c r="A4355">
        <v>4349</v>
      </c>
      <c r="B4355" t="s">
        <v>54</v>
      </c>
    </row>
    <row r="4356" spans="1:2" x14ac:dyDescent="0.2">
      <c r="A4356">
        <v>4350</v>
      </c>
      <c r="B4356" t="s">
        <v>54</v>
      </c>
    </row>
    <row r="4357" spans="1:2" x14ac:dyDescent="0.2">
      <c r="A4357">
        <v>4351</v>
      </c>
      <c r="B4357" t="s">
        <v>54</v>
      </c>
    </row>
    <row r="4358" spans="1:2" x14ac:dyDescent="0.2">
      <c r="A4358">
        <v>4352</v>
      </c>
      <c r="B4358" t="s">
        <v>54</v>
      </c>
    </row>
    <row r="4359" spans="1:2" x14ac:dyDescent="0.2">
      <c r="A4359">
        <v>4353</v>
      </c>
      <c r="B4359" t="s">
        <v>54</v>
      </c>
    </row>
    <row r="4360" spans="1:2" x14ac:dyDescent="0.2">
      <c r="A4360">
        <v>4354</v>
      </c>
      <c r="B4360" t="s">
        <v>54</v>
      </c>
    </row>
    <row r="4361" spans="1:2" x14ac:dyDescent="0.2">
      <c r="A4361">
        <v>4355</v>
      </c>
      <c r="B4361" t="s">
        <v>54</v>
      </c>
    </row>
    <row r="4362" spans="1:2" x14ac:dyDescent="0.2">
      <c r="A4362">
        <v>4356</v>
      </c>
      <c r="B4362" t="s">
        <v>54</v>
      </c>
    </row>
    <row r="4363" spans="1:2" x14ac:dyDescent="0.2">
      <c r="A4363">
        <v>4357</v>
      </c>
      <c r="B4363" t="s">
        <v>54</v>
      </c>
    </row>
    <row r="4364" spans="1:2" x14ac:dyDescent="0.2">
      <c r="A4364">
        <v>4358</v>
      </c>
      <c r="B4364" t="s">
        <v>54</v>
      </c>
    </row>
    <row r="4365" spans="1:2" x14ac:dyDescent="0.2">
      <c r="A4365">
        <v>4359</v>
      </c>
      <c r="B4365" t="s">
        <v>54</v>
      </c>
    </row>
    <row r="4366" spans="1:2" x14ac:dyDescent="0.2">
      <c r="A4366">
        <v>4360</v>
      </c>
      <c r="B4366" t="s">
        <v>54</v>
      </c>
    </row>
    <row r="4367" spans="1:2" x14ac:dyDescent="0.2">
      <c r="A4367">
        <v>4361</v>
      </c>
      <c r="B4367" t="s">
        <v>54</v>
      </c>
    </row>
    <row r="4368" spans="1:2" x14ac:dyDescent="0.2">
      <c r="A4368">
        <v>4362</v>
      </c>
      <c r="B4368" t="s">
        <v>54</v>
      </c>
    </row>
    <row r="4369" spans="1:2" x14ac:dyDescent="0.2">
      <c r="A4369">
        <v>4363</v>
      </c>
      <c r="B4369" t="s">
        <v>54</v>
      </c>
    </row>
    <row r="4370" spans="1:2" x14ac:dyDescent="0.2">
      <c r="A4370">
        <v>4364</v>
      </c>
      <c r="B4370" t="s">
        <v>54</v>
      </c>
    </row>
    <row r="4371" spans="1:2" x14ac:dyDescent="0.2">
      <c r="A4371">
        <v>4365</v>
      </c>
      <c r="B4371" t="s">
        <v>54</v>
      </c>
    </row>
    <row r="4372" spans="1:2" x14ac:dyDescent="0.2">
      <c r="A4372">
        <v>4366</v>
      </c>
      <c r="B4372" t="s">
        <v>54</v>
      </c>
    </row>
    <row r="4373" spans="1:2" x14ac:dyDescent="0.2">
      <c r="A4373">
        <v>4367</v>
      </c>
      <c r="B4373" t="s">
        <v>54</v>
      </c>
    </row>
    <row r="4374" spans="1:2" x14ac:dyDescent="0.2">
      <c r="A4374">
        <v>4368</v>
      </c>
      <c r="B4374" t="s">
        <v>54</v>
      </c>
    </row>
    <row r="4375" spans="1:2" x14ac:dyDescent="0.2">
      <c r="A4375">
        <v>4369</v>
      </c>
      <c r="B4375" t="s">
        <v>54</v>
      </c>
    </row>
    <row r="4376" spans="1:2" x14ac:dyDescent="0.2">
      <c r="A4376">
        <v>4370</v>
      </c>
      <c r="B4376" t="s">
        <v>54</v>
      </c>
    </row>
    <row r="4377" spans="1:2" x14ac:dyDescent="0.2">
      <c r="A4377">
        <v>4371</v>
      </c>
      <c r="B4377" t="s">
        <v>54</v>
      </c>
    </row>
    <row r="4378" spans="1:2" x14ac:dyDescent="0.2">
      <c r="A4378">
        <v>4372</v>
      </c>
      <c r="B4378" t="s">
        <v>54</v>
      </c>
    </row>
    <row r="4379" spans="1:2" x14ac:dyDescent="0.2">
      <c r="A4379">
        <v>4373</v>
      </c>
      <c r="B4379" t="s">
        <v>54</v>
      </c>
    </row>
    <row r="4380" spans="1:2" x14ac:dyDescent="0.2">
      <c r="A4380">
        <v>4374</v>
      </c>
      <c r="B4380" t="s">
        <v>54</v>
      </c>
    </row>
    <row r="4381" spans="1:2" x14ac:dyDescent="0.2">
      <c r="A4381">
        <v>4375</v>
      </c>
      <c r="B4381" t="s">
        <v>54</v>
      </c>
    </row>
    <row r="4382" spans="1:2" x14ac:dyDescent="0.2">
      <c r="A4382">
        <v>4376</v>
      </c>
      <c r="B4382" t="s">
        <v>54</v>
      </c>
    </row>
    <row r="4383" spans="1:2" x14ac:dyDescent="0.2">
      <c r="A4383">
        <v>4377</v>
      </c>
      <c r="B4383" t="s">
        <v>54</v>
      </c>
    </row>
    <row r="4384" spans="1:2" x14ac:dyDescent="0.2">
      <c r="A4384">
        <v>4378</v>
      </c>
      <c r="B4384" t="s">
        <v>54</v>
      </c>
    </row>
    <row r="4385" spans="1:2" x14ac:dyDescent="0.2">
      <c r="A4385">
        <v>4379</v>
      </c>
      <c r="B4385" t="s">
        <v>54</v>
      </c>
    </row>
    <row r="4386" spans="1:2" x14ac:dyDescent="0.2">
      <c r="A4386">
        <v>4380</v>
      </c>
      <c r="B4386" t="s">
        <v>54</v>
      </c>
    </row>
    <row r="4387" spans="1:2" x14ac:dyDescent="0.2">
      <c r="A4387">
        <v>4381</v>
      </c>
      <c r="B4387" t="s">
        <v>54</v>
      </c>
    </row>
    <row r="4388" spans="1:2" x14ac:dyDescent="0.2">
      <c r="A4388">
        <v>4382</v>
      </c>
      <c r="B4388" t="s">
        <v>54</v>
      </c>
    </row>
    <row r="4389" spans="1:2" x14ac:dyDescent="0.2">
      <c r="A4389">
        <v>4383</v>
      </c>
      <c r="B4389" t="s">
        <v>54</v>
      </c>
    </row>
    <row r="4390" spans="1:2" x14ac:dyDescent="0.2">
      <c r="A4390">
        <v>4384</v>
      </c>
      <c r="B4390" t="s">
        <v>54</v>
      </c>
    </row>
    <row r="4391" spans="1:2" x14ac:dyDescent="0.2">
      <c r="A4391">
        <v>4385</v>
      </c>
      <c r="B4391" t="s">
        <v>54</v>
      </c>
    </row>
    <row r="4392" spans="1:2" x14ac:dyDescent="0.2">
      <c r="A4392">
        <v>4386</v>
      </c>
      <c r="B4392" t="s">
        <v>54</v>
      </c>
    </row>
    <row r="4393" spans="1:2" x14ac:dyDescent="0.2">
      <c r="A4393">
        <v>4387</v>
      </c>
      <c r="B4393" t="s">
        <v>54</v>
      </c>
    </row>
    <row r="4394" spans="1:2" x14ac:dyDescent="0.2">
      <c r="A4394">
        <v>4388</v>
      </c>
      <c r="B4394" t="s">
        <v>54</v>
      </c>
    </row>
    <row r="4395" spans="1:2" x14ac:dyDescent="0.2">
      <c r="A4395">
        <v>4389</v>
      </c>
      <c r="B4395" t="s">
        <v>54</v>
      </c>
    </row>
    <row r="4396" spans="1:2" x14ac:dyDescent="0.2">
      <c r="A4396">
        <v>4390</v>
      </c>
      <c r="B4396" t="s">
        <v>54</v>
      </c>
    </row>
    <row r="4397" spans="1:2" x14ac:dyDescent="0.2">
      <c r="A4397">
        <v>4391</v>
      </c>
      <c r="B4397" t="s">
        <v>54</v>
      </c>
    </row>
    <row r="4398" spans="1:2" x14ac:dyDescent="0.2">
      <c r="A4398">
        <v>4392</v>
      </c>
      <c r="B4398" t="s">
        <v>54</v>
      </c>
    </row>
    <row r="4399" spans="1:2" x14ac:dyDescent="0.2">
      <c r="A4399">
        <v>4393</v>
      </c>
      <c r="B4399" t="s">
        <v>54</v>
      </c>
    </row>
    <row r="4400" spans="1:2" x14ac:dyDescent="0.2">
      <c r="A4400">
        <v>4394</v>
      </c>
      <c r="B4400" t="s">
        <v>54</v>
      </c>
    </row>
    <row r="4401" spans="1:2" x14ac:dyDescent="0.2">
      <c r="A4401">
        <v>4395</v>
      </c>
      <c r="B4401" t="s">
        <v>54</v>
      </c>
    </row>
    <row r="4402" spans="1:2" x14ac:dyDescent="0.2">
      <c r="A4402">
        <v>4396</v>
      </c>
      <c r="B4402" t="s">
        <v>54</v>
      </c>
    </row>
    <row r="4403" spans="1:2" x14ac:dyDescent="0.2">
      <c r="A4403">
        <v>4397</v>
      </c>
      <c r="B4403" t="s">
        <v>54</v>
      </c>
    </row>
    <row r="4404" spans="1:2" x14ac:dyDescent="0.2">
      <c r="A4404">
        <v>4398</v>
      </c>
      <c r="B4404" t="s">
        <v>54</v>
      </c>
    </row>
    <row r="4405" spans="1:2" x14ac:dyDescent="0.2">
      <c r="A4405">
        <v>4399</v>
      </c>
      <c r="B4405" t="s">
        <v>54</v>
      </c>
    </row>
    <row r="4406" spans="1:2" x14ac:dyDescent="0.2">
      <c r="A4406">
        <v>4400</v>
      </c>
      <c r="B4406" t="s">
        <v>54</v>
      </c>
    </row>
    <row r="4407" spans="1:2" x14ac:dyDescent="0.2">
      <c r="A4407">
        <v>4401</v>
      </c>
      <c r="B4407" t="s">
        <v>54</v>
      </c>
    </row>
    <row r="4408" spans="1:2" x14ac:dyDescent="0.2">
      <c r="A4408">
        <v>4402</v>
      </c>
      <c r="B4408" t="s">
        <v>54</v>
      </c>
    </row>
    <row r="4409" spans="1:2" x14ac:dyDescent="0.2">
      <c r="A4409">
        <v>4403</v>
      </c>
      <c r="B4409" t="s">
        <v>54</v>
      </c>
    </row>
    <row r="4410" spans="1:2" x14ac:dyDescent="0.2">
      <c r="A4410">
        <v>4404</v>
      </c>
      <c r="B4410" t="s">
        <v>54</v>
      </c>
    </row>
    <row r="4411" spans="1:2" x14ac:dyDescent="0.2">
      <c r="A4411">
        <v>4405</v>
      </c>
      <c r="B4411" t="s">
        <v>54</v>
      </c>
    </row>
    <row r="4412" spans="1:2" x14ac:dyDescent="0.2">
      <c r="A4412">
        <v>4406</v>
      </c>
      <c r="B4412" t="s">
        <v>54</v>
      </c>
    </row>
    <row r="4413" spans="1:2" x14ac:dyDescent="0.2">
      <c r="A4413">
        <v>4407</v>
      </c>
      <c r="B4413" t="s">
        <v>54</v>
      </c>
    </row>
    <row r="4414" spans="1:2" x14ac:dyDescent="0.2">
      <c r="A4414">
        <v>4408</v>
      </c>
      <c r="B4414" t="s">
        <v>54</v>
      </c>
    </row>
    <row r="4415" spans="1:2" x14ac:dyDescent="0.2">
      <c r="A4415">
        <v>4409</v>
      </c>
      <c r="B4415" t="s">
        <v>54</v>
      </c>
    </row>
    <row r="4416" spans="1:2" x14ac:dyDescent="0.2">
      <c r="A4416">
        <v>4410</v>
      </c>
      <c r="B4416" t="s">
        <v>54</v>
      </c>
    </row>
    <row r="4417" spans="1:2" x14ac:dyDescent="0.2">
      <c r="A4417">
        <v>4411</v>
      </c>
      <c r="B4417" t="s">
        <v>54</v>
      </c>
    </row>
    <row r="4418" spans="1:2" x14ac:dyDescent="0.2">
      <c r="A4418">
        <v>4412</v>
      </c>
      <c r="B4418" t="s">
        <v>54</v>
      </c>
    </row>
    <row r="4419" spans="1:2" x14ac:dyDescent="0.2">
      <c r="A4419">
        <v>4413</v>
      </c>
      <c r="B4419" t="s">
        <v>54</v>
      </c>
    </row>
    <row r="4420" spans="1:2" x14ac:dyDescent="0.2">
      <c r="A4420">
        <v>4414</v>
      </c>
      <c r="B4420" t="s">
        <v>54</v>
      </c>
    </row>
    <row r="4421" spans="1:2" x14ac:dyDescent="0.2">
      <c r="A4421">
        <v>4415</v>
      </c>
      <c r="B4421" t="s">
        <v>54</v>
      </c>
    </row>
    <row r="4422" spans="1:2" x14ac:dyDescent="0.2">
      <c r="A4422">
        <v>4416</v>
      </c>
      <c r="B4422" t="s">
        <v>54</v>
      </c>
    </row>
    <row r="4423" spans="1:2" x14ac:dyDescent="0.2">
      <c r="A4423">
        <v>4417</v>
      </c>
      <c r="B4423" t="s">
        <v>54</v>
      </c>
    </row>
    <row r="4424" spans="1:2" x14ac:dyDescent="0.2">
      <c r="A4424">
        <v>4418</v>
      </c>
      <c r="B4424" t="s">
        <v>54</v>
      </c>
    </row>
    <row r="4425" spans="1:2" x14ac:dyDescent="0.2">
      <c r="A4425">
        <v>4419</v>
      </c>
      <c r="B4425" t="s">
        <v>54</v>
      </c>
    </row>
    <row r="4426" spans="1:2" x14ac:dyDescent="0.2">
      <c r="A4426">
        <v>4420</v>
      </c>
      <c r="B4426" t="s">
        <v>54</v>
      </c>
    </row>
    <row r="4427" spans="1:2" x14ac:dyDescent="0.2">
      <c r="A4427">
        <v>4421</v>
      </c>
      <c r="B4427" t="s">
        <v>54</v>
      </c>
    </row>
    <row r="4428" spans="1:2" x14ac:dyDescent="0.2">
      <c r="A4428">
        <v>4422</v>
      </c>
      <c r="B4428" t="s">
        <v>54</v>
      </c>
    </row>
    <row r="4429" spans="1:2" x14ac:dyDescent="0.2">
      <c r="A4429">
        <v>4423</v>
      </c>
      <c r="B4429" t="s">
        <v>54</v>
      </c>
    </row>
    <row r="4430" spans="1:2" x14ac:dyDescent="0.2">
      <c r="A4430">
        <v>4424</v>
      </c>
      <c r="B4430" t="s">
        <v>54</v>
      </c>
    </row>
    <row r="4431" spans="1:2" x14ac:dyDescent="0.2">
      <c r="A4431">
        <v>4425</v>
      </c>
      <c r="B4431" t="s">
        <v>54</v>
      </c>
    </row>
    <row r="4432" spans="1:2" x14ac:dyDescent="0.2">
      <c r="A4432">
        <v>4426</v>
      </c>
      <c r="B4432" t="s">
        <v>54</v>
      </c>
    </row>
    <row r="4433" spans="1:2" x14ac:dyDescent="0.2">
      <c r="A4433">
        <v>4427</v>
      </c>
      <c r="B4433" t="s">
        <v>54</v>
      </c>
    </row>
    <row r="4434" spans="1:2" x14ac:dyDescent="0.2">
      <c r="A4434">
        <v>4428</v>
      </c>
      <c r="B4434" t="s">
        <v>54</v>
      </c>
    </row>
    <row r="4435" spans="1:2" x14ac:dyDescent="0.2">
      <c r="A4435">
        <v>4429</v>
      </c>
      <c r="B4435" t="s">
        <v>54</v>
      </c>
    </row>
    <row r="4436" spans="1:2" x14ac:dyDescent="0.2">
      <c r="A4436">
        <v>4430</v>
      </c>
      <c r="B4436" t="s">
        <v>54</v>
      </c>
    </row>
    <row r="4437" spans="1:2" x14ac:dyDescent="0.2">
      <c r="A4437">
        <v>4431</v>
      </c>
      <c r="B4437" t="s">
        <v>54</v>
      </c>
    </row>
    <row r="4438" spans="1:2" x14ac:dyDescent="0.2">
      <c r="A4438">
        <v>4432</v>
      </c>
      <c r="B4438" t="s">
        <v>54</v>
      </c>
    </row>
    <row r="4439" spans="1:2" x14ac:dyDescent="0.2">
      <c r="A4439">
        <v>4433</v>
      </c>
      <c r="B4439" t="s">
        <v>54</v>
      </c>
    </row>
    <row r="4440" spans="1:2" x14ac:dyDescent="0.2">
      <c r="A4440">
        <v>4434</v>
      </c>
      <c r="B4440" t="s">
        <v>54</v>
      </c>
    </row>
    <row r="4441" spans="1:2" x14ac:dyDescent="0.2">
      <c r="A4441">
        <v>4435</v>
      </c>
      <c r="B4441" t="s">
        <v>54</v>
      </c>
    </row>
    <row r="4442" spans="1:2" x14ac:dyDescent="0.2">
      <c r="A4442">
        <v>4436</v>
      </c>
      <c r="B4442" t="s">
        <v>54</v>
      </c>
    </row>
    <row r="4443" spans="1:2" x14ac:dyDescent="0.2">
      <c r="A4443">
        <v>4437</v>
      </c>
      <c r="B4443" t="s">
        <v>54</v>
      </c>
    </row>
    <row r="4444" spans="1:2" x14ac:dyDescent="0.2">
      <c r="A4444">
        <v>4438</v>
      </c>
      <c r="B4444" t="s">
        <v>54</v>
      </c>
    </row>
    <row r="4445" spans="1:2" x14ac:dyDescent="0.2">
      <c r="A4445">
        <v>4439</v>
      </c>
      <c r="B4445" t="s">
        <v>54</v>
      </c>
    </row>
    <row r="4446" spans="1:2" x14ac:dyDescent="0.2">
      <c r="A4446">
        <v>4440</v>
      </c>
      <c r="B4446" t="s">
        <v>54</v>
      </c>
    </row>
    <row r="4447" spans="1:2" x14ac:dyDescent="0.2">
      <c r="A4447">
        <v>4441</v>
      </c>
      <c r="B4447" t="s">
        <v>54</v>
      </c>
    </row>
    <row r="4448" spans="1:2" x14ac:dyDescent="0.2">
      <c r="A4448">
        <v>4442</v>
      </c>
      <c r="B4448" t="s">
        <v>54</v>
      </c>
    </row>
    <row r="4449" spans="1:2" x14ac:dyDescent="0.2">
      <c r="A4449">
        <v>4443</v>
      </c>
      <c r="B4449" t="s">
        <v>54</v>
      </c>
    </row>
    <row r="4450" spans="1:2" x14ac:dyDescent="0.2">
      <c r="A4450">
        <v>4444</v>
      </c>
      <c r="B4450" t="s">
        <v>54</v>
      </c>
    </row>
    <row r="4451" spans="1:2" x14ac:dyDescent="0.2">
      <c r="A4451">
        <v>4445</v>
      </c>
      <c r="B4451" t="s">
        <v>54</v>
      </c>
    </row>
    <row r="4452" spans="1:2" x14ac:dyDescent="0.2">
      <c r="A4452">
        <v>4446</v>
      </c>
      <c r="B4452" t="s">
        <v>54</v>
      </c>
    </row>
    <row r="4453" spans="1:2" x14ac:dyDescent="0.2">
      <c r="A4453">
        <v>4447</v>
      </c>
      <c r="B4453" t="s">
        <v>54</v>
      </c>
    </row>
    <row r="4454" spans="1:2" x14ac:dyDescent="0.2">
      <c r="A4454">
        <v>4448</v>
      </c>
      <c r="B4454" t="s">
        <v>54</v>
      </c>
    </row>
    <row r="4455" spans="1:2" x14ac:dyDescent="0.2">
      <c r="A4455">
        <v>4449</v>
      </c>
      <c r="B4455" t="s">
        <v>54</v>
      </c>
    </row>
    <row r="4456" spans="1:2" x14ac:dyDescent="0.2">
      <c r="A4456">
        <v>4450</v>
      </c>
      <c r="B4456" t="s">
        <v>54</v>
      </c>
    </row>
    <row r="4457" spans="1:2" x14ac:dyDescent="0.2">
      <c r="A4457">
        <v>4451</v>
      </c>
      <c r="B4457" t="s">
        <v>54</v>
      </c>
    </row>
    <row r="4458" spans="1:2" x14ac:dyDescent="0.2">
      <c r="A4458">
        <v>4452</v>
      </c>
      <c r="B4458" t="s">
        <v>54</v>
      </c>
    </row>
    <row r="4459" spans="1:2" x14ac:dyDescent="0.2">
      <c r="A4459">
        <v>4453</v>
      </c>
      <c r="B4459" t="s">
        <v>54</v>
      </c>
    </row>
    <row r="4460" spans="1:2" x14ac:dyDescent="0.2">
      <c r="A4460">
        <v>4454</v>
      </c>
      <c r="B4460" t="s">
        <v>54</v>
      </c>
    </row>
    <row r="4461" spans="1:2" x14ac:dyDescent="0.2">
      <c r="A4461">
        <v>4455</v>
      </c>
      <c r="B4461" t="s">
        <v>54</v>
      </c>
    </row>
    <row r="4462" spans="1:2" x14ac:dyDescent="0.2">
      <c r="A4462">
        <v>4456</v>
      </c>
      <c r="B4462" t="s">
        <v>54</v>
      </c>
    </row>
    <row r="4463" spans="1:2" x14ac:dyDescent="0.2">
      <c r="A4463">
        <v>4457</v>
      </c>
      <c r="B4463" t="s">
        <v>54</v>
      </c>
    </row>
    <row r="4464" spans="1:2" x14ac:dyDescent="0.2">
      <c r="A4464">
        <v>4458</v>
      </c>
      <c r="B4464" t="s">
        <v>54</v>
      </c>
    </row>
    <row r="4465" spans="1:2" x14ac:dyDescent="0.2">
      <c r="A4465">
        <v>4459</v>
      </c>
      <c r="B4465" t="s">
        <v>54</v>
      </c>
    </row>
    <row r="4466" spans="1:2" x14ac:dyDescent="0.2">
      <c r="A4466">
        <v>4460</v>
      </c>
      <c r="B4466" t="s">
        <v>54</v>
      </c>
    </row>
    <row r="4467" spans="1:2" x14ac:dyDescent="0.2">
      <c r="A4467">
        <v>4461</v>
      </c>
      <c r="B4467" t="s">
        <v>54</v>
      </c>
    </row>
    <row r="4468" spans="1:2" x14ac:dyDescent="0.2">
      <c r="A4468">
        <v>4462</v>
      </c>
      <c r="B4468" t="s">
        <v>54</v>
      </c>
    </row>
    <row r="4469" spans="1:2" x14ac:dyDescent="0.2">
      <c r="A4469">
        <v>4463</v>
      </c>
      <c r="B4469" t="s">
        <v>54</v>
      </c>
    </row>
    <row r="4470" spans="1:2" x14ac:dyDescent="0.2">
      <c r="A4470">
        <v>4464</v>
      </c>
      <c r="B4470" t="s">
        <v>54</v>
      </c>
    </row>
    <row r="4471" spans="1:2" x14ac:dyDescent="0.2">
      <c r="A4471">
        <v>4465</v>
      </c>
      <c r="B4471" t="s">
        <v>54</v>
      </c>
    </row>
    <row r="4472" spans="1:2" x14ac:dyDescent="0.2">
      <c r="A4472">
        <v>4466</v>
      </c>
      <c r="B4472" t="s">
        <v>54</v>
      </c>
    </row>
    <row r="4473" spans="1:2" x14ac:dyDescent="0.2">
      <c r="A4473">
        <v>4467</v>
      </c>
      <c r="B4473" t="s">
        <v>54</v>
      </c>
    </row>
    <row r="4474" spans="1:2" x14ac:dyDescent="0.2">
      <c r="A4474">
        <v>4468</v>
      </c>
      <c r="B4474" t="s">
        <v>54</v>
      </c>
    </row>
    <row r="4475" spans="1:2" x14ac:dyDescent="0.2">
      <c r="A4475">
        <v>4469</v>
      </c>
      <c r="B4475" t="s">
        <v>54</v>
      </c>
    </row>
    <row r="4476" spans="1:2" x14ac:dyDescent="0.2">
      <c r="A4476">
        <v>4470</v>
      </c>
      <c r="B4476" t="s">
        <v>54</v>
      </c>
    </row>
    <row r="4477" spans="1:2" x14ac:dyDescent="0.2">
      <c r="A4477">
        <v>4471</v>
      </c>
      <c r="B4477" t="s">
        <v>54</v>
      </c>
    </row>
    <row r="4478" spans="1:2" x14ac:dyDescent="0.2">
      <c r="A4478">
        <v>4472</v>
      </c>
      <c r="B4478" t="s">
        <v>54</v>
      </c>
    </row>
    <row r="4479" spans="1:2" x14ac:dyDescent="0.2">
      <c r="A4479">
        <v>4473</v>
      </c>
      <c r="B4479" t="s">
        <v>54</v>
      </c>
    </row>
    <row r="4480" spans="1:2" x14ac:dyDescent="0.2">
      <c r="A4480">
        <v>4474</v>
      </c>
      <c r="B4480" t="s">
        <v>54</v>
      </c>
    </row>
    <row r="4481" spans="1:2" x14ac:dyDescent="0.2">
      <c r="A4481">
        <v>4475</v>
      </c>
      <c r="B4481" t="s">
        <v>54</v>
      </c>
    </row>
    <row r="4482" spans="1:2" x14ac:dyDescent="0.2">
      <c r="A4482">
        <v>4476</v>
      </c>
      <c r="B4482" t="s">
        <v>54</v>
      </c>
    </row>
    <row r="4483" spans="1:2" x14ac:dyDescent="0.2">
      <c r="A4483">
        <v>4477</v>
      </c>
      <c r="B4483" t="s">
        <v>54</v>
      </c>
    </row>
    <row r="4484" spans="1:2" x14ac:dyDescent="0.2">
      <c r="A4484">
        <v>4478</v>
      </c>
      <c r="B4484" t="s">
        <v>54</v>
      </c>
    </row>
    <row r="4485" spans="1:2" x14ac:dyDescent="0.2">
      <c r="A4485">
        <v>4479</v>
      </c>
      <c r="B4485" t="s">
        <v>54</v>
      </c>
    </row>
    <row r="4486" spans="1:2" x14ac:dyDescent="0.2">
      <c r="A4486">
        <v>4480</v>
      </c>
      <c r="B4486" t="s">
        <v>54</v>
      </c>
    </row>
    <row r="4487" spans="1:2" x14ac:dyDescent="0.2">
      <c r="A4487">
        <v>4481</v>
      </c>
      <c r="B4487" t="s">
        <v>54</v>
      </c>
    </row>
    <row r="4488" spans="1:2" x14ac:dyDescent="0.2">
      <c r="A4488">
        <v>4482</v>
      </c>
      <c r="B4488" t="s">
        <v>54</v>
      </c>
    </row>
    <row r="4489" spans="1:2" x14ac:dyDescent="0.2">
      <c r="A4489">
        <v>4483</v>
      </c>
      <c r="B4489" t="s">
        <v>54</v>
      </c>
    </row>
    <row r="4490" spans="1:2" x14ac:dyDescent="0.2">
      <c r="A4490">
        <v>4484</v>
      </c>
      <c r="B4490" t="s">
        <v>54</v>
      </c>
    </row>
    <row r="4491" spans="1:2" x14ac:dyDescent="0.2">
      <c r="A4491">
        <v>4485</v>
      </c>
      <c r="B4491" t="s">
        <v>54</v>
      </c>
    </row>
    <row r="4492" spans="1:2" x14ac:dyDescent="0.2">
      <c r="A4492">
        <v>4486</v>
      </c>
      <c r="B4492" t="s">
        <v>54</v>
      </c>
    </row>
    <row r="4493" spans="1:2" x14ac:dyDescent="0.2">
      <c r="A4493">
        <v>4487</v>
      </c>
      <c r="B4493" t="s">
        <v>54</v>
      </c>
    </row>
    <row r="4494" spans="1:2" x14ac:dyDescent="0.2">
      <c r="A4494">
        <v>4488</v>
      </c>
      <c r="B4494" t="s">
        <v>54</v>
      </c>
    </row>
    <row r="4495" spans="1:2" x14ac:dyDescent="0.2">
      <c r="A4495">
        <v>4489</v>
      </c>
      <c r="B4495" t="s">
        <v>54</v>
      </c>
    </row>
    <row r="4496" spans="1:2" x14ac:dyDescent="0.2">
      <c r="A4496">
        <v>4490</v>
      </c>
      <c r="B4496" t="s">
        <v>54</v>
      </c>
    </row>
    <row r="4497" spans="1:2" x14ac:dyDescent="0.2">
      <c r="A4497">
        <v>4491</v>
      </c>
      <c r="B4497" t="s">
        <v>54</v>
      </c>
    </row>
    <row r="4498" spans="1:2" x14ac:dyDescent="0.2">
      <c r="A4498">
        <v>4492</v>
      </c>
      <c r="B4498" t="s">
        <v>54</v>
      </c>
    </row>
    <row r="4499" spans="1:2" x14ac:dyDescent="0.2">
      <c r="A4499">
        <v>4493</v>
      </c>
      <c r="B4499" t="s">
        <v>54</v>
      </c>
    </row>
    <row r="4500" spans="1:2" x14ac:dyDescent="0.2">
      <c r="A4500">
        <v>4494</v>
      </c>
      <c r="B4500" t="s">
        <v>54</v>
      </c>
    </row>
    <row r="4501" spans="1:2" x14ac:dyDescent="0.2">
      <c r="A4501">
        <v>4495</v>
      </c>
      <c r="B4501" t="s">
        <v>54</v>
      </c>
    </row>
    <row r="4502" spans="1:2" x14ac:dyDescent="0.2">
      <c r="A4502">
        <v>4496</v>
      </c>
      <c r="B4502" t="s">
        <v>54</v>
      </c>
    </row>
    <row r="4503" spans="1:2" x14ac:dyDescent="0.2">
      <c r="A4503">
        <v>4497</v>
      </c>
      <c r="B4503" t="s">
        <v>54</v>
      </c>
    </row>
    <row r="4504" spans="1:2" x14ac:dyDescent="0.2">
      <c r="A4504">
        <v>4498</v>
      </c>
      <c r="B4504" t="s">
        <v>54</v>
      </c>
    </row>
    <row r="4505" spans="1:2" x14ac:dyDescent="0.2">
      <c r="A4505">
        <v>4499</v>
      </c>
      <c r="B4505" t="s">
        <v>54</v>
      </c>
    </row>
    <row r="4506" spans="1:2" x14ac:dyDescent="0.2">
      <c r="A4506">
        <v>4500</v>
      </c>
      <c r="B4506" t="s">
        <v>54</v>
      </c>
    </row>
    <row r="4507" spans="1:2" x14ac:dyDescent="0.2">
      <c r="A4507">
        <v>4501</v>
      </c>
      <c r="B4507" t="s">
        <v>54</v>
      </c>
    </row>
    <row r="4508" spans="1:2" x14ac:dyDescent="0.2">
      <c r="A4508">
        <v>4502</v>
      </c>
      <c r="B4508" t="s">
        <v>54</v>
      </c>
    </row>
    <row r="4509" spans="1:2" x14ac:dyDescent="0.2">
      <c r="A4509">
        <v>4503</v>
      </c>
      <c r="B4509" t="s">
        <v>54</v>
      </c>
    </row>
    <row r="4510" spans="1:2" x14ac:dyDescent="0.2">
      <c r="A4510">
        <v>4504</v>
      </c>
      <c r="B4510" t="s">
        <v>54</v>
      </c>
    </row>
    <row r="4511" spans="1:2" x14ac:dyDescent="0.2">
      <c r="A4511">
        <v>4505</v>
      </c>
      <c r="B4511" t="s">
        <v>54</v>
      </c>
    </row>
    <row r="4512" spans="1:2" x14ac:dyDescent="0.2">
      <c r="A4512">
        <v>4506</v>
      </c>
      <c r="B4512" t="s">
        <v>54</v>
      </c>
    </row>
    <row r="4513" spans="1:2" x14ac:dyDescent="0.2">
      <c r="A4513">
        <v>4507</v>
      </c>
      <c r="B4513" t="s">
        <v>54</v>
      </c>
    </row>
    <row r="4514" spans="1:2" x14ac:dyDescent="0.2">
      <c r="A4514">
        <v>4508</v>
      </c>
      <c r="B4514" t="s">
        <v>54</v>
      </c>
    </row>
    <row r="4515" spans="1:2" x14ac:dyDescent="0.2">
      <c r="A4515">
        <v>4509</v>
      </c>
      <c r="B4515" t="s">
        <v>54</v>
      </c>
    </row>
    <row r="4516" spans="1:2" x14ac:dyDescent="0.2">
      <c r="A4516">
        <v>4510</v>
      </c>
      <c r="B4516" t="s">
        <v>54</v>
      </c>
    </row>
    <row r="4517" spans="1:2" x14ac:dyDescent="0.2">
      <c r="A4517">
        <v>4511</v>
      </c>
      <c r="B4517" t="s">
        <v>54</v>
      </c>
    </row>
    <row r="4518" spans="1:2" x14ac:dyDescent="0.2">
      <c r="A4518">
        <v>4512</v>
      </c>
      <c r="B4518" t="s">
        <v>54</v>
      </c>
    </row>
    <row r="4519" spans="1:2" x14ac:dyDescent="0.2">
      <c r="A4519">
        <v>4513</v>
      </c>
      <c r="B4519" t="s">
        <v>54</v>
      </c>
    </row>
    <row r="4520" spans="1:2" x14ac:dyDescent="0.2">
      <c r="A4520">
        <v>4514</v>
      </c>
      <c r="B4520" t="s">
        <v>54</v>
      </c>
    </row>
    <row r="4521" spans="1:2" x14ac:dyDescent="0.2">
      <c r="A4521">
        <v>4515</v>
      </c>
      <c r="B4521" t="s">
        <v>54</v>
      </c>
    </row>
    <row r="4522" spans="1:2" x14ac:dyDescent="0.2">
      <c r="A4522">
        <v>4516</v>
      </c>
      <c r="B4522" t="s">
        <v>54</v>
      </c>
    </row>
    <row r="4523" spans="1:2" x14ac:dyDescent="0.2">
      <c r="A4523">
        <v>4517</v>
      </c>
      <c r="B4523" t="s">
        <v>54</v>
      </c>
    </row>
    <row r="4524" spans="1:2" x14ac:dyDescent="0.2">
      <c r="A4524">
        <v>4518</v>
      </c>
      <c r="B4524" t="s">
        <v>54</v>
      </c>
    </row>
    <row r="4525" spans="1:2" x14ac:dyDescent="0.2">
      <c r="A4525">
        <v>4519</v>
      </c>
      <c r="B4525" t="s">
        <v>54</v>
      </c>
    </row>
    <row r="4526" spans="1:2" x14ac:dyDescent="0.2">
      <c r="A4526">
        <v>4520</v>
      </c>
      <c r="B4526" t="s">
        <v>54</v>
      </c>
    </row>
    <row r="4527" spans="1:2" x14ac:dyDescent="0.2">
      <c r="A4527">
        <v>4521</v>
      </c>
      <c r="B4527" t="s">
        <v>54</v>
      </c>
    </row>
    <row r="4528" spans="1:2" x14ac:dyDescent="0.2">
      <c r="A4528">
        <v>4522</v>
      </c>
      <c r="B4528" t="s">
        <v>54</v>
      </c>
    </row>
    <row r="4529" spans="1:2" x14ac:dyDescent="0.2">
      <c r="A4529">
        <v>4523</v>
      </c>
      <c r="B4529" t="s">
        <v>54</v>
      </c>
    </row>
    <row r="4530" spans="1:2" x14ac:dyDescent="0.2">
      <c r="A4530">
        <v>4524</v>
      </c>
      <c r="B4530" t="s">
        <v>54</v>
      </c>
    </row>
    <row r="4531" spans="1:2" x14ac:dyDescent="0.2">
      <c r="A4531">
        <v>4525</v>
      </c>
      <c r="B4531" t="s">
        <v>54</v>
      </c>
    </row>
    <row r="4532" spans="1:2" x14ac:dyDescent="0.2">
      <c r="A4532">
        <v>4526</v>
      </c>
      <c r="B4532" t="s">
        <v>54</v>
      </c>
    </row>
    <row r="4533" spans="1:2" x14ac:dyDescent="0.2">
      <c r="A4533">
        <v>4527</v>
      </c>
      <c r="B4533" t="s">
        <v>54</v>
      </c>
    </row>
    <row r="4534" spans="1:2" x14ac:dyDescent="0.2">
      <c r="A4534">
        <v>4528</v>
      </c>
      <c r="B4534" t="s">
        <v>54</v>
      </c>
    </row>
    <row r="4535" spans="1:2" x14ac:dyDescent="0.2">
      <c r="A4535">
        <v>4529</v>
      </c>
      <c r="B4535" t="s">
        <v>54</v>
      </c>
    </row>
    <row r="4536" spans="1:2" x14ac:dyDescent="0.2">
      <c r="A4536">
        <v>4530</v>
      </c>
      <c r="B4536" t="s">
        <v>54</v>
      </c>
    </row>
    <row r="4537" spans="1:2" x14ac:dyDescent="0.2">
      <c r="A4537">
        <v>4531</v>
      </c>
      <c r="B4537" t="s">
        <v>54</v>
      </c>
    </row>
    <row r="4538" spans="1:2" x14ac:dyDescent="0.2">
      <c r="A4538">
        <v>4532</v>
      </c>
      <c r="B4538" t="s">
        <v>54</v>
      </c>
    </row>
    <row r="4539" spans="1:2" x14ac:dyDescent="0.2">
      <c r="A4539">
        <v>4533</v>
      </c>
      <c r="B4539" t="s">
        <v>54</v>
      </c>
    </row>
    <row r="4540" spans="1:2" x14ac:dyDescent="0.2">
      <c r="A4540">
        <v>4534</v>
      </c>
      <c r="B4540" t="s">
        <v>54</v>
      </c>
    </row>
    <row r="4541" spans="1:2" x14ac:dyDescent="0.2">
      <c r="A4541">
        <v>4535</v>
      </c>
      <c r="B4541" t="s">
        <v>54</v>
      </c>
    </row>
    <row r="4542" spans="1:2" x14ac:dyDescent="0.2">
      <c r="A4542">
        <v>4536</v>
      </c>
      <c r="B4542" t="s">
        <v>54</v>
      </c>
    </row>
    <row r="4543" spans="1:2" x14ac:dyDescent="0.2">
      <c r="A4543">
        <v>4537</v>
      </c>
      <c r="B4543" t="s">
        <v>54</v>
      </c>
    </row>
    <row r="4544" spans="1:2" x14ac:dyDescent="0.2">
      <c r="A4544">
        <v>4538</v>
      </c>
      <c r="B4544" t="s">
        <v>54</v>
      </c>
    </row>
    <row r="4545" spans="1:2" x14ac:dyDescent="0.2">
      <c r="A4545">
        <v>4539</v>
      </c>
      <c r="B4545" t="s">
        <v>54</v>
      </c>
    </row>
    <row r="4546" spans="1:2" x14ac:dyDescent="0.2">
      <c r="A4546">
        <v>4540</v>
      </c>
      <c r="B4546" t="s">
        <v>54</v>
      </c>
    </row>
    <row r="4547" spans="1:2" x14ac:dyDescent="0.2">
      <c r="A4547">
        <v>4541</v>
      </c>
      <c r="B4547" t="s">
        <v>54</v>
      </c>
    </row>
    <row r="4548" spans="1:2" x14ac:dyDescent="0.2">
      <c r="A4548">
        <v>4542</v>
      </c>
      <c r="B4548" t="s">
        <v>54</v>
      </c>
    </row>
    <row r="4549" spans="1:2" x14ac:dyDescent="0.2">
      <c r="A4549">
        <v>4543</v>
      </c>
      <c r="B4549" t="s">
        <v>54</v>
      </c>
    </row>
    <row r="4550" spans="1:2" x14ac:dyDescent="0.2">
      <c r="A4550">
        <v>4544</v>
      </c>
      <c r="B4550" t="s">
        <v>54</v>
      </c>
    </row>
    <row r="4551" spans="1:2" x14ac:dyDescent="0.2">
      <c r="A4551">
        <v>4545</v>
      </c>
      <c r="B4551" t="s">
        <v>54</v>
      </c>
    </row>
    <row r="4552" spans="1:2" x14ac:dyDescent="0.2">
      <c r="A4552">
        <v>4546</v>
      </c>
      <c r="B4552" t="s">
        <v>54</v>
      </c>
    </row>
    <row r="4553" spans="1:2" x14ac:dyDescent="0.2">
      <c r="A4553">
        <v>4547</v>
      </c>
      <c r="B4553" t="s">
        <v>54</v>
      </c>
    </row>
    <row r="4554" spans="1:2" x14ac:dyDescent="0.2">
      <c r="A4554">
        <v>4548</v>
      </c>
      <c r="B4554" t="s">
        <v>54</v>
      </c>
    </row>
    <row r="4555" spans="1:2" x14ac:dyDescent="0.2">
      <c r="A4555">
        <v>4549</v>
      </c>
      <c r="B4555" t="s">
        <v>54</v>
      </c>
    </row>
    <row r="4556" spans="1:2" x14ac:dyDescent="0.2">
      <c r="A4556">
        <v>4550</v>
      </c>
      <c r="B4556" t="s">
        <v>54</v>
      </c>
    </row>
    <row r="4557" spans="1:2" x14ac:dyDescent="0.2">
      <c r="A4557">
        <v>4551</v>
      </c>
      <c r="B4557" t="s">
        <v>54</v>
      </c>
    </row>
    <row r="4558" spans="1:2" x14ac:dyDescent="0.2">
      <c r="A4558">
        <v>4552</v>
      </c>
      <c r="B4558" t="s">
        <v>54</v>
      </c>
    </row>
    <row r="4559" spans="1:2" x14ac:dyDescent="0.2">
      <c r="A4559">
        <v>4553</v>
      </c>
      <c r="B4559" t="s">
        <v>54</v>
      </c>
    </row>
    <row r="4560" spans="1:2" x14ac:dyDescent="0.2">
      <c r="A4560">
        <v>4554</v>
      </c>
      <c r="B4560" t="s">
        <v>54</v>
      </c>
    </row>
    <row r="4561" spans="1:2" x14ac:dyDescent="0.2">
      <c r="A4561">
        <v>4555</v>
      </c>
      <c r="B4561" t="s">
        <v>54</v>
      </c>
    </row>
    <row r="4562" spans="1:2" x14ac:dyDescent="0.2">
      <c r="A4562">
        <v>4556</v>
      </c>
      <c r="B4562" t="s">
        <v>54</v>
      </c>
    </row>
    <row r="4563" spans="1:2" x14ac:dyDescent="0.2">
      <c r="A4563">
        <v>4557</v>
      </c>
      <c r="B4563" t="s">
        <v>54</v>
      </c>
    </row>
    <row r="4564" spans="1:2" x14ac:dyDescent="0.2">
      <c r="A4564">
        <v>4558</v>
      </c>
      <c r="B4564" t="s">
        <v>54</v>
      </c>
    </row>
    <row r="4565" spans="1:2" x14ac:dyDescent="0.2">
      <c r="A4565">
        <v>4559</v>
      </c>
      <c r="B4565" t="s">
        <v>54</v>
      </c>
    </row>
    <row r="4566" spans="1:2" x14ac:dyDescent="0.2">
      <c r="A4566">
        <v>4560</v>
      </c>
      <c r="B4566" t="s">
        <v>54</v>
      </c>
    </row>
    <row r="4567" spans="1:2" x14ac:dyDescent="0.2">
      <c r="A4567">
        <v>4561</v>
      </c>
      <c r="B4567" t="s">
        <v>54</v>
      </c>
    </row>
    <row r="4568" spans="1:2" x14ac:dyDescent="0.2">
      <c r="A4568">
        <v>4562</v>
      </c>
      <c r="B4568" t="s">
        <v>54</v>
      </c>
    </row>
    <row r="4569" spans="1:2" x14ac:dyDescent="0.2">
      <c r="A4569">
        <v>4563</v>
      </c>
      <c r="B4569" t="s">
        <v>54</v>
      </c>
    </row>
    <row r="4570" spans="1:2" x14ac:dyDescent="0.2">
      <c r="A4570">
        <v>4564</v>
      </c>
      <c r="B4570" t="s">
        <v>54</v>
      </c>
    </row>
    <row r="4571" spans="1:2" x14ac:dyDescent="0.2">
      <c r="A4571">
        <v>4565</v>
      </c>
      <c r="B4571" t="s">
        <v>54</v>
      </c>
    </row>
    <row r="4572" spans="1:2" x14ac:dyDescent="0.2">
      <c r="A4572">
        <v>4566</v>
      </c>
      <c r="B4572" t="s">
        <v>54</v>
      </c>
    </row>
    <row r="4573" spans="1:2" x14ac:dyDescent="0.2">
      <c r="A4573">
        <v>4567</v>
      </c>
      <c r="B4573" t="s">
        <v>54</v>
      </c>
    </row>
    <row r="4574" spans="1:2" x14ac:dyDescent="0.2">
      <c r="A4574">
        <v>4568</v>
      </c>
      <c r="B4574" t="s">
        <v>54</v>
      </c>
    </row>
    <row r="4575" spans="1:2" x14ac:dyDescent="0.2">
      <c r="A4575">
        <v>4569</v>
      </c>
      <c r="B4575" t="s">
        <v>54</v>
      </c>
    </row>
    <row r="4576" spans="1:2" x14ac:dyDescent="0.2">
      <c r="A4576">
        <v>4570</v>
      </c>
      <c r="B4576" t="s">
        <v>54</v>
      </c>
    </row>
    <row r="4577" spans="1:2" x14ac:dyDescent="0.2">
      <c r="A4577">
        <v>4571</v>
      </c>
      <c r="B4577" t="s">
        <v>54</v>
      </c>
    </row>
    <row r="4578" spans="1:2" x14ac:dyDescent="0.2">
      <c r="A4578">
        <v>4572</v>
      </c>
      <c r="B4578" t="s">
        <v>54</v>
      </c>
    </row>
    <row r="4579" spans="1:2" x14ac:dyDescent="0.2">
      <c r="A4579">
        <v>4573</v>
      </c>
      <c r="B4579" t="s">
        <v>54</v>
      </c>
    </row>
    <row r="4580" spans="1:2" x14ac:dyDescent="0.2">
      <c r="A4580">
        <v>4574</v>
      </c>
      <c r="B4580" t="s">
        <v>54</v>
      </c>
    </row>
    <row r="4581" spans="1:2" x14ac:dyDescent="0.2">
      <c r="A4581">
        <v>4575</v>
      </c>
      <c r="B4581" t="s">
        <v>54</v>
      </c>
    </row>
    <row r="4582" spans="1:2" x14ac:dyDescent="0.2">
      <c r="A4582">
        <v>4576</v>
      </c>
      <c r="B4582" t="s">
        <v>54</v>
      </c>
    </row>
    <row r="4583" spans="1:2" x14ac:dyDescent="0.2">
      <c r="A4583">
        <v>4577</v>
      </c>
      <c r="B4583" t="s">
        <v>54</v>
      </c>
    </row>
    <row r="4584" spans="1:2" x14ac:dyDescent="0.2">
      <c r="A4584">
        <v>4578</v>
      </c>
      <c r="B4584" t="s">
        <v>54</v>
      </c>
    </row>
    <row r="4585" spans="1:2" x14ac:dyDescent="0.2">
      <c r="A4585">
        <v>4579</v>
      </c>
      <c r="B4585" t="s">
        <v>54</v>
      </c>
    </row>
    <row r="4586" spans="1:2" x14ac:dyDescent="0.2">
      <c r="A4586">
        <v>4580</v>
      </c>
      <c r="B4586" t="s">
        <v>54</v>
      </c>
    </row>
    <row r="4587" spans="1:2" x14ac:dyDescent="0.2">
      <c r="A4587">
        <v>4581</v>
      </c>
      <c r="B4587" t="s">
        <v>54</v>
      </c>
    </row>
    <row r="4588" spans="1:2" x14ac:dyDescent="0.2">
      <c r="A4588">
        <v>4582</v>
      </c>
      <c r="B4588" t="s">
        <v>54</v>
      </c>
    </row>
    <row r="4589" spans="1:2" x14ac:dyDescent="0.2">
      <c r="A4589">
        <v>4583</v>
      </c>
      <c r="B4589" t="s">
        <v>54</v>
      </c>
    </row>
    <row r="4590" spans="1:2" x14ac:dyDescent="0.2">
      <c r="A4590">
        <v>4584</v>
      </c>
      <c r="B4590" t="s">
        <v>54</v>
      </c>
    </row>
    <row r="4591" spans="1:2" x14ac:dyDescent="0.2">
      <c r="A4591">
        <v>4585</v>
      </c>
      <c r="B4591" t="s">
        <v>54</v>
      </c>
    </row>
    <row r="4592" spans="1:2" x14ac:dyDescent="0.2">
      <c r="A4592">
        <v>4586</v>
      </c>
      <c r="B4592" t="s">
        <v>54</v>
      </c>
    </row>
    <row r="4593" spans="1:2" x14ac:dyDescent="0.2">
      <c r="A4593">
        <v>4587</v>
      </c>
      <c r="B4593" t="s">
        <v>54</v>
      </c>
    </row>
    <row r="4594" spans="1:2" x14ac:dyDescent="0.2">
      <c r="A4594">
        <v>4588</v>
      </c>
      <c r="B4594" t="s">
        <v>54</v>
      </c>
    </row>
    <row r="4595" spans="1:2" x14ac:dyDescent="0.2">
      <c r="A4595">
        <v>4589</v>
      </c>
      <c r="B4595" t="s">
        <v>54</v>
      </c>
    </row>
    <row r="4596" spans="1:2" x14ac:dyDescent="0.2">
      <c r="A4596">
        <v>4590</v>
      </c>
      <c r="B4596" t="s">
        <v>54</v>
      </c>
    </row>
    <row r="4597" spans="1:2" x14ac:dyDescent="0.2">
      <c r="A4597">
        <v>4591</v>
      </c>
      <c r="B4597" t="s">
        <v>54</v>
      </c>
    </row>
    <row r="4598" spans="1:2" x14ac:dyDescent="0.2">
      <c r="A4598">
        <v>4592</v>
      </c>
      <c r="B4598" t="s">
        <v>54</v>
      </c>
    </row>
    <row r="4599" spans="1:2" x14ac:dyDescent="0.2">
      <c r="A4599">
        <v>4593</v>
      </c>
      <c r="B4599" t="s">
        <v>54</v>
      </c>
    </row>
    <row r="4600" spans="1:2" x14ac:dyDescent="0.2">
      <c r="A4600">
        <v>4594</v>
      </c>
      <c r="B4600" t="s">
        <v>54</v>
      </c>
    </row>
    <row r="4601" spans="1:2" x14ac:dyDescent="0.2">
      <c r="A4601">
        <v>4595</v>
      </c>
      <c r="B4601" t="s">
        <v>54</v>
      </c>
    </row>
    <row r="4602" spans="1:2" x14ac:dyDescent="0.2">
      <c r="A4602">
        <v>4596</v>
      </c>
      <c r="B4602" t="s">
        <v>54</v>
      </c>
    </row>
    <row r="4603" spans="1:2" x14ac:dyDescent="0.2">
      <c r="A4603">
        <v>4597</v>
      </c>
      <c r="B4603" t="s">
        <v>54</v>
      </c>
    </row>
    <row r="4604" spans="1:2" x14ac:dyDescent="0.2">
      <c r="A4604">
        <v>4598</v>
      </c>
      <c r="B4604" t="s">
        <v>54</v>
      </c>
    </row>
    <row r="4605" spans="1:2" x14ac:dyDescent="0.2">
      <c r="A4605">
        <v>4599</v>
      </c>
      <c r="B4605" t="s">
        <v>54</v>
      </c>
    </row>
    <row r="4606" spans="1:2" x14ac:dyDescent="0.2">
      <c r="A4606">
        <v>4600</v>
      </c>
      <c r="B4606" t="s">
        <v>54</v>
      </c>
    </row>
    <row r="4607" spans="1:2" x14ac:dyDescent="0.2">
      <c r="A4607">
        <v>4601</v>
      </c>
      <c r="B4607" t="s">
        <v>54</v>
      </c>
    </row>
    <row r="4608" spans="1:2" x14ac:dyDescent="0.2">
      <c r="A4608">
        <v>4602</v>
      </c>
      <c r="B4608" t="s">
        <v>54</v>
      </c>
    </row>
    <row r="4609" spans="1:2" x14ac:dyDescent="0.2">
      <c r="A4609">
        <v>4603</v>
      </c>
      <c r="B4609" t="s">
        <v>54</v>
      </c>
    </row>
    <row r="4610" spans="1:2" x14ac:dyDescent="0.2">
      <c r="A4610">
        <v>4604</v>
      </c>
      <c r="B4610" t="s">
        <v>54</v>
      </c>
    </row>
    <row r="4611" spans="1:2" x14ac:dyDescent="0.2">
      <c r="A4611">
        <v>4605</v>
      </c>
      <c r="B4611" t="s">
        <v>54</v>
      </c>
    </row>
    <row r="4612" spans="1:2" x14ac:dyDescent="0.2">
      <c r="A4612">
        <v>4606</v>
      </c>
      <c r="B4612" t="s">
        <v>54</v>
      </c>
    </row>
    <row r="4613" spans="1:2" x14ac:dyDescent="0.2">
      <c r="A4613">
        <v>4607</v>
      </c>
      <c r="B4613" t="s">
        <v>54</v>
      </c>
    </row>
    <row r="4614" spans="1:2" x14ac:dyDescent="0.2">
      <c r="A4614">
        <v>4608</v>
      </c>
      <c r="B4614" t="s">
        <v>54</v>
      </c>
    </row>
    <row r="4615" spans="1:2" x14ac:dyDescent="0.2">
      <c r="A4615">
        <v>4609</v>
      </c>
      <c r="B4615" t="s">
        <v>54</v>
      </c>
    </row>
    <row r="4616" spans="1:2" x14ac:dyDescent="0.2">
      <c r="A4616">
        <v>4610</v>
      </c>
      <c r="B4616" t="s">
        <v>54</v>
      </c>
    </row>
    <row r="4617" spans="1:2" x14ac:dyDescent="0.2">
      <c r="A4617">
        <v>4611</v>
      </c>
      <c r="B4617" t="s">
        <v>54</v>
      </c>
    </row>
    <row r="4618" spans="1:2" x14ac:dyDescent="0.2">
      <c r="A4618">
        <v>4612</v>
      </c>
      <c r="B4618" t="s">
        <v>54</v>
      </c>
    </row>
    <row r="4619" spans="1:2" x14ac:dyDescent="0.2">
      <c r="A4619">
        <v>4613</v>
      </c>
      <c r="B4619" t="s">
        <v>54</v>
      </c>
    </row>
    <row r="4620" spans="1:2" x14ac:dyDescent="0.2">
      <c r="A4620">
        <v>4614</v>
      </c>
      <c r="B4620" t="s">
        <v>54</v>
      </c>
    </row>
    <row r="4621" spans="1:2" x14ac:dyDescent="0.2">
      <c r="A4621">
        <v>4615</v>
      </c>
      <c r="B4621" t="s">
        <v>54</v>
      </c>
    </row>
    <row r="4622" spans="1:2" x14ac:dyDescent="0.2">
      <c r="A4622">
        <v>4616</v>
      </c>
      <c r="B4622" t="s">
        <v>54</v>
      </c>
    </row>
    <row r="4623" spans="1:2" x14ac:dyDescent="0.2">
      <c r="A4623">
        <v>4617</v>
      </c>
      <c r="B4623" t="s">
        <v>54</v>
      </c>
    </row>
    <row r="4624" spans="1:2" x14ac:dyDescent="0.2">
      <c r="A4624">
        <v>4618</v>
      </c>
      <c r="B4624" t="s">
        <v>54</v>
      </c>
    </row>
    <row r="4625" spans="1:2" x14ac:dyDescent="0.2">
      <c r="A4625">
        <v>4619</v>
      </c>
      <c r="B4625" t="s">
        <v>54</v>
      </c>
    </row>
    <row r="4626" spans="1:2" x14ac:dyDescent="0.2">
      <c r="A4626">
        <v>4620</v>
      </c>
      <c r="B4626" t="s">
        <v>54</v>
      </c>
    </row>
    <row r="4627" spans="1:2" x14ac:dyDescent="0.2">
      <c r="A4627">
        <v>4621</v>
      </c>
      <c r="B4627" t="s">
        <v>54</v>
      </c>
    </row>
    <row r="4628" spans="1:2" x14ac:dyDescent="0.2">
      <c r="A4628">
        <v>4622</v>
      </c>
      <c r="B4628" t="s">
        <v>54</v>
      </c>
    </row>
    <row r="4629" spans="1:2" x14ac:dyDescent="0.2">
      <c r="A4629">
        <v>4623</v>
      </c>
      <c r="B4629" t="s">
        <v>54</v>
      </c>
    </row>
    <row r="4630" spans="1:2" x14ac:dyDescent="0.2">
      <c r="A4630">
        <v>4624</v>
      </c>
      <c r="B4630" t="s">
        <v>54</v>
      </c>
    </row>
    <row r="4631" spans="1:2" x14ac:dyDescent="0.2">
      <c r="A4631">
        <v>4625</v>
      </c>
      <c r="B4631" t="s">
        <v>54</v>
      </c>
    </row>
    <row r="4632" spans="1:2" x14ac:dyDescent="0.2">
      <c r="A4632">
        <v>4626</v>
      </c>
      <c r="B4632" t="s">
        <v>54</v>
      </c>
    </row>
    <row r="4633" spans="1:2" x14ac:dyDescent="0.2">
      <c r="A4633">
        <v>4627</v>
      </c>
      <c r="B4633" t="s">
        <v>54</v>
      </c>
    </row>
    <row r="4634" spans="1:2" x14ac:dyDescent="0.2">
      <c r="A4634">
        <v>4628</v>
      </c>
      <c r="B4634" t="s">
        <v>54</v>
      </c>
    </row>
    <row r="4635" spans="1:2" x14ac:dyDescent="0.2">
      <c r="A4635">
        <v>4629</v>
      </c>
      <c r="B4635" t="s">
        <v>54</v>
      </c>
    </row>
    <row r="4636" spans="1:2" x14ac:dyDescent="0.2">
      <c r="A4636">
        <v>4630</v>
      </c>
      <c r="B4636" t="s">
        <v>54</v>
      </c>
    </row>
    <row r="4637" spans="1:2" x14ac:dyDescent="0.2">
      <c r="A4637">
        <v>4631</v>
      </c>
      <c r="B4637" t="s">
        <v>54</v>
      </c>
    </row>
    <row r="4638" spans="1:2" x14ac:dyDescent="0.2">
      <c r="A4638">
        <v>4632</v>
      </c>
      <c r="B4638" t="s">
        <v>54</v>
      </c>
    </row>
    <row r="4639" spans="1:2" x14ac:dyDescent="0.2">
      <c r="A4639">
        <v>4633</v>
      </c>
      <c r="B4639" t="s">
        <v>54</v>
      </c>
    </row>
    <row r="4640" spans="1:2" x14ac:dyDescent="0.2">
      <c r="A4640">
        <v>4634</v>
      </c>
      <c r="B4640" t="s">
        <v>54</v>
      </c>
    </row>
    <row r="4641" spans="1:2" x14ac:dyDescent="0.2">
      <c r="A4641">
        <v>4635</v>
      </c>
      <c r="B4641" t="s">
        <v>54</v>
      </c>
    </row>
    <row r="4642" spans="1:2" x14ac:dyDescent="0.2">
      <c r="A4642">
        <v>4636</v>
      </c>
      <c r="B4642" t="s">
        <v>54</v>
      </c>
    </row>
    <row r="4643" spans="1:2" x14ac:dyDescent="0.2">
      <c r="A4643">
        <v>4637</v>
      </c>
      <c r="B4643" t="s">
        <v>54</v>
      </c>
    </row>
    <row r="4644" spans="1:2" x14ac:dyDescent="0.2">
      <c r="A4644">
        <v>4638</v>
      </c>
      <c r="B4644" t="s">
        <v>54</v>
      </c>
    </row>
    <row r="4645" spans="1:2" x14ac:dyDescent="0.2">
      <c r="A4645">
        <v>4639</v>
      </c>
      <c r="B4645" t="s">
        <v>54</v>
      </c>
    </row>
    <row r="4646" spans="1:2" x14ac:dyDescent="0.2">
      <c r="A4646">
        <v>4640</v>
      </c>
      <c r="B4646" t="s">
        <v>54</v>
      </c>
    </row>
    <row r="4647" spans="1:2" x14ac:dyDescent="0.2">
      <c r="A4647">
        <v>4641</v>
      </c>
      <c r="B4647" t="s">
        <v>54</v>
      </c>
    </row>
    <row r="4648" spans="1:2" x14ac:dyDescent="0.2">
      <c r="A4648">
        <v>4642</v>
      </c>
      <c r="B4648" t="s">
        <v>54</v>
      </c>
    </row>
    <row r="4649" spans="1:2" x14ac:dyDescent="0.2">
      <c r="A4649">
        <v>4643</v>
      </c>
      <c r="B4649" t="s">
        <v>54</v>
      </c>
    </row>
    <row r="4650" spans="1:2" x14ac:dyDescent="0.2">
      <c r="A4650">
        <v>4644</v>
      </c>
      <c r="B4650" t="s">
        <v>54</v>
      </c>
    </row>
    <row r="4651" spans="1:2" x14ac:dyDescent="0.2">
      <c r="A4651">
        <v>4645</v>
      </c>
      <c r="B4651" t="s">
        <v>54</v>
      </c>
    </row>
    <row r="4652" spans="1:2" x14ac:dyDescent="0.2">
      <c r="A4652">
        <v>4646</v>
      </c>
      <c r="B4652" t="s">
        <v>54</v>
      </c>
    </row>
    <row r="4653" spans="1:2" x14ac:dyDescent="0.2">
      <c r="A4653">
        <v>4647</v>
      </c>
      <c r="B4653" t="s">
        <v>54</v>
      </c>
    </row>
    <row r="4654" spans="1:2" x14ac:dyDescent="0.2">
      <c r="A4654">
        <v>4648</v>
      </c>
      <c r="B4654" t="s">
        <v>54</v>
      </c>
    </row>
    <row r="4655" spans="1:2" x14ac:dyDescent="0.2">
      <c r="A4655">
        <v>4649</v>
      </c>
      <c r="B4655" t="s">
        <v>54</v>
      </c>
    </row>
    <row r="4656" spans="1:2" x14ac:dyDescent="0.2">
      <c r="A4656">
        <v>4650</v>
      </c>
      <c r="B4656" t="s">
        <v>54</v>
      </c>
    </row>
    <row r="4657" spans="1:2" x14ac:dyDescent="0.2">
      <c r="A4657">
        <v>4651</v>
      </c>
      <c r="B4657" t="s">
        <v>54</v>
      </c>
    </row>
    <row r="4658" spans="1:2" x14ac:dyDescent="0.2">
      <c r="A4658">
        <v>4652</v>
      </c>
      <c r="B4658" t="s">
        <v>54</v>
      </c>
    </row>
    <row r="4659" spans="1:2" x14ac:dyDescent="0.2">
      <c r="A4659">
        <v>4653</v>
      </c>
      <c r="B4659" t="s">
        <v>54</v>
      </c>
    </row>
    <row r="4660" spans="1:2" x14ac:dyDescent="0.2">
      <c r="A4660">
        <v>4654</v>
      </c>
      <c r="B4660" t="s">
        <v>54</v>
      </c>
    </row>
    <row r="4661" spans="1:2" x14ac:dyDescent="0.2">
      <c r="A4661">
        <v>4655</v>
      </c>
      <c r="B4661" t="s">
        <v>54</v>
      </c>
    </row>
    <row r="4662" spans="1:2" x14ac:dyDescent="0.2">
      <c r="A4662">
        <v>4656</v>
      </c>
      <c r="B4662" t="s">
        <v>54</v>
      </c>
    </row>
    <row r="4663" spans="1:2" x14ac:dyDescent="0.2">
      <c r="A4663">
        <v>4657</v>
      </c>
      <c r="B4663" t="s">
        <v>54</v>
      </c>
    </row>
    <row r="4664" spans="1:2" x14ac:dyDescent="0.2">
      <c r="A4664">
        <v>4658</v>
      </c>
      <c r="B4664" t="s">
        <v>54</v>
      </c>
    </row>
    <row r="4665" spans="1:2" x14ac:dyDescent="0.2">
      <c r="A4665">
        <v>4659</v>
      </c>
      <c r="B4665" t="s">
        <v>54</v>
      </c>
    </row>
    <row r="4666" spans="1:2" x14ac:dyDescent="0.2">
      <c r="A4666">
        <v>4660</v>
      </c>
      <c r="B4666" t="s">
        <v>54</v>
      </c>
    </row>
    <row r="4667" spans="1:2" x14ac:dyDescent="0.2">
      <c r="A4667">
        <v>4661</v>
      </c>
      <c r="B4667" t="s">
        <v>54</v>
      </c>
    </row>
    <row r="4668" spans="1:2" x14ac:dyDescent="0.2">
      <c r="A4668">
        <v>4662</v>
      </c>
      <c r="B4668" t="s">
        <v>54</v>
      </c>
    </row>
    <row r="4669" spans="1:2" x14ac:dyDescent="0.2">
      <c r="A4669">
        <v>4663</v>
      </c>
      <c r="B4669" t="s">
        <v>54</v>
      </c>
    </row>
    <row r="4670" spans="1:2" x14ac:dyDescent="0.2">
      <c r="A4670">
        <v>4664</v>
      </c>
      <c r="B4670" t="s">
        <v>54</v>
      </c>
    </row>
    <row r="4671" spans="1:2" x14ac:dyDescent="0.2">
      <c r="A4671">
        <v>4665</v>
      </c>
      <c r="B4671" t="s">
        <v>54</v>
      </c>
    </row>
    <row r="4672" spans="1:2" x14ac:dyDescent="0.2">
      <c r="A4672">
        <v>4666</v>
      </c>
      <c r="B4672" t="s">
        <v>54</v>
      </c>
    </row>
    <row r="4673" spans="1:2" x14ac:dyDescent="0.2">
      <c r="A4673">
        <v>4667</v>
      </c>
      <c r="B4673" t="s">
        <v>54</v>
      </c>
    </row>
    <row r="4674" spans="1:2" x14ac:dyDescent="0.2">
      <c r="A4674">
        <v>4668</v>
      </c>
      <c r="B4674" t="s">
        <v>54</v>
      </c>
    </row>
    <row r="4675" spans="1:2" x14ac:dyDescent="0.2">
      <c r="A4675">
        <v>4669</v>
      </c>
      <c r="B4675" t="s">
        <v>54</v>
      </c>
    </row>
    <row r="4676" spans="1:2" x14ac:dyDescent="0.2">
      <c r="A4676">
        <v>4670</v>
      </c>
      <c r="B4676" t="s">
        <v>54</v>
      </c>
    </row>
    <row r="4677" spans="1:2" x14ac:dyDescent="0.2">
      <c r="A4677">
        <v>4671</v>
      </c>
      <c r="B4677" t="s">
        <v>54</v>
      </c>
    </row>
    <row r="4678" spans="1:2" x14ac:dyDescent="0.2">
      <c r="A4678">
        <v>4672</v>
      </c>
      <c r="B4678" t="s">
        <v>54</v>
      </c>
    </row>
    <row r="4679" spans="1:2" x14ac:dyDescent="0.2">
      <c r="A4679">
        <v>4673</v>
      </c>
      <c r="B4679" t="s">
        <v>54</v>
      </c>
    </row>
    <row r="4680" spans="1:2" x14ac:dyDescent="0.2">
      <c r="A4680">
        <v>4674</v>
      </c>
      <c r="B4680" t="s">
        <v>54</v>
      </c>
    </row>
    <row r="4681" spans="1:2" x14ac:dyDescent="0.2">
      <c r="A4681">
        <v>4675</v>
      </c>
      <c r="B4681" t="s">
        <v>54</v>
      </c>
    </row>
    <row r="4682" spans="1:2" x14ac:dyDescent="0.2">
      <c r="A4682">
        <v>4676</v>
      </c>
      <c r="B4682" t="s">
        <v>54</v>
      </c>
    </row>
    <row r="4683" spans="1:2" x14ac:dyDescent="0.2">
      <c r="A4683">
        <v>4677</v>
      </c>
      <c r="B4683" t="s">
        <v>54</v>
      </c>
    </row>
    <row r="4684" spans="1:2" x14ac:dyDescent="0.2">
      <c r="A4684">
        <v>4678</v>
      </c>
      <c r="B4684" t="s">
        <v>54</v>
      </c>
    </row>
    <row r="4685" spans="1:2" x14ac:dyDescent="0.2">
      <c r="A4685">
        <v>4679</v>
      </c>
      <c r="B4685" t="s">
        <v>54</v>
      </c>
    </row>
    <row r="4686" spans="1:2" x14ac:dyDescent="0.2">
      <c r="A4686">
        <v>4680</v>
      </c>
      <c r="B4686" t="s">
        <v>54</v>
      </c>
    </row>
    <row r="4687" spans="1:2" x14ac:dyDescent="0.2">
      <c r="A4687">
        <v>4681</v>
      </c>
      <c r="B4687" t="s">
        <v>54</v>
      </c>
    </row>
    <row r="4688" spans="1:2" x14ac:dyDescent="0.2">
      <c r="A4688">
        <v>4682</v>
      </c>
      <c r="B4688" t="s">
        <v>54</v>
      </c>
    </row>
    <row r="4689" spans="1:2" x14ac:dyDescent="0.2">
      <c r="A4689">
        <v>4683</v>
      </c>
      <c r="B4689" t="s">
        <v>54</v>
      </c>
    </row>
    <row r="4690" spans="1:2" x14ac:dyDescent="0.2">
      <c r="A4690">
        <v>4684</v>
      </c>
      <c r="B4690" t="s">
        <v>54</v>
      </c>
    </row>
    <row r="4691" spans="1:2" x14ac:dyDescent="0.2">
      <c r="A4691">
        <v>4685</v>
      </c>
      <c r="B4691" t="s">
        <v>54</v>
      </c>
    </row>
    <row r="4692" spans="1:2" x14ac:dyDescent="0.2">
      <c r="A4692">
        <v>4686</v>
      </c>
      <c r="B4692" t="s">
        <v>54</v>
      </c>
    </row>
    <row r="4693" spans="1:2" x14ac:dyDescent="0.2">
      <c r="A4693">
        <v>4687</v>
      </c>
      <c r="B4693" t="s">
        <v>54</v>
      </c>
    </row>
    <row r="4694" spans="1:2" x14ac:dyDescent="0.2">
      <c r="A4694">
        <v>4688</v>
      </c>
      <c r="B4694" t="s">
        <v>54</v>
      </c>
    </row>
    <row r="4695" spans="1:2" x14ac:dyDescent="0.2">
      <c r="A4695">
        <v>4689</v>
      </c>
      <c r="B4695" t="s">
        <v>54</v>
      </c>
    </row>
    <row r="4696" spans="1:2" x14ac:dyDescent="0.2">
      <c r="A4696">
        <v>4690</v>
      </c>
      <c r="B4696" t="s">
        <v>54</v>
      </c>
    </row>
    <row r="4697" spans="1:2" x14ac:dyDescent="0.2">
      <c r="A4697">
        <v>4691</v>
      </c>
      <c r="B4697" t="s">
        <v>54</v>
      </c>
    </row>
    <row r="4698" spans="1:2" x14ac:dyDescent="0.2">
      <c r="A4698">
        <v>4692</v>
      </c>
      <c r="B4698" t="s">
        <v>54</v>
      </c>
    </row>
    <row r="4699" spans="1:2" x14ac:dyDescent="0.2">
      <c r="A4699">
        <v>4693</v>
      </c>
      <c r="B4699" t="s">
        <v>54</v>
      </c>
    </row>
    <row r="4700" spans="1:2" x14ac:dyDescent="0.2">
      <c r="A4700">
        <v>4694</v>
      </c>
      <c r="B4700" t="s">
        <v>54</v>
      </c>
    </row>
    <row r="4701" spans="1:2" x14ac:dyDescent="0.2">
      <c r="A4701">
        <v>4695</v>
      </c>
      <c r="B4701" t="s">
        <v>54</v>
      </c>
    </row>
    <row r="4702" spans="1:2" x14ac:dyDescent="0.2">
      <c r="A4702">
        <v>4696</v>
      </c>
      <c r="B4702" t="s">
        <v>54</v>
      </c>
    </row>
    <row r="4703" spans="1:2" x14ac:dyDescent="0.2">
      <c r="A4703">
        <v>4697</v>
      </c>
      <c r="B4703" t="s">
        <v>54</v>
      </c>
    </row>
    <row r="4704" spans="1:2" x14ac:dyDescent="0.2">
      <c r="A4704">
        <v>4698</v>
      </c>
      <c r="B4704" t="s">
        <v>54</v>
      </c>
    </row>
    <row r="4705" spans="1:2" x14ac:dyDescent="0.2">
      <c r="A4705">
        <v>4699</v>
      </c>
      <c r="B4705" t="s">
        <v>54</v>
      </c>
    </row>
    <row r="4706" spans="1:2" x14ac:dyDescent="0.2">
      <c r="A4706">
        <v>4700</v>
      </c>
      <c r="B4706" t="s">
        <v>54</v>
      </c>
    </row>
    <row r="4707" spans="1:2" x14ac:dyDescent="0.2">
      <c r="A4707">
        <v>4701</v>
      </c>
      <c r="B4707" t="s">
        <v>54</v>
      </c>
    </row>
    <row r="4708" spans="1:2" x14ac:dyDescent="0.2">
      <c r="A4708">
        <v>4702</v>
      </c>
      <c r="B4708" t="s">
        <v>54</v>
      </c>
    </row>
    <row r="4709" spans="1:2" x14ac:dyDescent="0.2">
      <c r="A4709">
        <v>4703</v>
      </c>
      <c r="B4709" t="s">
        <v>54</v>
      </c>
    </row>
    <row r="4710" spans="1:2" x14ac:dyDescent="0.2">
      <c r="A4710">
        <v>4704</v>
      </c>
      <c r="B4710" t="s">
        <v>54</v>
      </c>
    </row>
    <row r="4711" spans="1:2" x14ac:dyDescent="0.2">
      <c r="A4711">
        <v>4705</v>
      </c>
      <c r="B4711" t="s">
        <v>54</v>
      </c>
    </row>
    <row r="4712" spans="1:2" x14ac:dyDescent="0.2">
      <c r="A4712">
        <v>4706</v>
      </c>
      <c r="B4712" t="s">
        <v>54</v>
      </c>
    </row>
    <row r="4713" spans="1:2" x14ac:dyDescent="0.2">
      <c r="A4713">
        <v>4707</v>
      </c>
      <c r="B4713" t="s">
        <v>54</v>
      </c>
    </row>
    <row r="4714" spans="1:2" x14ac:dyDescent="0.2">
      <c r="A4714">
        <v>4708</v>
      </c>
      <c r="B4714" t="s">
        <v>54</v>
      </c>
    </row>
    <row r="4715" spans="1:2" x14ac:dyDescent="0.2">
      <c r="A4715">
        <v>4709</v>
      </c>
      <c r="B4715" t="s">
        <v>54</v>
      </c>
    </row>
    <row r="4716" spans="1:2" x14ac:dyDescent="0.2">
      <c r="A4716">
        <v>4710</v>
      </c>
      <c r="B4716" t="s">
        <v>54</v>
      </c>
    </row>
    <row r="4717" spans="1:2" x14ac:dyDescent="0.2">
      <c r="A4717">
        <v>4711</v>
      </c>
      <c r="B4717" t="s">
        <v>54</v>
      </c>
    </row>
    <row r="4718" spans="1:2" x14ac:dyDescent="0.2">
      <c r="A4718">
        <v>4712</v>
      </c>
      <c r="B4718" t="s">
        <v>54</v>
      </c>
    </row>
    <row r="4719" spans="1:2" x14ac:dyDescent="0.2">
      <c r="A4719">
        <v>4713</v>
      </c>
      <c r="B4719" t="s">
        <v>54</v>
      </c>
    </row>
    <row r="4720" spans="1:2" x14ac:dyDescent="0.2">
      <c r="A4720">
        <v>4714</v>
      </c>
      <c r="B4720" t="s">
        <v>54</v>
      </c>
    </row>
    <row r="4721" spans="1:2" x14ac:dyDescent="0.2">
      <c r="A4721">
        <v>4715</v>
      </c>
      <c r="B4721" t="s">
        <v>54</v>
      </c>
    </row>
    <row r="4722" spans="1:2" x14ac:dyDescent="0.2">
      <c r="A4722">
        <v>4716</v>
      </c>
      <c r="B4722" t="s">
        <v>54</v>
      </c>
    </row>
    <row r="4723" spans="1:2" x14ac:dyDescent="0.2">
      <c r="A4723">
        <v>4717</v>
      </c>
      <c r="B4723" t="s">
        <v>54</v>
      </c>
    </row>
    <row r="4724" spans="1:2" x14ac:dyDescent="0.2">
      <c r="A4724">
        <v>4718</v>
      </c>
      <c r="B4724" t="s">
        <v>54</v>
      </c>
    </row>
    <row r="4725" spans="1:2" x14ac:dyDescent="0.2">
      <c r="A4725">
        <v>4719</v>
      </c>
      <c r="B4725" t="s">
        <v>54</v>
      </c>
    </row>
    <row r="4726" spans="1:2" x14ac:dyDescent="0.2">
      <c r="A4726">
        <v>4720</v>
      </c>
      <c r="B4726" t="s">
        <v>54</v>
      </c>
    </row>
    <row r="4727" spans="1:2" x14ac:dyDescent="0.2">
      <c r="A4727">
        <v>4721</v>
      </c>
      <c r="B4727" t="s">
        <v>54</v>
      </c>
    </row>
    <row r="4728" spans="1:2" x14ac:dyDescent="0.2">
      <c r="A4728">
        <v>4722</v>
      </c>
      <c r="B4728" t="s">
        <v>54</v>
      </c>
    </row>
    <row r="4729" spans="1:2" x14ac:dyDescent="0.2">
      <c r="A4729">
        <v>4723</v>
      </c>
      <c r="B4729" t="s">
        <v>54</v>
      </c>
    </row>
    <row r="4730" spans="1:2" x14ac:dyDescent="0.2">
      <c r="A4730">
        <v>4724</v>
      </c>
      <c r="B4730" t="s">
        <v>54</v>
      </c>
    </row>
    <row r="4731" spans="1:2" x14ac:dyDescent="0.2">
      <c r="A4731">
        <v>4725</v>
      </c>
      <c r="B4731" t="s">
        <v>54</v>
      </c>
    </row>
    <row r="4732" spans="1:2" x14ac:dyDescent="0.2">
      <c r="A4732">
        <v>4726</v>
      </c>
      <c r="B4732" t="s">
        <v>54</v>
      </c>
    </row>
    <row r="4733" spans="1:2" x14ac:dyDescent="0.2">
      <c r="A4733">
        <v>4727</v>
      </c>
      <c r="B4733" t="s">
        <v>54</v>
      </c>
    </row>
    <row r="4734" spans="1:2" x14ac:dyDescent="0.2">
      <c r="A4734">
        <v>4728</v>
      </c>
      <c r="B4734" t="s">
        <v>54</v>
      </c>
    </row>
    <row r="4735" spans="1:2" x14ac:dyDescent="0.2">
      <c r="A4735">
        <v>4729</v>
      </c>
      <c r="B4735" t="s">
        <v>54</v>
      </c>
    </row>
    <row r="4736" spans="1:2" x14ac:dyDescent="0.2">
      <c r="A4736">
        <v>4730</v>
      </c>
      <c r="B4736" t="s">
        <v>54</v>
      </c>
    </row>
    <row r="4737" spans="1:2" x14ac:dyDescent="0.2">
      <c r="A4737">
        <v>4731</v>
      </c>
      <c r="B4737" t="s">
        <v>54</v>
      </c>
    </row>
    <row r="4738" spans="1:2" x14ac:dyDescent="0.2">
      <c r="A4738">
        <v>4732</v>
      </c>
      <c r="B4738" t="s">
        <v>54</v>
      </c>
    </row>
    <row r="4739" spans="1:2" x14ac:dyDescent="0.2">
      <c r="A4739">
        <v>4733</v>
      </c>
      <c r="B4739" t="s">
        <v>54</v>
      </c>
    </row>
    <row r="4740" spans="1:2" x14ac:dyDescent="0.2">
      <c r="A4740">
        <v>4734</v>
      </c>
      <c r="B4740" t="s">
        <v>54</v>
      </c>
    </row>
    <row r="4741" spans="1:2" x14ac:dyDescent="0.2">
      <c r="A4741">
        <v>4735</v>
      </c>
      <c r="B4741" t="s">
        <v>54</v>
      </c>
    </row>
    <row r="4742" spans="1:2" x14ac:dyDescent="0.2">
      <c r="A4742">
        <v>4736</v>
      </c>
      <c r="B4742" t="s">
        <v>54</v>
      </c>
    </row>
    <row r="4743" spans="1:2" x14ac:dyDescent="0.2">
      <c r="A4743">
        <v>4737</v>
      </c>
      <c r="B4743" t="s">
        <v>54</v>
      </c>
    </row>
    <row r="4744" spans="1:2" x14ac:dyDescent="0.2">
      <c r="A4744">
        <v>4738</v>
      </c>
      <c r="B4744" t="s">
        <v>54</v>
      </c>
    </row>
    <row r="4745" spans="1:2" x14ac:dyDescent="0.2">
      <c r="A4745">
        <v>4739</v>
      </c>
      <c r="B4745" t="s">
        <v>54</v>
      </c>
    </row>
    <row r="4746" spans="1:2" x14ac:dyDescent="0.2">
      <c r="A4746">
        <v>4740</v>
      </c>
      <c r="B4746" t="s">
        <v>54</v>
      </c>
    </row>
    <row r="4747" spans="1:2" x14ac:dyDescent="0.2">
      <c r="A4747">
        <v>4741</v>
      </c>
      <c r="B4747" t="s">
        <v>54</v>
      </c>
    </row>
    <row r="4748" spans="1:2" x14ac:dyDescent="0.2">
      <c r="A4748">
        <v>4742</v>
      </c>
      <c r="B4748" t="s">
        <v>54</v>
      </c>
    </row>
    <row r="4749" spans="1:2" x14ac:dyDescent="0.2">
      <c r="A4749">
        <v>4743</v>
      </c>
      <c r="B4749" t="s">
        <v>54</v>
      </c>
    </row>
    <row r="4750" spans="1:2" x14ac:dyDescent="0.2">
      <c r="A4750">
        <v>4744</v>
      </c>
      <c r="B4750" t="s">
        <v>54</v>
      </c>
    </row>
    <row r="4751" spans="1:2" x14ac:dyDescent="0.2">
      <c r="A4751">
        <v>4745</v>
      </c>
      <c r="B4751" t="s">
        <v>54</v>
      </c>
    </row>
    <row r="4752" spans="1:2" x14ac:dyDescent="0.2">
      <c r="A4752">
        <v>4746</v>
      </c>
      <c r="B4752" t="s">
        <v>54</v>
      </c>
    </row>
    <row r="4753" spans="1:2" x14ac:dyDescent="0.2">
      <c r="A4753">
        <v>4747</v>
      </c>
      <c r="B4753" t="s">
        <v>54</v>
      </c>
    </row>
    <row r="4754" spans="1:2" x14ac:dyDescent="0.2">
      <c r="A4754">
        <v>4748</v>
      </c>
      <c r="B4754" t="s">
        <v>54</v>
      </c>
    </row>
    <row r="4755" spans="1:2" x14ac:dyDescent="0.2">
      <c r="A4755">
        <v>4749</v>
      </c>
      <c r="B4755" t="s">
        <v>54</v>
      </c>
    </row>
    <row r="4756" spans="1:2" x14ac:dyDescent="0.2">
      <c r="A4756">
        <v>4750</v>
      </c>
      <c r="B4756" t="s">
        <v>54</v>
      </c>
    </row>
    <row r="4757" spans="1:2" x14ac:dyDescent="0.2">
      <c r="A4757">
        <v>4751</v>
      </c>
      <c r="B4757" t="s">
        <v>54</v>
      </c>
    </row>
    <row r="4758" spans="1:2" x14ac:dyDescent="0.2">
      <c r="A4758">
        <v>4752</v>
      </c>
      <c r="B4758" t="s">
        <v>54</v>
      </c>
    </row>
    <row r="4759" spans="1:2" x14ac:dyDescent="0.2">
      <c r="A4759">
        <v>4753</v>
      </c>
      <c r="B4759" t="s">
        <v>54</v>
      </c>
    </row>
    <row r="4760" spans="1:2" x14ac:dyDescent="0.2">
      <c r="A4760">
        <v>4754</v>
      </c>
      <c r="B4760" t="s">
        <v>54</v>
      </c>
    </row>
    <row r="4761" spans="1:2" x14ac:dyDescent="0.2">
      <c r="A4761">
        <v>4755</v>
      </c>
      <c r="B4761" t="s">
        <v>54</v>
      </c>
    </row>
    <row r="4762" spans="1:2" x14ac:dyDescent="0.2">
      <c r="A4762">
        <v>4756</v>
      </c>
      <c r="B4762" t="s">
        <v>54</v>
      </c>
    </row>
    <row r="4763" spans="1:2" x14ac:dyDescent="0.2">
      <c r="A4763">
        <v>4757</v>
      </c>
      <c r="B4763" t="s">
        <v>54</v>
      </c>
    </row>
    <row r="4764" spans="1:2" x14ac:dyDescent="0.2">
      <c r="A4764">
        <v>4758</v>
      </c>
      <c r="B4764" t="s">
        <v>54</v>
      </c>
    </row>
    <row r="4765" spans="1:2" x14ac:dyDescent="0.2">
      <c r="A4765">
        <v>4759</v>
      </c>
      <c r="B4765" t="s">
        <v>54</v>
      </c>
    </row>
    <row r="4766" spans="1:2" x14ac:dyDescent="0.2">
      <c r="A4766">
        <v>4760</v>
      </c>
      <c r="B4766" t="s">
        <v>54</v>
      </c>
    </row>
    <row r="4767" spans="1:2" x14ac:dyDescent="0.2">
      <c r="A4767">
        <v>4761</v>
      </c>
      <c r="B4767" t="s">
        <v>54</v>
      </c>
    </row>
    <row r="4768" spans="1:2" x14ac:dyDescent="0.2">
      <c r="A4768">
        <v>4762</v>
      </c>
      <c r="B4768" t="s">
        <v>54</v>
      </c>
    </row>
    <row r="4769" spans="1:2" x14ac:dyDescent="0.2">
      <c r="A4769">
        <v>4763</v>
      </c>
      <c r="B4769" t="s">
        <v>54</v>
      </c>
    </row>
    <row r="4770" spans="1:2" x14ac:dyDescent="0.2">
      <c r="A4770">
        <v>4764</v>
      </c>
      <c r="B4770" t="s">
        <v>54</v>
      </c>
    </row>
    <row r="4771" spans="1:2" x14ac:dyDescent="0.2">
      <c r="A4771">
        <v>4765</v>
      </c>
      <c r="B4771" t="s">
        <v>54</v>
      </c>
    </row>
    <row r="4772" spans="1:2" x14ac:dyDescent="0.2">
      <c r="A4772">
        <v>4766</v>
      </c>
      <c r="B4772" t="s">
        <v>54</v>
      </c>
    </row>
    <row r="4773" spans="1:2" x14ac:dyDescent="0.2">
      <c r="A4773">
        <v>4767</v>
      </c>
      <c r="B4773" t="s">
        <v>54</v>
      </c>
    </row>
    <row r="4774" spans="1:2" x14ac:dyDescent="0.2">
      <c r="A4774">
        <v>4768</v>
      </c>
      <c r="B4774" t="s">
        <v>54</v>
      </c>
    </row>
    <row r="4775" spans="1:2" x14ac:dyDescent="0.2">
      <c r="A4775">
        <v>4769</v>
      </c>
      <c r="B4775" t="s">
        <v>54</v>
      </c>
    </row>
    <row r="4776" spans="1:2" x14ac:dyDescent="0.2">
      <c r="A4776">
        <v>4770</v>
      </c>
      <c r="B4776" t="s">
        <v>54</v>
      </c>
    </row>
    <row r="4777" spans="1:2" x14ac:dyDescent="0.2">
      <c r="A4777">
        <v>4771</v>
      </c>
      <c r="B4777" t="s">
        <v>54</v>
      </c>
    </row>
    <row r="4778" spans="1:2" x14ac:dyDescent="0.2">
      <c r="A4778">
        <v>4772</v>
      </c>
      <c r="B4778" t="s">
        <v>54</v>
      </c>
    </row>
    <row r="4779" spans="1:2" x14ac:dyDescent="0.2">
      <c r="A4779">
        <v>4773</v>
      </c>
      <c r="B4779" t="s">
        <v>54</v>
      </c>
    </row>
    <row r="4780" spans="1:2" x14ac:dyDescent="0.2">
      <c r="A4780">
        <v>4774</v>
      </c>
      <c r="B4780" t="s">
        <v>54</v>
      </c>
    </row>
    <row r="4781" spans="1:2" x14ac:dyDescent="0.2">
      <c r="A4781">
        <v>4775</v>
      </c>
      <c r="B4781" t="s">
        <v>54</v>
      </c>
    </row>
    <row r="4782" spans="1:2" x14ac:dyDescent="0.2">
      <c r="A4782">
        <v>4776</v>
      </c>
      <c r="B4782" t="s">
        <v>54</v>
      </c>
    </row>
    <row r="4783" spans="1:2" x14ac:dyDescent="0.2">
      <c r="A4783">
        <v>4777</v>
      </c>
      <c r="B4783" t="s">
        <v>54</v>
      </c>
    </row>
    <row r="4784" spans="1:2" x14ac:dyDescent="0.2">
      <c r="A4784">
        <v>4778</v>
      </c>
      <c r="B4784" t="s">
        <v>54</v>
      </c>
    </row>
    <row r="4785" spans="1:2" x14ac:dyDescent="0.2">
      <c r="A4785">
        <v>4779</v>
      </c>
      <c r="B4785" t="s">
        <v>54</v>
      </c>
    </row>
    <row r="4786" spans="1:2" x14ac:dyDescent="0.2">
      <c r="A4786">
        <v>4780</v>
      </c>
      <c r="B4786" t="s">
        <v>54</v>
      </c>
    </row>
    <row r="4787" spans="1:2" x14ac:dyDescent="0.2">
      <c r="A4787">
        <v>4781</v>
      </c>
      <c r="B4787" t="s">
        <v>54</v>
      </c>
    </row>
    <row r="4788" spans="1:2" x14ac:dyDescent="0.2">
      <c r="A4788">
        <v>4782</v>
      </c>
      <c r="B4788" t="s">
        <v>54</v>
      </c>
    </row>
    <row r="4789" spans="1:2" x14ac:dyDescent="0.2">
      <c r="A4789">
        <v>4783</v>
      </c>
      <c r="B4789" t="s">
        <v>54</v>
      </c>
    </row>
    <row r="4790" spans="1:2" x14ac:dyDescent="0.2">
      <c r="A4790">
        <v>4784</v>
      </c>
      <c r="B4790" t="s">
        <v>54</v>
      </c>
    </row>
    <row r="4791" spans="1:2" x14ac:dyDescent="0.2">
      <c r="A4791">
        <v>4785</v>
      </c>
      <c r="B4791" t="s">
        <v>54</v>
      </c>
    </row>
    <row r="4792" spans="1:2" x14ac:dyDescent="0.2">
      <c r="A4792">
        <v>4786</v>
      </c>
      <c r="B4792" t="s">
        <v>54</v>
      </c>
    </row>
    <row r="4793" spans="1:2" x14ac:dyDescent="0.2">
      <c r="A4793">
        <v>4787</v>
      </c>
      <c r="B4793" t="s">
        <v>54</v>
      </c>
    </row>
    <row r="4794" spans="1:2" x14ac:dyDescent="0.2">
      <c r="A4794">
        <v>4788</v>
      </c>
      <c r="B4794" t="s">
        <v>54</v>
      </c>
    </row>
    <row r="4795" spans="1:2" x14ac:dyDescent="0.2">
      <c r="A4795">
        <v>4789</v>
      </c>
      <c r="B4795" t="s">
        <v>54</v>
      </c>
    </row>
    <row r="4796" spans="1:2" x14ac:dyDescent="0.2">
      <c r="A4796">
        <v>4790</v>
      </c>
      <c r="B4796" t="s">
        <v>54</v>
      </c>
    </row>
    <row r="4797" spans="1:2" x14ac:dyDescent="0.2">
      <c r="A4797">
        <v>4791</v>
      </c>
      <c r="B4797" t="s">
        <v>54</v>
      </c>
    </row>
    <row r="4798" spans="1:2" x14ac:dyDescent="0.2">
      <c r="A4798">
        <v>4792</v>
      </c>
      <c r="B4798" t="s">
        <v>54</v>
      </c>
    </row>
    <row r="4799" spans="1:2" x14ac:dyDescent="0.2">
      <c r="A4799">
        <v>4793</v>
      </c>
      <c r="B4799" t="s">
        <v>54</v>
      </c>
    </row>
    <row r="4800" spans="1:2" x14ac:dyDescent="0.2">
      <c r="A4800">
        <v>4794</v>
      </c>
      <c r="B4800" t="s">
        <v>54</v>
      </c>
    </row>
    <row r="4801" spans="1:2" x14ac:dyDescent="0.2">
      <c r="A4801">
        <v>4795</v>
      </c>
      <c r="B4801" t="s">
        <v>54</v>
      </c>
    </row>
    <row r="4802" spans="1:2" x14ac:dyDescent="0.2">
      <c r="A4802">
        <v>4796</v>
      </c>
      <c r="B4802" t="s">
        <v>54</v>
      </c>
    </row>
    <row r="4803" spans="1:2" x14ac:dyDescent="0.2">
      <c r="A4803">
        <v>4797</v>
      </c>
      <c r="B4803" t="s">
        <v>54</v>
      </c>
    </row>
    <row r="4804" spans="1:2" x14ac:dyDescent="0.2">
      <c r="A4804">
        <v>4798</v>
      </c>
      <c r="B4804" t="s">
        <v>54</v>
      </c>
    </row>
    <row r="4805" spans="1:2" x14ac:dyDescent="0.2">
      <c r="A4805">
        <v>4799</v>
      </c>
      <c r="B4805" t="s">
        <v>54</v>
      </c>
    </row>
    <row r="4806" spans="1:2" x14ac:dyDescent="0.2">
      <c r="A4806">
        <v>4800</v>
      </c>
      <c r="B4806" t="s">
        <v>54</v>
      </c>
    </row>
    <row r="4807" spans="1:2" x14ac:dyDescent="0.2">
      <c r="A4807">
        <v>4801</v>
      </c>
      <c r="B4807" t="s">
        <v>54</v>
      </c>
    </row>
    <row r="4808" spans="1:2" x14ac:dyDescent="0.2">
      <c r="A4808">
        <v>4802</v>
      </c>
      <c r="B4808" t="s">
        <v>54</v>
      </c>
    </row>
    <row r="4809" spans="1:2" x14ac:dyDescent="0.2">
      <c r="A4809">
        <v>4803</v>
      </c>
      <c r="B4809" t="s">
        <v>54</v>
      </c>
    </row>
    <row r="4810" spans="1:2" x14ac:dyDescent="0.2">
      <c r="A4810">
        <v>4804</v>
      </c>
      <c r="B4810" t="s">
        <v>54</v>
      </c>
    </row>
    <row r="4811" spans="1:2" x14ac:dyDescent="0.2">
      <c r="A4811">
        <v>4805</v>
      </c>
      <c r="B4811" t="s">
        <v>54</v>
      </c>
    </row>
    <row r="4812" spans="1:2" x14ac:dyDescent="0.2">
      <c r="A4812">
        <v>4806</v>
      </c>
      <c r="B4812" t="s">
        <v>54</v>
      </c>
    </row>
    <row r="4813" spans="1:2" x14ac:dyDescent="0.2">
      <c r="A4813">
        <v>4807</v>
      </c>
      <c r="B4813" t="s">
        <v>54</v>
      </c>
    </row>
    <row r="4814" spans="1:2" x14ac:dyDescent="0.2">
      <c r="A4814">
        <v>4808</v>
      </c>
      <c r="B4814" t="s">
        <v>54</v>
      </c>
    </row>
    <row r="4815" spans="1:2" x14ac:dyDescent="0.2">
      <c r="A4815">
        <v>4809</v>
      </c>
      <c r="B4815" t="s">
        <v>54</v>
      </c>
    </row>
    <row r="4816" spans="1:2" x14ac:dyDescent="0.2">
      <c r="A4816">
        <v>4810</v>
      </c>
      <c r="B4816" t="s">
        <v>54</v>
      </c>
    </row>
    <row r="4817" spans="1:2" x14ac:dyDescent="0.2">
      <c r="A4817">
        <v>4811</v>
      </c>
      <c r="B4817" t="s">
        <v>54</v>
      </c>
    </row>
    <row r="4818" spans="1:2" x14ac:dyDescent="0.2">
      <c r="A4818">
        <v>4812</v>
      </c>
      <c r="B4818" t="s">
        <v>54</v>
      </c>
    </row>
    <row r="4819" spans="1:2" x14ac:dyDescent="0.2">
      <c r="A4819">
        <v>4813</v>
      </c>
      <c r="B4819" t="s">
        <v>54</v>
      </c>
    </row>
    <row r="4820" spans="1:2" x14ac:dyDescent="0.2">
      <c r="A4820">
        <v>4814</v>
      </c>
      <c r="B4820" t="s">
        <v>54</v>
      </c>
    </row>
    <row r="4821" spans="1:2" x14ac:dyDescent="0.2">
      <c r="A4821">
        <v>4815</v>
      </c>
      <c r="B4821" t="s">
        <v>54</v>
      </c>
    </row>
    <row r="4822" spans="1:2" x14ac:dyDescent="0.2">
      <c r="A4822">
        <v>4816</v>
      </c>
      <c r="B4822" t="s">
        <v>54</v>
      </c>
    </row>
    <row r="4823" spans="1:2" x14ac:dyDescent="0.2">
      <c r="A4823">
        <v>4817</v>
      </c>
      <c r="B4823" t="s">
        <v>54</v>
      </c>
    </row>
    <row r="4824" spans="1:2" x14ac:dyDescent="0.2">
      <c r="A4824">
        <v>4818</v>
      </c>
      <c r="B4824" t="s">
        <v>54</v>
      </c>
    </row>
    <row r="4825" spans="1:2" x14ac:dyDescent="0.2">
      <c r="A4825">
        <v>4819</v>
      </c>
      <c r="B4825" t="s">
        <v>54</v>
      </c>
    </row>
    <row r="4826" spans="1:2" x14ac:dyDescent="0.2">
      <c r="A4826">
        <v>4820</v>
      </c>
      <c r="B4826" t="s">
        <v>54</v>
      </c>
    </row>
    <row r="4827" spans="1:2" x14ac:dyDescent="0.2">
      <c r="A4827">
        <v>4821</v>
      </c>
      <c r="B4827" t="s">
        <v>54</v>
      </c>
    </row>
    <row r="4828" spans="1:2" x14ac:dyDescent="0.2">
      <c r="A4828">
        <v>4822</v>
      </c>
      <c r="B4828" t="s">
        <v>54</v>
      </c>
    </row>
    <row r="4829" spans="1:2" x14ac:dyDescent="0.2">
      <c r="A4829">
        <v>4823</v>
      </c>
      <c r="B4829" t="s">
        <v>54</v>
      </c>
    </row>
    <row r="4830" spans="1:2" x14ac:dyDescent="0.2">
      <c r="A4830">
        <v>4824</v>
      </c>
      <c r="B4830" t="s">
        <v>54</v>
      </c>
    </row>
    <row r="4831" spans="1:2" x14ac:dyDescent="0.2">
      <c r="A4831">
        <v>4825</v>
      </c>
      <c r="B4831" t="s">
        <v>54</v>
      </c>
    </row>
    <row r="4832" spans="1:2" x14ac:dyDescent="0.2">
      <c r="A4832">
        <v>4826</v>
      </c>
      <c r="B4832" t="s">
        <v>54</v>
      </c>
    </row>
    <row r="4833" spans="1:2" x14ac:dyDescent="0.2">
      <c r="A4833">
        <v>4827</v>
      </c>
      <c r="B4833" t="s">
        <v>54</v>
      </c>
    </row>
    <row r="4834" spans="1:2" x14ac:dyDescent="0.2">
      <c r="A4834">
        <v>4828</v>
      </c>
      <c r="B4834" t="s">
        <v>54</v>
      </c>
    </row>
    <row r="4835" spans="1:2" x14ac:dyDescent="0.2">
      <c r="A4835">
        <v>4829</v>
      </c>
      <c r="B4835" t="s">
        <v>54</v>
      </c>
    </row>
    <row r="4836" spans="1:2" x14ac:dyDescent="0.2">
      <c r="A4836">
        <v>4830</v>
      </c>
      <c r="B4836" t="s">
        <v>54</v>
      </c>
    </row>
    <row r="4837" spans="1:2" x14ac:dyDescent="0.2">
      <c r="A4837">
        <v>4831</v>
      </c>
      <c r="B4837" t="s">
        <v>54</v>
      </c>
    </row>
    <row r="4838" spans="1:2" x14ac:dyDescent="0.2">
      <c r="A4838">
        <v>4832</v>
      </c>
      <c r="B4838" t="s">
        <v>54</v>
      </c>
    </row>
    <row r="4839" spans="1:2" x14ac:dyDescent="0.2">
      <c r="A4839">
        <v>4833</v>
      </c>
      <c r="B4839" t="s">
        <v>54</v>
      </c>
    </row>
    <row r="4840" spans="1:2" x14ac:dyDescent="0.2">
      <c r="A4840">
        <v>4834</v>
      </c>
      <c r="B4840" t="s">
        <v>54</v>
      </c>
    </row>
    <row r="4841" spans="1:2" x14ac:dyDescent="0.2">
      <c r="A4841">
        <v>4835</v>
      </c>
      <c r="B4841" t="s">
        <v>54</v>
      </c>
    </row>
    <row r="4842" spans="1:2" x14ac:dyDescent="0.2">
      <c r="A4842">
        <v>4836</v>
      </c>
      <c r="B4842" t="s">
        <v>54</v>
      </c>
    </row>
    <row r="4843" spans="1:2" x14ac:dyDescent="0.2">
      <c r="A4843">
        <v>4837</v>
      </c>
      <c r="B4843" t="s">
        <v>54</v>
      </c>
    </row>
    <row r="4844" spans="1:2" x14ac:dyDescent="0.2">
      <c r="A4844">
        <v>4838</v>
      </c>
      <c r="B4844" t="s">
        <v>54</v>
      </c>
    </row>
    <row r="4845" spans="1:2" x14ac:dyDescent="0.2">
      <c r="A4845">
        <v>4839</v>
      </c>
      <c r="B4845" t="s">
        <v>54</v>
      </c>
    </row>
    <row r="4846" spans="1:2" x14ac:dyDescent="0.2">
      <c r="A4846">
        <v>4840</v>
      </c>
      <c r="B4846" t="s">
        <v>54</v>
      </c>
    </row>
    <row r="4847" spans="1:2" x14ac:dyDescent="0.2">
      <c r="A4847">
        <v>4841</v>
      </c>
      <c r="B4847" t="s">
        <v>54</v>
      </c>
    </row>
    <row r="4848" spans="1:2" x14ac:dyDescent="0.2">
      <c r="A4848">
        <v>4842</v>
      </c>
      <c r="B4848" t="s">
        <v>54</v>
      </c>
    </row>
    <row r="4849" spans="1:2" x14ac:dyDescent="0.2">
      <c r="A4849">
        <v>4843</v>
      </c>
      <c r="B4849" t="s">
        <v>54</v>
      </c>
    </row>
    <row r="4850" spans="1:2" x14ac:dyDescent="0.2">
      <c r="A4850">
        <v>4844</v>
      </c>
      <c r="B4850" t="s">
        <v>54</v>
      </c>
    </row>
    <row r="4851" spans="1:2" x14ac:dyDescent="0.2">
      <c r="A4851">
        <v>4845</v>
      </c>
      <c r="B4851" t="s">
        <v>54</v>
      </c>
    </row>
    <row r="4852" spans="1:2" x14ac:dyDescent="0.2">
      <c r="A4852">
        <v>4846</v>
      </c>
      <c r="B4852" t="s">
        <v>54</v>
      </c>
    </row>
    <row r="4853" spans="1:2" x14ac:dyDescent="0.2">
      <c r="A4853">
        <v>4847</v>
      </c>
      <c r="B4853" t="s">
        <v>54</v>
      </c>
    </row>
    <row r="4854" spans="1:2" x14ac:dyDescent="0.2">
      <c r="A4854">
        <v>4848</v>
      </c>
      <c r="B4854" t="s">
        <v>54</v>
      </c>
    </row>
    <row r="4855" spans="1:2" x14ac:dyDescent="0.2">
      <c r="A4855">
        <v>4849</v>
      </c>
      <c r="B4855" t="s">
        <v>54</v>
      </c>
    </row>
    <row r="4856" spans="1:2" x14ac:dyDescent="0.2">
      <c r="A4856">
        <v>4850</v>
      </c>
      <c r="B4856" t="s">
        <v>54</v>
      </c>
    </row>
    <row r="4857" spans="1:2" x14ac:dyDescent="0.2">
      <c r="A4857">
        <v>4851</v>
      </c>
      <c r="B4857" t="s">
        <v>54</v>
      </c>
    </row>
    <row r="4858" spans="1:2" x14ac:dyDescent="0.2">
      <c r="A4858">
        <v>4852</v>
      </c>
      <c r="B4858" t="s">
        <v>54</v>
      </c>
    </row>
    <row r="4859" spans="1:2" x14ac:dyDescent="0.2">
      <c r="A4859">
        <v>4853</v>
      </c>
      <c r="B4859" t="s">
        <v>54</v>
      </c>
    </row>
    <row r="4860" spans="1:2" x14ac:dyDescent="0.2">
      <c r="A4860">
        <v>4854</v>
      </c>
      <c r="B4860" t="s">
        <v>54</v>
      </c>
    </row>
    <row r="4861" spans="1:2" x14ac:dyDescent="0.2">
      <c r="A4861">
        <v>4855</v>
      </c>
      <c r="B4861" t="s">
        <v>54</v>
      </c>
    </row>
    <row r="4862" spans="1:2" x14ac:dyDescent="0.2">
      <c r="A4862">
        <v>4856</v>
      </c>
      <c r="B4862" t="s">
        <v>54</v>
      </c>
    </row>
    <row r="4863" spans="1:2" x14ac:dyDescent="0.2">
      <c r="A4863">
        <v>4857</v>
      </c>
      <c r="B4863" t="s">
        <v>54</v>
      </c>
    </row>
    <row r="4864" spans="1:2" x14ac:dyDescent="0.2">
      <c r="A4864">
        <v>4858</v>
      </c>
      <c r="B4864" t="s">
        <v>54</v>
      </c>
    </row>
    <row r="4865" spans="1:2" x14ac:dyDescent="0.2">
      <c r="A4865">
        <v>4859</v>
      </c>
      <c r="B4865" t="s">
        <v>54</v>
      </c>
    </row>
    <row r="4866" spans="1:2" x14ac:dyDescent="0.2">
      <c r="A4866">
        <v>4860</v>
      </c>
      <c r="B4866" t="s">
        <v>54</v>
      </c>
    </row>
    <row r="4867" spans="1:2" x14ac:dyDescent="0.2">
      <c r="A4867">
        <v>4861</v>
      </c>
      <c r="B4867" t="s">
        <v>54</v>
      </c>
    </row>
    <row r="4868" spans="1:2" x14ac:dyDescent="0.2">
      <c r="A4868">
        <v>4862</v>
      </c>
      <c r="B4868" t="s">
        <v>54</v>
      </c>
    </row>
    <row r="4869" spans="1:2" x14ac:dyDescent="0.2">
      <c r="A4869">
        <v>4863</v>
      </c>
      <c r="B4869" t="s">
        <v>54</v>
      </c>
    </row>
    <row r="4870" spans="1:2" x14ac:dyDescent="0.2">
      <c r="A4870">
        <v>4864</v>
      </c>
      <c r="B4870" t="s">
        <v>54</v>
      </c>
    </row>
    <row r="4871" spans="1:2" x14ac:dyDescent="0.2">
      <c r="A4871">
        <v>4865</v>
      </c>
      <c r="B4871" t="s">
        <v>54</v>
      </c>
    </row>
    <row r="4872" spans="1:2" x14ac:dyDescent="0.2">
      <c r="A4872">
        <v>4866</v>
      </c>
      <c r="B4872" t="s">
        <v>54</v>
      </c>
    </row>
    <row r="4873" spans="1:2" x14ac:dyDescent="0.2">
      <c r="A4873">
        <v>4867</v>
      </c>
      <c r="B4873" t="s">
        <v>54</v>
      </c>
    </row>
    <row r="4874" spans="1:2" x14ac:dyDescent="0.2">
      <c r="A4874">
        <v>4868</v>
      </c>
      <c r="B4874" t="s">
        <v>54</v>
      </c>
    </row>
    <row r="4875" spans="1:2" x14ac:dyDescent="0.2">
      <c r="A4875">
        <v>4869</v>
      </c>
      <c r="B4875" t="s">
        <v>54</v>
      </c>
    </row>
    <row r="4876" spans="1:2" x14ac:dyDescent="0.2">
      <c r="A4876">
        <v>4870</v>
      </c>
      <c r="B4876" t="s">
        <v>54</v>
      </c>
    </row>
    <row r="4877" spans="1:2" x14ac:dyDescent="0.2">
      <c r="A4877">
        <v>4871</v>
      </c>
      <c r="B4877" t="s">
        <v>54</v>
      </c>
    </row>
    <row r="4878" spans="1:2" x14ac:dyDescent="0.2">
      <c r="A4878">
        <v>4872</v>
      </c>
      <c r="B4878" t="s">
        <v>54</v>
      </c>
    </row>
    <row r="4879" spans="1:2" x14ac:dyDescent="0.2">
      <c r="A4879">
        <v>4873</v>
      </c>
      <c r="B4879" t="s">
        <v>54</v>
      </c>
    </row>
    <row r="4880" spans="1:2" x14ac:dyDescent="0.2">
      <c r="A4880">
        <v>4874</v>
      </c>
      <c r="B4880" t="s">
        <v>54</v>
      </c>
    </row>
    <row r="4881" spans="1:2" x14ac:dyDescent="0.2">
      <c r="A4881">
        <v>4875</v>
      </c>
      <c r="B4881" t="s">
        <v>54</v>
      </c>
    </row>
    <row r="4882" spans="1:2" x14ac:dyDescent="0.2">
      <c r="A4882">
        <v>4876</v>
      </c>
      <c r="B4882" t="s">
        <v>54</v>
      </c>
    </row>
    <row r="4883" spans="1:2" x14ac:dyDescent="0.2">
      <c r="A4883">
        <v>4877</v>
      </c>
      <c r="B4883" t="s">
        <v>54</v>
      </c>
    </row>
    <row r="4884" spans="1:2" x14ac:dyDescent="0.2">
      <c r="A4884">
        <v>4878</v>
      </c>
      <c r="B4884" t="s">
        <v>54</v>
      </c>
    </row>
    <row r="4885" spans="1:2" x14ac:dyDescent="0.2">
      <c r="A4885">
        <v>4879</v>
      </c>
      <c r="B4885" t="s">
        <v>54</v>
      </c>
    </row>
    <row r="4886" spans="1:2" x14ac:dyDescent="0.2">
      <c r="A4886">
        <v>4880</v>
      </c>
      <c r="B4886" t="s">
        <v>54</v>
      </c>
    </row>
    <row r="4887" spans="1:2" x14ac:dyDescent="0.2">
      <c r="A4887">
        <v>4881</v>
      </c>
      <c r="B4887" t="s">
        <v>54</v>
      </c>
    </row>
    <row r="4888" spans="1:2" x14ac:dyDescent="0.2">
      <c r="A4888">
        <v>4882</v>
      </c>
      <c r="B4888" t="s">
        <v>54</v>
      </c>
    </row>
    <row r="4889" spans="1:2" x14ac:dyDescent="0.2">
      <c r="A4889">
        <v>4883</v>
      </c>
      <c r="B4889" t="s">
        <v>54</v>
      </c>
    </row>
    <row r="4890" spans="1:2" x14ac:dyDescent="0.2">
      <c r="A4890">
        <v>4884</v>
      </c>
      <c r="B4890" t="s">
        <v>54</v>
      </c>
    </row>
    <row r="4891" spans="1:2" x14ac:dyDescent="0.2">
      <c r="A4891">
        <v>4885</v>
      </c>
      <c r="B4891" t="s">
        <v>54</v>
      </c>
    </row>
    <row r="4892" spans="1:2" x14ac:dyDescent="0.2">
      <c r="A4892">
        <v>4886</v>
      </c>
      <c r="B4892" t="s">
        <v>54</v>
      </c>
    </row>
    <row r="4893" spans="1:2" x14ac:dyDescent="0.2">
      <c r="A4893">
        <v>4887</v>
      </c>
      <c r="B4893" t="s">
        <v>54</v>
      </c>
    </row>
    <row r="4894" spans="1:2" x14ac:dyDescent="0.2">
      <c r="A4894">
        <v>4888</v>
      </c>
      <c r="B4894" t="s">
        <v>54</v>
      </c>
    </row>
    <row r="4895" spans="1:2" x14ac:dyDescent="0.2">
      <c r="A4895">
        <v>4889</v>
      </c>
      <c r="B4895" t="s">
        <v>54</v>
      </c>
    </row>
    <row r="4896" spans="1:2" x14ac:dyDescent="0.2">
      <c r="A4896">
        <v>4890</v>
      </c>
      <c r="B4896" t="s">
        <v>54</v>
      </c>
    </row>
    <row r="4897" spans="1:2" x14ac:dyDescent="0.2">
      <c r="A4897">
        <v>4891</v>
      </c>
      <c r="B4897" t="s">
        <v>54</v>
      </c>
    </row>
    <row r="4898" spans="1:2" x14ac:dyDescent="0.2">
      <c r="A4898">
        <v>4892</v>
      </c>
      <c r="B4898" t="s">
        <v>54</v>
      </c>
    </row>
    <row r="4899" spans="1:2" x14ac:dyDescent="0.2">
      <c r="A4899">
        <v>4893</v>
      </c>
      <c r="B4899" t="s">
        <v>54</v>
      </c>
    </row>
    <row r="4900" spans="1:2" x14ac:dyDescent="0.2">
      <c r="A4900">
        <v>4894</v>
      </c>
      <c r="B4900" t="s">
        <v>54</v>
      </c>
    </row>
    <row r="4901" spans="1:2" x14ac:dyDescent="0.2">
      <c r="A4901">
        <v>4895</v>
      </c>
      <c r="B4901" t="s">
        <v>54</v>
      </c>
    </row>
    <row r="4902" spans="1:2" x14ac:dyDescent="0.2">
      <c r="A4902">
        <v>4896</v>
      </c>
      <c r="B4902" t="s">
        <v>54</v>
      </c>
    </row>
    <row r="4903" spans="1:2" x14ac:dyDescent="0.2">
      <c r="A4903">
        <v>4897</v>
      </c>
      <c r="B4903" t="s">
        <v>54</v>
      </c>
    </row>
    <row r="4904" spans="1:2" x14ac:dyDescent="0.2">
      <c r="A4904">
        <v>4898</v>
      </c>
      <c r="B4904" t="s">
        <v>54</v>
      </c>
    </row>
    <row r="4905" spans="1:2" x14ac:dyDescent="0.2">
      <c r="A4905">
        <v>4899</v>
      </c>
      <c r="B4905" t="s">
        <v>54</v>
      </c>
    </row>
    <row r="4906" spans="1:2" x14ac:dyDescent="0.2">
      <c r="A4906">
        <v>4900</v>
      </c>
      <c r="B4906" t="s">
        <v>54</v>
      </c>
    </row>
    <row r="4907" spans="1:2" x14ac:dyDescent="0.2">
      <c r="A4907">
        <v>4901</v>
      </c>
      <c r="B4907" t="s">
        <v>54</v>
      </c>
    </row>
    <row r="4908" spans="1:2" x14ac:dyDescent="0.2">
      <c r="A4908">
        <v>4902</v>
      </c>
      <c r="B4908" t="s">
        <v>54</v>
      </c>
    </row>
    <row r="4909" spans="1:2" x14ac:dyDescent="0.2">
      <c r="A4909">
        <v>4903</v>
      </c>
      <c r="B4909" t="s">
        <v>54</v>
      </c>
    </row>
    <row r="4910" spans="1:2" x14ac:dyDescent="0.2">
      <c r="A4910">
        <v>4904</v>
      </c>
      <c r="B4910" t="s">
        <v>54</v>
      </c>
    </row>
    <row r="4911" spans="1:2" x14ac:dyDescent="0.2">
      <c r="A4911">
        <v>4905</v>
      </c>
      <c r="B4911" t="s">
        <v>54</v>
      </c>
    </row>
    <row r="4912" spans="1:2" x14ac:dyDescent="0.2">
      <c r="A4912">
        <v>4906</v>
      </c>
      <c r="B4912" t="s">
        <v>54</v>
      </c>
    </row>
    <row r="4913" spans="1:2" x14ac:dyDescent="0.2">
      <c r="A4913">
        <v>4907</v>
      </c>
      <c r="B4913" t="s">
        <v>54</v>
      </c>
    </row>
    <row r="4914" spans="1:2" x14ac:dyDescent="0.2">
      <c r="A4914">
        <v>4908</v>
      </c>
      <c r="B4914" t="s">
        <v>54</v>
      </c>
    </row>
    <row r="4915" spans="1:2" x14ac:dyDescent="0.2">
      <c r="A4915">
        <v>4909</v>
      </c>
      <c r="B4915" t="s">
        <v>54</v>
      </c>
    </row>
    <row r="4916" spans="1:2" x14ac:dyDescent="0.2">
      <c r="A4916">
        <v>4910</v>
      </c>
      <c r="B4916" t="s">
        <v>54</v>
      </c>
    </row>
    <row r="4917" spans="1:2" x14ac:dyDescent="0.2">
      <c r="A4917">
        <v>4911</v>
      </c>
      <c r="B4917" t="s">
        <v>54</v>
      </c>
    </row>
    <row r="4918" spans="1:2" x14ac:dyDescent="0.2">
      <c r="A4918">
        <v>4912</v>
      </c>
      <c r="B4918" t="s">
        <v>54</v>
      </c>
    </row>
    <row r="4919" spans="1:2" x14ac:dyDescent="0.2">
      <c r="A4919">
        <v>4913</v>
      </c>
      <c r="B4919" t="s">
        <v>54</v>
      </c>
    </row>
    <row r="4920" spans="1:2" x14ac:dyDescent="0.2">
      <c r="A4920">
        <v>4914</v>
      </c>
      <c r="B4920" t="s">
        <v>54</v>
      </c>
    </row>
    <row r="4921" spans="1:2" x14ac:dyDescent="0.2">
      <c r="A4921">
        <v>4915</v>
      </c>
      <c r="B4921" t="s">
        <v>54</v>
      </c>
    </row>
    <row r="4922" spans="1:2" x14ac:dyDescent="0.2">
      <c r="A4922">
        <v>4916</v>
      </c>
      <c r="B4922" t="s">
        <v>54</v>
      </c>
    </row>
    <row r="4923" spans="1:2" x14ac:dyDescent="0.2">
      <c r="A4923">
        <v>4917</v>
      </c>
      <c r="B4923" t="s">
        <v>54</v>
      </c>
    </row>
    <row r="4924" spans="1:2" x14ac:dyDescent="0.2">
      <c r="A4924">
        <v>4918</v>
      </c>
      <c r="B4924" t="s">
        <v>54</v>
      </c>
    </row>
    <row r="4925" spans="1:2" x14ac:dyDescent="0.2">
      <c r="A4925">
        <v>4919</v>
      </c>
      <c r="B4925" t="s">
        <v>54</v>
      </c>
    </row>
    <row r="4926" spans="1:2" x14ac:dyDescent="0.2">
      <c r="A4926">
        <v>4920</v>
      </c>
      <c r="B4926" t="s">
        <v>54</v>
      </c>
    </row>
    <row r="4927" spans="1:2" x14ac:dyDescent="0.2">
      <c r="A4927">
        <v>4921</v>
      </c>
      <c r="B4927" t="s">
        <v>54</v>
      </c>
    </row>
    <row r="4928" spans="1:2" x14ac:dyDescent="0.2">
      <c r="A4928">
        <v>4922</v>
      </c>
      <c r="B4928" t="s">
        <v>54</v>
      </c>
    </row>
    <row r="4929" spans="1:2" x14ac:dyDescent="0.2">
      <c r="A4929">
        <v>4923</v>
      </c>
      <c r="B4929" t="s">
        <v>54</v>
      </c>
    </row>
    <row r="4930" spans="1:2" x14ac:dyDescent="0.2">
      <c r="A4930">
        <v>4924</v>
      </c>
      <c r="B4930" t="s">
        <v>54</v>
      </c>
    </row>
    <row r="4931" spans="1:2" x14ac:dyDescent="0.2">
      <c r="A4931">
        <v>4925</v>
      </c>
      <c r="B4931" t="s">
        <v>54</v>
      </c>
    </row>
    <row r="4932" spans="1:2" x14ac:dyDescent="0.2">
      <c r="A4932">
        <v>4926</v>
      </c>
      <c r="B4932" t="s">
        <v>54</v>
      </c>
    </row>
    <row r="4933" spans="1:2" x14ac:dyDescent="0.2">
      <c r="A4933">
        <v>4927</v>
      </c>
      <c r="B4933" t="s">
        <v>54</v>
      </c>
    </row>
    <row r="4934" spans="1:2" x14ac:dyDescent="0.2">
      <c r="A4934">
        <v>4928</v>
      </c>
      <c r="B4934" t="s">
        <v>54</v>
      </c>
    </row>
    <row r="4935" spans="1:2" x14ac:dyDescent="0.2">
      <c r="A4935">
        <v>4929</v>
      </c>
      <c r="B4935" t="s">
        <v>54</v>
      </c>
    </row>
    <row r="4936" spans="1:2" x14ac:dyDescent="0.2">
      <c r="A4936">
        <v>4930</v>
      </c>
      <c r="B4936" t="s">
        <v>54</v>
      </c>
    </row>
    <row r="4937" spans="1:2" x14ac:dyDescent="0.2">
      <c r="A4937">
        <v>4931</v>
      </c>
      <c r="B4937" t="s">
        <v>54</v>
      </c>
    </row>
    <row r="4938" spans="1:2" x14ac:dyDescent="0.2">
      <c r="A4938">
        <v>4932</v>
      </c>
      <c r="B4938" t="s">
        <v>54</v>
      </c>
    </row>
    <row r="4939" spans="1:2" x14ac:dyDescent="0.2">
      <c r="A4939">
        <v>4933</v>
      </c>
      <c r="B4939" t="s">
        <v>54</v>
      </c>
    </row>
    <row r="4940" spans="1:2" x14ac:dyDescent="0.2">
      <c r="A4940">
        <v>4934</v>
      </c>
      <c r="B4940" t="s">
        <v>54</v>
      </c>
    </row>
    <row r="4941" spans="1:2" x14ac:dyDescent="0.2">
      <c r="A4941">
        <v>4935</v>
      </c>
      <c r="B4941" t="s">
        <v>54</v>
      </c>
    </row>
    <row r="4942" spans="1:2" x14ac:dyDescent="0.2">
      <c r="A4942">
        <v>4936</v>
      </c>
      <c r="B4942" t="s">
        <v>54</v>
      </c>
    </row>
    <row r="4943" spans="1:2" x14ac:dyDescent="0.2">
      <c r="A4943">
        <v>4937</v>
      </c>
      <c r="B4943" t="s">
        <v>54</v>
      </c>
    </row>
    <row r="4944" spans="1:2" x14ac:dyDescent="0.2">
      <c r="A4944">
        <v>4938</v>
      </c>
      <c r="B4944" t="s">
        <v>54</v>
      </c>
    </row>
    <row r="4945" spans="1:2" x14ac:dyDescent="0.2">
      <c r="A4945">
        <v>4939</v>
      </c>
      <c r="B4945" t="s">
        <v>54</v>
      </c>
    </row>
    <row r="4946" spans="1:2" x14ac:dyDescent="0.2">
      <c r="A4946">
        <v>4940</v>
      </c>
      <c r="B4946" t="s">
        <v>54</v>
      </c>
    </row>
    <row r="4947" spans="1:2" x14ac:dyDescent="0.2">
      <c r="A4947">
        <v>4941</v>
      </c>
      <c r="B4947" t="s">
        <v>54</v>
      </c>
    </row>
    <row r="4948" spans="1:2" x14ac:dyDescent="0.2">
      <c r="A4948">
        <v>4942</v>
      </c>
      <c r="B4948" t="s">
        <v>54</v>
      </c>
    </row>
    <row r="4949" spans="1:2" x14ac:dyDescent="0.2">
      <c r="A4949">
        <v>4943</v>
      </c>
      <c r="B4949" t="s">
        <v>54</v>
      </c>
    </row>
    <row r="4950" spans="1:2" x14ac:dyDescent="0.2">
      <c r="A4950">
        <v>4944</v>
      </c>
      <c r="B4950" t="s">
        <v>54</v>
      </c>
    </row>
    <row r="4951" spans="1:2" x14ac:dyDescent="0.2">
      <c r="A4951">
        <v>4945</v>
      </c>
      <c r="B4951" t="s">
        <v>54</v>
      </c>
    </row>
    <row r="4952" spans="1:2" x14ac:dyDescent="0.2">
      <c r="A4952">
        <v>4946</v>
      </c>
      <c r="B4952" t="s">
        <v>54</v>
      </c>
    </row>
    <row r="4953" spans="1:2" x14ac:dyDescent="0.2">
      <c r="A4953">
        <v>4947</v>
      </c>
      <c r="B4953" t="s">
        <v>54</v>
      </c>
    </row>
    <row r="4954" spans="1:2" x14ac:dyDescent="0.2">
      <c r="A4954">
        <v>4948</v>
      </c>
      <c r="B4954" t="s">
        <v>54</v>
      </c>
    </row>
    <row r="4955" spans="1:2" x14ac:dyDescent="0.2">
      <c r="A4955">
        <v>4949</v>
      </c>
      <c r="B4955" t="s">
        <v>54</v>
      </c>
    </row>
    <row r="4956" spans="1:2" x14ac:dyDescent="0.2">
      <c r="A4956">
        <v>4950</v>
      </c>
      <c r="B4956" t="s">
        <v>54</v>
      </c>
    </row>
    <row r="4957" spans="1:2" x14ac:dyDescent="0.2">
      <c r="A4957">
        <v>4951</v>
      </c>
      <c r="B4957" t="s">
        <v>54</v>
      </c>
    </row>
    <row r="4958" spans="1:2" x14ac:dyDescent="0.2">
      <c r="A4958">
        <v>4952</v>
      </c>
      <c r="B4958" t="s">
        <v>54</v>
      </c>
    </row>
    <row r="4959" spans="1:2" x14ac:dyDescent="0.2">
      <c r="A4959">
        <v>4953</v>
      </c>
      <c r="B4959" t="s">
        <v>54</v>
      </c>
    </row>
    <row r="4960" spans="1:2" x14ac:dyDescent="0.2">
      <c r="A4960">
        <v>4954</v>
      </c>
      <c r="B4960" t="s">
        <v>54</v>
      </c>
    </row>
    <row r="4961" spans="1:2" x14ac:dyDescent="0.2">
      <c r="A4961">
        <v>4955</v>
      </c>
      <c r="B4961" t="s">
        <v>54</v>
      </c>
    </row>
    <row r="4962" spans="1:2" x14ac:dyDescent="0.2">
      <c r="A4962">
        <v>4956</v>
      </c>
      <c r="B4962" t="s">
        <v>54</v>
      </c>
    </row>
    <row r="4963" spans="1:2" x14ac:dyDescent="0.2">
      <c r="A4963">
        <v>4957</v>
      </c>
      <c r="B4963" t="s">
        <v>54</v>
      </c>
    </row>
    <row r="4964" spans="1:2" x14ac:dyDescent="0.2">
      <c r="A4964">
        <v>4958</v>
      </c>
      <c r="B4964" t="s">
        <v>54</v>
      </c>
    </row>
    <row r="4965" spans="1:2" x14ac:dyDescent="0.2">
      <c r="A4965">
        <v>4959</v>
      </c>
      <c r="B4965" t="s">
        <v>54</v>
      </c>
    </row>
    <row r="4966" spans="1:2" x14ac:dyDescent="0.2">
      <c r="A4966">
        <v>4960</v>
      </c>
      <c r="B4966" t="s">
        <v>54</v>
      </c>
    </row>
    <row r="4967" spans="1:2" x14ac:dyDescent="0.2">
      <c r="A4967">
        <v>4961</v>
      </c>
      <c r="B4967" t="s">
        <v>54</v>
      </c>
    </row>
    <row r="4968" spans="1:2" x14ac:dyDescent="0.2">
      <c r="A4968">
        <v>4962</v>
      </c>
      <c r="B4968" t="s">
        <v>54</v>
      </c>
    </row>
    <row r="4969" spans="1:2" x14ac:dyDescent="0.2">
      <c r="A4969">
        <v>4963</v>
      </c>
      <c r="B4969" t="s">
        <v>54</v>
      </c>
    </row>
    <row r="4970" spans="1:2" x14ac:dyDescent="0.2">
      <c r="A4970">
        <v>4964</v>
      </c>
      <c r="B4970" t="s">
        <v>54</v>
      </c>
    </row>
    <row r="4971" spans="1:2" x14ac:dyDescent="0.2">
      <c r="A4971">
        <v>4965</v>
      </c>
      <c r="B4971" t="s">
        <v>54</v>
      </c>
    </row>
    <row r="4972" spans="1:2" x14ac:dyDescent="0.2">
      <c r="A4972">
        <v>4966</v>
      </c>
      <c r="B4972" t="s">
        <v>54</v>
      </c>
    </row>
    <row r="4973" spans="1:2" x14ac:dyDescent="0.2">
      <c r="A4973">
        <v>4967</v>
      </c>
      <c r="B4973" t="s">
        <v>54</v>
      </c>
    </row>
    <row r="4974" spans="1:2" x14ac:dyDescent="0.2">
      <c r="A4974">
        <v>4968</v>
      </c>
      <c r="B4974" t="s">
        <v>54</v>
      </c>
    </row>
    <row r="4975" spans="1:2" x14ac:dyDescent="0.2">
      <c r="A4975">
        <v>4969</v>
      </c>
      <c r="B4975" t="s">
        <v>54</v>
      </c>
    </row>
    <row r="4976" spans="1:2" x14ac:dyDescent="0.2">
      <c r="A4976">
        <v>4970</v>
      </c>
      <c r="B4976" t="s">
        <v>54</v>
      </c>
    </row>
    <row r="4977" spans="1:2" x14ac:dyDescent="0.2">
      <c r="A4977">
        <v>4971</v>
      </c>
      <c r="B4977" t="s">
        <v>54</v>
      </c>
    </row>
    <row r="4978" spans="1:2" x14ac:dyDescent="0.2">
      <c r="A4978">
        <v>4972</v>
      </c>
      <c r="B4978" t="s">
        <v>54</v>
      </c>
    </row>
    <row r="4979" spans="1:2" x14ac:dyDescent="0.2">
      <c r="A4979">
        <v>4973</v>
      </c>
      <c r="B4979" t="s">
        <v>54</v>
      </c>
    </row>
    <row r="4980" spans="1:2" x14ac:dyDescent="0.2">
      <c r="A4980">
        <v>4974</v>
      </c>
      <c r="B4980" t="s">
        <v>54</v>
      </c>
    </row>
    <row r="4981" spans="1:2" x14ac:dyDescent="0.2">
      <c r="A4981">
        <v>4975</v>
      </c>
      <c r="B4981" t="s">
        <v>54</v>
      </c>
    </row>
    <row r="4982" spans="1:2" x14ac:dyDescent="0.2">
      <c r="A4982">
        <v>4976</v>
      </c>
      <c r="B4982" t="s">
        <v>54</v>
      </c>
    </row>
    <row r="4983" spans="1:2" x14ac:dyDescent="0.2">
      <c r="A4983">
        <v>4977</v>
      </c>
      <c r="B4983" t="s">
        <v>54</v>
      </c>
    </row>
    <row r="4984" spans="1:2" x14ac:dyDescent="0.2">
      <c r="A4984">
        <v>4978</v>
      </c>
      <c r="B4984" t="s">
        <v>54</v>
      </c>
    </row>
    <row r="4985" spans="1:2" x14ac:dyDescent="0.2">
      <c r="A4985">
        <v>4979</v>
      </c>
      <c r="B4985" t="s">
        <v>54</v>
      </c>
    </row>
    <row r="4986" spans="1:2" x14ac:dyDescent="0.2">
      <c r="A4986">
        <v>4980</v>
      </c>
      <c r="B4986" t="s">
        <v>54</v>
      </c>
    </row>
    <row r="4987" spans="1:2" x14ac:dyDescent="0.2">
      <c r="A4987">
        <v>4981</v>
      </c>
      <c r="B4987" t="s">
        <v>54</v>
      </c>
    </row>
    <row r="4988" spans="1:2" x14ac:dyDescent="0.2">
      <c r="A4988">
        <v>4982</v>
      </c>
      <c r="B4988" t="s">
        <v>54</v>
      </c>
    </row>
    <row r="4989" spans="1:2" x14ac:dyDescent="0.2">
      <c r="A4989">
        <v>4983</v>
      </c>
      <c r="B4989" t="s">
        <v>54</v>
      </c>
    </row>
    <row r="4990" spans="1:2" x14ac:dyDescent="0.2">
      <c r="A4990">
        <v>4984</v>
      </c>
      <c r="B4990" t="s">
        <v>54</v>
      </c>
    </row>
    <row r="4991" spans="1:2" x14ac:dyDescent="0.2">
      <c r="A4991">
        <v>4985</v>
      </c>
      <c r="B4991" t="s">
        <v>54</v>
      </c>
    </row>
    <row r="4992" spans="1:2" x14ac:dyDescent="0.2">
      <c r="A4992">
        <v>4986</v>
      </c>
      <c r="B4992" t="s">
        <v>54</v>
      </c>
    </row>
    <row r="4993" spans="1:2" x14ac:dyDescent="0.2">
      <c r="A4993">
        <v>4987</v>
      </c>
      <c r="B4993" t="s">
        <v>54</v>
      </c>
    </row>
    <row r="4994" spans="1:2" x14ac:dyDescent="0.2">
      <c r="A4994">
        <v>4988</v>
      </c>
      <c r="B4994" t="s">
        <v>54</v>
      </c>
    </row>
    <row r="4995" spans="1:2" x14ac:dyDescent="0.2">
      <c r="A4995">
        <v>4989</v>
      </c>
      <c r="B4995" t="s">
        <v>54</v>
      </c>
    </row>
    <row r="4996" spans="1:2" x14ac:dyDescent="0.2">
      <c r="A4996">
        <v>4990</v>
      </c>
      <c r="B4996" t="s">
        <v>54</v>
      </c>
    </row>
    <row r="4997" spans="1:2" x14ac:dyDescent="0.2">
      <c r="A4997">
        <v>4991</v>
      </c>
      <c r="B4997" t="s">
        <v>54</v>
      </c>
    </row>
    <row r="4998" spans="1:2" x14ac:dyDescent="0.2">
      <c r="A4998">
        <v>4992</v>
      </c>
      <c r="B4998" t="s">
        <v>54</v>
      </c>
    </row>
    <row r="4999" spans="1:2" x14ac:dyDescent="0.2">
      <c r="A4999">
        <v>4993</v>
      </c>
      <c r="B4999" t="s">
        <v>54</v>
      </c>
    </row>
    <row r="5000" spans="1:2" x14ac:dyDescent="0.2">
      <c r="A5000">
        <v>4994</v>
      </c>
      <c r="B5000" t="s">
        <v>54</v>
      </c>
    </row>
    <row r="5001" spans="1:2" x14ac:dyDescent="0.2">
      <c r="A5001">
        <v>4995</v>
      </c>
      <c r="B5001" t="s">
        <v>54</v>
      </c>
    </row>
    <row r="5002" spans="1:2" x14ac:dyDescent="0.2">
      <c r="A5002">
        <v>4996</v>
      </c>
      <c r="B5002" t="s">
        <v>54</v>
      </c>
    </row>
    <row r="5003" spans="1:2" x14ac:dyDescent="0.2">
      <c r="A5003">
        <v>4997</v>
      </c>
      <c r="B5003" t="s">
        <v>54</v>
      </c>
    </row>
    <row r="5004" spans="1:2" x14ac:dyDescent="0.2">
      <c r="A5004">
        <v>4998</v>
      </c>
      <c r="B5004" t="s">
        <v>54</v>
      </c>
    </row>
    <row r="5005" spans="1:2" x14ac:dyDescent="0.2">
      <c r="A5005">
        <v>4999</v>
      </c>
      <c r="B5005" t="s">
        <v>54</v>
      </c>
    </row>
    <row r="5006" spans="1:2" x14ac:dyDescent="0.2">
      <c r="A5006">
        <v>5000</v>
      </c>
      <c r="B5006" t="s">
        <v>54</v>
      </c>
    </row>
    <row r="5007" spans="1:2" x14ac:dyDescent="0.2">
      <c r="A5007">
        <v>5001</v>
      </c>
      <c r="B5007" t="s">
        <v>54</v>
      </c>
    </row>
    <row r="5008" spans="1:2" x14ac:dyDescent="0.2">
      <c r="A5008">
        <v>5002</v>
      </c>
      <c r="B5008" t="s">
        <v>54</v>
      </c>
    </row>
    <row r="5009" spans="1:2" x14ac:dyDescent="0.2">
      <c r="A5009">
        <v>5003</v>
      </c>
      <c r="B5009" t="s">
        <v>54</v>
      </c>
    </row>
    <row r="5010" spans="1:2" x14ac:dyDescent="0.2">
      <c r="A5010">
        <v>5004</v>
      </c>
      <c r="B5010" t="s">
        <v>54</v>
      </c>
    </row>
    <row r="5011" spans="1:2" x14ac:dyDescent="0.2">
      <c r="A5011">
        <v>5005</v>
      </c>
      <c r="B5011" t="s">
        <v>54</v>
      </c>
    </row>
    <row r="5012" spans="1:2" x14ac:dyDescent="0.2">
      <c r="A5012">
        <v>5006</v>
      </c>
      <c r="B5012" t="s">
        <v>54</v>
      </c>
    </row>
    <row r="5013" spans="1:2" x14ac:dyDescent="0.2">
      <c r="A5013">
        <v>5007</v>
      </c>
      <c r="B5013" t="s">
        <v>54</v>
      </c>
    </row>
    <row r="5014" spans="1:2" x14ac:dyDescent="0.2">
      <c r="A5014">
        <v>5008</v>
      </c>
      <c r="B5014" t="s">
        <v>54</v>
      </c>
    </row>
    <row r="5015" spans="1:2" x14ac:dyDescent="0.2">
      <c r="A5015">
        <v>5009</v>
      </c>
      <c r="B5015" t="s">
        <v>54</v>
      </c>
    </row>
    <row r="5016" spans="1:2" x14ac:dyDescent="0.2">
      <c r="A5016">
        <v>5010</v>
      </c>
      <c r="B5016" t="s">
        <v>54</v>
      </c>
    </row>
    <row r="5017" spans="1:2" x14ac:dyDescent="0.2">
      <c r="A5017">
        <v>5011</v>
      </c>
      <c r="B5017" t="s">
        <v>54</v>
      </c>
    </row>
    <row r="5018" spans="1:2" x14ac:dyDescent="0.2">
      <c r="A5018">
        <v>5012</v>
      </c>
      <c r="B5018" t="s">
        <v>54</v>
      </c>
    </row>
    <row r="5019" spans="1:2" x14ac:dyDescent="0.2">
      <c r="A5019">
        <v>5013</v>
      </c>
      <c r="B5019" t="s">
        <v>54</v>
      </c>
    </row>
    <row r="5020" spans="1:2" x14ac:dyDescent="0.2">
      <c r="A5020">
        <v>5014</v>
      </c>
      <c r="B5020" t="s">
        <v>54</v>
      </c>
    </row>
    <row r="5021" spans="1:2" x14ac:dyDescent="0.2">
      <c r="A5021">
        <v>5015</v>
      </c>
      <c r="B5021" t="s">
        <v>54</v>
      </c>
    </row>
    <row r="5022" spans="1:2" x14ac:dyDescent="0.2">
      <c r="A5022">
        <v>5016</v>
      </c>
      <c r="B5022" t="s">
        <v>54</v>
      </c>
    </row>
    <row r="5023" spans="1:2" x14ac:dyDescent="0.2">
      <c r="A5023">
        <v>5017</v>
      </c>
      <c r="B5023" t="s">
        <v>54</v>
      </c>
    </row>
    <row r="5024" spans="1:2" x14ac:dyDescent="0.2">
      <c r="A5024">
        <v>5018</v>
      </c>
      <c r="B5024" t="s">
        <v>54</v>
      </c>
    </row>
    <row r="5025" spans="1:2" x14ac:dyDescent="0.2">
      <c r="A5025">
        <v>5019</v>
      </c>
      <c r="B5025" t="s">
        <v>54</v>
      </c>
    </row>
    <row r="5026" spans="1:2" x14ac:dyDescent="0.2">
      <c r="A5026">
        <v>5020</v>
      </c>
      <c r="B5026" t="s">
        <v>54</v>
      </c>
    </row>
    <row r="5027" spans="1:2" x14ac:dyDescent="0.2">
      <c r="A5027">
        <v>5021</v>
      </c>
      <c r="B5027" t="s">
        <v>54</v>
      </c>
    </row>
    <row r="5028" spans="1:2" x14ac:dyDescent="0.2">
      <c r="A5028">
        <v>5022</v>
      </c>
      <c r="B5028" t="s">
        <v>54</v>
      </c>
    </row>
    <row r="5029" spans="1:2" x14ac:dyDescent="0.2">
      <c r="A5029">
        <v>5023</v>
      </c>
      <c r="B5029" t="s">
        <v>54</v>
      </c>
    </row>
    <row r="5030" spans="1:2" x14ac:dyDescent="0.2">
      <c r="A5030">
        <v>5024</v>
      </c>
      <c r="B5030" t="s">
        <v>54</v>
      </c>
    </row>
    <row r="5031" spans="1:2" x14ac:dyDescent="0.2">
      <c r="A5031">
        <v>5025</v>
      </c>
      <c r="B5031" t="s">
        <v>54</v>
      </c>
    </row>
    <row r="5032" spans="1:2" x14ac:dyDescent="0.2">
      <c r="A5032">
        <v>5026</v>
      </c>
      <c r="B5032" t="s">
        <v>54</v>
      </c>
    </row>
    <row r="5033" spans="1:2" x14ac:dyDescent="0.2">
      <c r="A5033">
        <v>5027</v>
      </c>
      <c r="B5033" t="s">
        <v>54</v>
      </c>
    </row>
    <row r="5034" spans="1:2" x14ac:dyDescent="0.2">
      <c r="A5034">
        <v>5028</v>
      </c>
      <c r="B5034" t="s">
        <v>54</v>
      </c>
    </row>
    <row r="5035" spans="1:2" x14ac:dyDescent="0.2">
      <c r="A5035">
        <v>5029</v>
      </c>
      <c r="B5035" t="s">
        <v>54</v>
      </c>
    </row>
    <row r="5036" spans="1:2" x14ac:dyDescent="0.2">
      <c r="A5036">
        <v>5030</v>
      </c>
      <c r="B5036" t="s">
        <v>54</v>
      </c>
    </row>
    <row r="5037" spans="1:2" x14ac:dyDescent="0.2">
      <c r="A5037">
        <v>5031</v>
      </c>
      <c r="B5037" t="s">
        <v>54</v>
      </c>
    </row>
    <row r="5038" spans="1:2" x14ac:dyDescent="0.2">
      <c r="A5038">
        <v>5032</v>
      </c>
      <c r="B5038" t="s">
        <v>54</v>
      </c>
    </row>
    <row r="5039" spans="1:2" x14ac:dyDescent="0.2">
      <c r="A5039">
        <v>5033</v>
      </c>
      <c r="B5039" t="s">
        <v>54</v>
      </c>
    </row>
    <row r="5040" spans="1:2" x14ac:dyDescent="0.2">
      <c r="A5040">
        <v>5034</v>
      </c>
      <c r="B5040" t="s">
        <v>54</v>
      </c>
    </row>
    <row r="5041" spans="1:2" x14ac:dyDescent="0.2">
      <c r="A5041">
        <v>5035</v>
      </c>
      <c r="B5041" t="s">
        <v>54</v>
      </c>
    </row>
    <row r="5042" spans="1:2" x14ac:dyDescent="0.2">
      <c r="A5042">
        <v>5036</v>
      </c>
      <c r="B5042" t="s">
        <v>54</v>
      </c>
    </row>
    <row r="5043" spans="1:2" x14ac:dyDescent="0.2">
      <c r="A5043">
        <v>5037</v>
      </c>
      <c r="B5043" t="s">
        <v>54</v>
      </c>
    </row>
    <row r="5044" spans="1:2" x14ac:dyDescent="0.2">
      <c r="A5044">
        <v>5038</v>
      </c>
      <c r="B5044" t="s">
        <v>54</v>
      </c>
    </row>
    <row r="5045" spans="1:2" x14ac:dyDescent="0.2">
      <c r="A5045">
        <v>5039</v>
      </c>
      <c r="B5045" t="s">
        <v>54</v>
      </c>
    </row>
    <row r="5046" spans="1:2" x14ac:dyDescent="0.2">
      <c r="A5046">
        <v>5040</v>
      </c>
      <c r="B5046" t="s">
        <v>54</v>
      </c>
    </row>
    <row r="5047" spans="1:2" x14ac:dyDescent="0.2">
      <c r="A5047">
        <v>5041</v>
      </c>
      <c r="B5047" t="s">
        <v>54</v>
      </c>
    </row>
    <row r="5048" spans="1:2" x14ac:dyDescent="0.2">
      <c r="A5048">
        <v>5042</v>
      </c>
      <c r="B5048" t="s">
        <v>54</v>
      </c>
    </row>
    <row r="5049" spans="1:2" x14ac:dyDescent="0.2">
      <c r="A5049">
        <v>5043</v>
      </c>
      <c r="B5049" t="s">
        <v>54</v>
      </c>
    </row>
    <row r="5050" spans="1:2" x14ac:dyDescent="0.2">
      <c r="A5050">
        <v>5044</v>
      </c>
      <c r="B5050" t="s">
        <v>54</v>
      </c>
    </row>
    <row r="5051" spans="1:2" x14ac:dyDescent="0.2">
      <c r="A5051">
        <v>5045</v>
      </c>
      <c r="B5051" t="s">
        <v>54</v>
      </c>
    </row>
    <row r="5052" spans="1:2" x14ac:dyDescent="0.2">
      <c r="A5052">
        <v>5046</v>
      </c>
      <c r="B5052" t="s">
        <v>54</v>
      </c>
    </row>
    <row r="5053" spans="1:2" x14ac:dyDescent="0.2">
      <c r="A5053">
        <v>5047</v>
      </c>
      <c r="B5053" t="s">
        <v>54</v>
      </c>
    </row>
    <row r="5054" spans="1:2" x14ac:dyDescent="0.2">
      <c r="A5054">
        <v>5048</v>
      </c>
      <c r="B5054" t="s">
        <v>54</v>
      </c>
    </row>
    <row r="5055" spans="1:2" x14ac:dyDescent="0.2">
      <c r="A5055">
        <v>5049</v>
      </c>
      <c r="B5055" t="s">
        <v>54</v>
      </c>
    </row>
    <row r="5056" spans="1:2" x14ac:dyDescent="0.2">
      <c r="A5056">
        <v>5050</v>
      </c>
      <c r="B5056" t="s">
        <v>54</v>
      </c>
    </row>
    <row r="5057" spans="1:2" x14ac:dyDescent="0.2">
      <c r="A5057">
        <v>5051</v>
      </c>
      <c r="B5057" t="s">
        <v>54</v>
      </c>
    </row>
    <row r="5058" spans="1:2" x14ac:dyDescent="0.2">
      <c r="A5058">
        <v>5052</v>
      </c>
      <c r="B5058" t="s">
        <v>54</v>
      </c>
    </row>
    <row r="5059" spans="1:2" x14ac:dyDescent="0.2">
      <c r="A5059">
        <v>5053</v>
      </c>
      <c r="B5059" t="s">
        <v>54</v>
      </c>
    </row>
    <row r="5060" spans="1:2" x14ac:dyDescent="0.2">
      <c r="A5060">
        <v>5054</v>
      </c>
      <c r="B5060" t="s">
        <v>54</v>
      </c>
    </row>
    <row r="5061" spans="1:2" x14ac:dyDescent="0.2">
      <c r="A5061">
        <v>5055</v>
      </c>
      <c r="B5061" t="s">
        <v>54</v>
      </c>
    </row>
    <row r="5062" spans="1:2" x14ac:dyDescent="0.2">
      <c r="A5062">
        <v>5056</v>
      </c>
      <c r="B5062" t="s">
        <v>54</v>
      </c>
    </row>
    <row r="5063" spans="1:2" x14ac:dyDescent="0.2">
      <c r="A5063">
        <v>5057</v>
      </c>
      <c r="B5063" t="s">
        <v>54</v>
      </c>
    </row>
    <row r="5064" spans="1:2" x14ac:dyDescent="0.2">
      <c r="A5064">
        <v>5058</v>
      </c>
      <c r="B5064" t="s">
        <v>54</v>
      </c>
    </row>
    <row r="5065" spans="1:2" x14ac:dyDescent="0.2">
      <c r="A5065">
        <v>5059</v>
      </c>
      <c r="B5065" t="s">
        <v>54</v>
      </c>
    </row>
    <row r="5066" spans="1:2" x14ac:dyDescent="0.2">
      <c r="A5066">
        <v>5060</v>
      </c>
      <c r="B5066" t="s">
        <v>54</v>
      </c>
    </row>
    <row r="5067" spans="1:2" x14ac:dyDescent="0.2">
      <c r="A5067">
        <v>5061</v>
      </c>
      <c r="B5067" t="s">
        <v>54</v>
      </c>
    </row>
    <row r="5068" spans="1:2" x14ac:dyDescent="0.2">
      <c r="A5068">
        <v>5062</v>
      </c>
      <c r="B5068" t="s">
        <v>54</v>
      </c>
    </row>
    <row r="5069" spans="1:2" x14ac:dyDescent="0.2">
      <c r="A5069">
        <v>5063</v>
      </c>
      <c r="B5069" t="s">
        <v>54</v>
      </c>
    </row>
    <row r="5070" spans="1:2" x14ac:dyDescent="0.2">
      <c r="A5070">
        <v>5064</v>
      </c>
      <c r="B5070" t="s">
        <v>54</v>
      </c>
    </row>
    <row r="5071" spans="1:2" x14ac:dyDescent="0.2">
      <c r="A5071">
        <v>5065</v>
      </c>
      <c r="B5071" t="s">
        <v>54</v>
      </c>
    </row>
    <row r="5072" spans="1:2" x14ac:dyDescent="0.2">
      <c r="A5072">
        <v>5066</v>
      </c>
      <c r="B5072" t="s">
        <v>54</v>
      </c>
    </row>
    <row r="5073" spans="1:2" x14ac:dyDescent="0.2">
      <c r="A5073">
        <v>5067</v>
      </c>
      <c r="B5073" t="s">
        <v>54</v>
      </c>
    </row>
    <row r="5074" spans="1:2" x14ac:dyDescent="0.2">
      <c r="A5074">
        <v>5068</v>
      </c>
      <c r="B5074" t="s">
        <v>54</v>
      </c>
    </row>
    <row r="5075" spans="1:2" x14ac:dyDescent="0.2">
      <c r="A5075">
        <v>5069</v>
      </c>
      <c r="B5075" t="s">
        <v>54</v>
      </c>
    </row>
    <row r="5076" spans="1:2" x14ac:dyDescent="0.2">
      <c r="A5076">
        <v>5070</v>
      </c>
      <c r="B5076" t="s">
        <v>54</v>
      </c>
    </row>
    <row r="5077" spans="1:2" x14ac:dyDescent="0.2">
      <c r="A5077">
        <v>5071</v>
      </c>
      <c r="B5077" t="s">
        <v>54</v>
      </c>
    </row>
    <row r="5078" spans="1:2" x14ac:dyDescent="0.2">
      <c r="A5078">
        <v>5072</v>
      </c>
      <c r="B5078" t="s">
        <v>54</v>
      </c>
    </row>
    <row r="5079" spans="1:2" x14ac:dyDescent="0.2">
      <c r="A5079">
        <v>5073</v>
      </c>
      <c r="B5079" t="s">
        <v>54</v>
      </c>
    </row>
    <row r="5080" spans="1:2" x14ac:dyDescent="0.2">
      <c r="A5080">
        <v>5074</v>
      </c>
      <c r="B5080" t="s">
        <v>54</v>
      </c>
    </row>
    <row r="5081" spans="1:2" x14ac:dyDescent="0.2">
      <c r="A5081">
        <v>5075</v>
      </c>
      <c r="B5081" t="s">
        <v>54</v>
      </c>
    </row>
    <row r="5082" spans="1:2" x14ac:dyDescent="0.2">
      <c r="A5082">
        <v>5076</v>
      </c>
      <c r="B5082" t="s">
        <v>54</v>
      </c>
    </row>
    <row r="5083" spans="1:2" x14ac:dyDescent="0.2">
      <c r="A5083">
        <v>5077</v>
      </c>
      <c r="B5083" t="s">
        <v>54</v>
      </c>
    </row>
    <row r="5084" spans="1:2" x14ac:dyDescent="0.2">
      <c r="A5084">
        <v>5078</v>
      </c>
      <c r="B5084" t="s">
        <v>54</v>
      </c>
    </row>
    <row r="5085" spans="1:2" x14ac:dyDescent="0.2">
      <c r="A5085">
        <v>5079</v>
      </c>
      <c r="B5085" t="s">
        <v>54</v>
      </c>
    </row>
    <row r="5086" spans="1:2" x14ac:dyDescent="0.2">
      <c r="A5086">
        <v>5080</v>
      </c>
      <c r="B5086" t="s">
        <v>54</v>
      </c>
    </row>
    <row r="5087" spans="1:2" x14ac:dyDescent="0.2">
      <c r="A5087">
        <v>5081</v>
      </c>
      <c r="B5087" t="s">
        <v>54</v>
      </c>
    </row>
    <row r="5088" spans="1:2" x14ac:dyDescent="0.2">
      <c r="A5088">
        <v>5082</v>
      </c>
      <c r="B5088" t="s">
        <v>54</v>
      </c>
    </row>
    <row r="5089" spans="1:2" x14ac:dyDescent="0.2">
      <c r="A5089">
        <v>5083</v>
      </c>
      <c r="B5089" t="s">
        <v>54</v>
      </c>
    </row>
    <row r="5090" spans="1:2" x14ac:dyDescent="0.2">
      <c r="A5090">
        <v>5084</v>
      </c>
      <c r="B5090" t="s">
        <v>54</v>
      </c>
    </row>
    <row r="5091" spans="1:2" x14ac:dyDescent="0.2">
      <c r="A5091">
        <v>5085</v>
      </c>
      <c r="B5091" t="s">
        <v>54</v>
      </c>
    </row>
    <row r="5092" spans="1:2" x14ac:dyDescent="0.2">
      <c r="A5092">
        <v>5086</v>
      </c>
      <c r="B5092" t="s">
        <v>54</v>
      </c>
    </row>
    <row r="5093" spans="1:2" x14ac:dyDescent="0.2">
      <c r="A5093">
        <v>5087</v>
      </c>
      <c r="B5093" t="s">
        <v>54</v>
      </c>
    </row>
    <row r="5094" spans="1:2" x14ac:dyDescent="0.2">
      <c r="A5094">
        <v>5088</v>
      </c>
      <c r="B5094" t="s">
        <v>54</v>
      </c>
    </row>
    <row r="5095" spans="1:2" x14ac:dyDescent="0.2">
      <c r="A5095">
        <v>5089</v>
      </c>
      <c r="B5095" t="s">
        <v>54</v>
      </c>
    </row>
    <row r="5096" spans="1:2" x14ac:dyDescent="0.2">
      <c r="A5096">
        <v>5090</v>
      </c>
      <c r="B5096" t="s">
        <v>54</v>
      </c>
    </row>
    <row r="5097" spans="1:2" x14ac:dyDescent="0.2">
      <c r="A5097">
        <v>5091</v>
      </c>
      <c r="B5097" t="s">
        <v>54</v>
      </c>
    </row>
    <row r="5098" spans="1:2" x14ac:dyDescent="0.2">
      <c r="A5098">
        <v>5092</v>
      </c>
      <c r="B5098" t="s">
        <v>54</v>
      </c>
    </row>
    <row r="5099" spans="1:2" x14ac:dyDescent="0.2">
      <c r="A5099">
        <v>5093</v>
      </c>
      <c r="B5099" t="s">
        <v>54</v>
      </c>
    </row>
    <row r="5100" spans="1:2" x14ac:dyDescent="0.2">
      <c r="A5100">
        <v>5094</v>
      </c>
      <c r="B5100" t="s">
        <v>54</v>
      </c>
    </row>
    <row r="5101" spans="1:2" x14ac:dyDescent="0.2">
      <c r="A5101">
        <v>5095</v>
      </c>
      <c r="B5101" t="s">
        <v>54</v>
      </c>
    </row>
    <row r="5102" spans="1:2" x14ac:dyDescent="0.2">
      <c r="A5102">
        <v>5096</v>
      </c>
      <c r="B5102" t="s">
        <v>54</v>
      </c>
    </row>
    <row r="5103" spans="1:2" x14ac:dyDescent="0.2">
      <c r="A5103">
        <v>5097</v>
      </c>
      <c r="B5103" t="s">
        <v>54</v>
      </c>
    </row>
    <row r="5104" spans="1:2" x14ac:dyDescent="0.2">
      <c r="A5104">
        <v>5098</v>
      </c>
      <c r="B5104" t="s">
        <v>54</v>
      </c>
    </row>
    <row r="5105" spans="1:2" x14ac:dyDescent="0.2">
      <c r="A5105">
        <v>5099</v>
      </c>
      <c r="B5105" t="s">
        <v>54</v>
      </c>
    </row>
    <row r="5106" spans="1:2" x14ac:dyDescent="0.2">
      <c r="A5106">
        <v>5100</v>
      </c>
      <c r="B5106" t="s">
        <v>54</v>
      </c>
    </row>
    <row r="5107" spans="1:2" x14ac:dyDescent="0.2">
      <c r="A5107">
        <v>5101</v>
      </c>
      <c r="B5107" t="s">
        <v>54</v>
      </c>
    </row>
    <row r="5108" spans="1:2" x14ac:dyDescent="0.2">
      <c r="A5108">
        <v>5102</v>
      </c>
      <c r="B5108" t="s">
        <v>54</v>
      </c>
    </row>
    <row r="5109" spans="1:2" x14ac:dyDescent="0.2">
      <c r="A5109">
        <v>5103</v>
      </c>
      <c r="B5109" t="s">
        <v>54</v>
      </c>
    </row>
    <row r="5110" spans="1:2" x14ac:dyDescent="0.2">
      <c r="A5110">
        <v>5104</v>
      </c>
      <c r="B5110" t="s">
        <v>54</v>
      </c>
    </row>
    <row r="5111" spans="1:2" x14ac:dyDescent="0.2">
      <c r="A5111">
        <v>5105</v>
      </c>
      <c r="B5111" t="s">
        <v>54</v>
      </c>
    </row>
    <row r="5112" spans="1:2" x14ac:dyDescent="0.2">
      <c r="A5112">
        <v>5106</v>
      </c>
      <c r="B5112" t="s">
        <v>54</v>
      </c>
    </row>
    <row r="5113" spans="1:2" x14ac:dyDescent="0.2">
      <c r="A5113">
        <v>5107</v>
      </c>
      <c r="B5113" t="s">
        <v>54</v>
      </c>
    </row>
    <row r="5114" spans="1:2" x14ac:dyDescent="0.2">
      <c r="A5114">
        <v>5108</v>
      </c>
      <c r="B5114" t="s">
        <v>54</v>
      </c>
    </row>
    <row r="5115" spans="1:2" x14ac:dyDescent="0.2">
      <c r="A5115">
        <v>5109</v>
      </c>
      <c r="B5115" t="s">
        <v>54</v>
      </c>
    </row>
    <row r="5116" spans="1:2" x14ac:dyDescent="0.2">
      <c r="A5116">
        <v>5110</v>
      </c>
      <c r="B5116" t="s">
        <v>54</v>
      </c>
    </row>
    <row r="5117" spans="1:2" x14ac:dyDescent="0.2">
      <c r="A5117">
        <v>5111</v>
      </c>
      <c r="B5117" t="s">
        <v>54</v>
      </c>
    </row>
    <row r="5118" spans="1:2" x14ac:dyDescent="0.2">
      <c r="A5118">
        <v>5112</v>
      </c>
      <c r="B5118" t="s">
        <v>54</v>
      </c>
    </row>
    <row r="5119" spans="1:2" x14ac:dyDescent="0.2">
      <c r="A5119">
        <v>5113</v>
      </c>
      <c r="B5119" t="s">
        <v>54</v>
      </c>
    </row>
    <row r="5120" spans="1:2" x14ac:dyDescent="0.2">
      <c r="A5120">
        <v>5114</v>
      </c>
      <c r="B5120" t="s">
        <v>54</v>
      </c>
    </row>
    <row r="5121" spans="1:2" x14ac:dyDescent="0.2">
      <c r="A5121">
        <v>5115</v>
      </c>
      <c r="B5121" t="s">
        <v>54</v>
      </c>
    </row>
    <row r="5122" spans="1:2" x14ac:dyDescent="0.2">
      <c r="A5122">
        <v>5116</v>
      </c>
      <c r="B5122" t="s">
        <v>54</v>
      </c>
    </row>
    <row r="5123" spans="1:2" x14ac:dyDescent="0.2">
      <c r="A5123">
        <v>5117</v>
      </c>
      <c r="B5123" t="s">
        <v>54</v>
      </c>
    </row>
    <row r="5124" spans="1:2" x14ac:dyDescent="0.2">
      <c r="A5124">
        <v>5118</v>
      </c>
      <c r="B5124" t="s">
        <v>54</v>
      </c>
    </row>
    <row r="5125" spans="1:2" x14ac:dyDescent="0.2">
      <c r="A5125">
        <v>5119</v>
      </c>
      <c r="B5125" t="s">
        <v>54</v>
      </c>
    </row>
    <row r="5126" spans="1:2" x14ac:dyDescent="0.2">
      <c r="A5126">
        <v>5120</v>
      </c>
      <c r="B5126" t="s">
        <v>54</v>
      </c>
    </row>
    <row r="5127" spans="1:2" x14ac:dyDescent="0.2">
      <c r="A5127">
        <v>5121</v>
      </c>
      <c r="B5127" t="s">
        <v>54</v>
      </c>
    </row>
    <row r="5128" spans="1:2" x14ac:dyDescent="0.2">
      <c r="A5128">
        <v>5122</v>
      </c>
      <c r="B5128" t="s">
        <v>54</v>
      </c>
    </row>
    <row r="5129" spans="1:2" x14ac:dyDescent="0.2">
      <c r="A5129">
        <v>5123</v>
      </c>
      <c r="B5129" t="s">
        <v>54</v>
      </c>
    </row>
    <row r="5130" spans="1:2" x14ac:dyDescent="0.2">
      <c r="A5130">
        <v>5124</v>
      </c>
      <c r="B5130" t="s">
        <v>54</v>
      </c>
    </row>
    <row r="5131" spans="1:2" x14ac:dyDescent="0.2">
      <c r="A5131">
        <v>5125</v>
      </c>
      <c r="B5131" t="s">
        <v>54</v>
      </c>
    </row>
    <row r="5132" spans="1:2" x14ac:dyDescent="0.2">
      <c r="A5132">
        <v>5126</v>
      </c>
      <c r="B5132" t="s">
        <v>54</v>
      </c>
    </row>
    <row r="5133" spans="1:2" x14ac:dyDescent="0.2">
      <c r="A5133">
        <v>5127</v>
      </c>
      <c r="B5133" t="s">
        <v>54</v>
      </c>
    </row>
    <row r="5134" spans="1:2" x14ac:dyDescent="0.2">
      <c r="A5134">
        <v>5128</v>
      </c>
      <c r="B5134" t="s">
        <v>54</v>
      </c>
    </row>
    <row r="5135" spans="1:2" x14ac:dyDescent="0.2">
      <c r="A5135">
        <v>5129</v>
      </c>
      <c r="B5135" t="s">
        <v>54</v>
      </c>
    </row>
    <row r="5136" spans="1:2" x14ac:dyDescent="0.2">
      <c r="A5136">
        <v>5130</v>
      </c>
      <c r="B5136" t="s">
        <v>54</v>
      </c>
    </row>
    <row r="5137" spans="1:2" x14ac:dyDescent="0.2">
      <c r="A5137">
        <v>5131</v>
      </c>
      <c r="B5137" t="s">
        <v>54</v>
      </c>
    </row>
    <row r="5138" spans="1:2" x14ac:dyDescent="0.2">
      <c r="A5138">
        <v>5132</v>
      </c>
      <c r="B5138" t="s">
        <v>54</v>
      </c>
    </row>
    <row r="5139" spans="1:2" x14ac:dyDescent="0.2">
      <c r="A5139">
        <v>5133</v>
      </c>
      <c r="B5139" t="s">
        <v>54</v>
      </c>
    </row>
    <row r="5140" spans="1:2" x14ac:dyDescent="0.2">
      <c r="A5140">
        <v>5134</v>
      </c>
      <c r="B5140" t="s">
        <v>54</v>
      </c>
    </row>
    <row r="5141" spans="1:2" x14ac:dyDescent="0.2">
      <c r="A5141">
        <v>5135</v>
      </c>
      <c r="B5141" t="s">
        <v>54</v>
      </c>
    </row>
    <row r="5142" spans="1:2" x14ac:dyDescent="0.2">
      <c r="A5142">
        <v>5136</v>
      </c>
      <c r="B5142" t="s">
        <v>54</v>
      </c>
    </row>
    <row r="5143" spans="1:2" x14ac:dyDescent="0.2">
      <c r="A5143">
        <v>5137</v>
      </c>
      <c r="B5143" t="s">
        <v>54</v>
      </c>
    </row>
    <row r="5144" spans="1:2" x14ac:dyDescent="0.2">
      <c r="A5144">
        <v>5138</v>
      </c>
      <c r="B5144" t="s">
        <v>54</v>
      </c>
    </row>
    <row r="5145" spans="1:2" x14ac:dyDescent="0.2">
      <c r="A5145">
        <v>5139</v>
      </c>
      <c r="B5145" t="s">
        <v>54</v>
      </c>
    </row>
    <row r="5146" spans="1:2" x14ac:dyDescent="0.2">
      <c r="A5146">
        <v>5140</v>
      </c>
      <c r="B5146" t="s">
        <v>54</v>
      </c>
    </row>
    <row r="5147" spans="1:2" x14ac:dyDescent="0.2">
      <c r="A5147">
        <v>5141</v>
      </c>
      <c r="B5147" t="s">
        <v>54</v>
      </c>
    </row>
    <row r="5148" spans="1:2" x14ac:dyDescent="0.2">
      <c r="A5148">
        <v>5142</v>
      </c>
      <c r="B5148" t="s">
        <v>54</v>
      </c>
    </row>
    <row r="5149" spans="1:2" x14ac:dyDescent="0.2">
      <c r="A5149">
        <v>5143</v>
      </c>
      <c r="B5149" t="s">
        <v>54</v>
      </c>
    </row>
    <row r="5150" spans="1:2" x14ac:dyDescent="0.2">
      <c r="A5150">
        <v>5144</v>
      </c>
      <c r="B5150" t="s">
        <v>54</v>
      </c>
    </row>
    <row r="5151" spans="1:2" x14ac:dyDescent="0.2">
      <c r="A5151">
        <v>5145</v>
      </c>
      <c r="B5151" t="s">
        <v>54</v>
      </c>
    </row>
    <row r="5152" spans="1:2" x14ac:dyDescent="0.2">
      <c r="A5152">
        <v>5146</v>
      </c>
      <c r="B5152" t="s">
        <v>54</v>
      </c>
    </row>
    <row r="5153" spans="1:2" x14ac:dyDescent="0.2">
      <c r="A5153">
        <v>5147</v>
      </c>
      <c r="B5153" t="s">
        <v>54</v>
      </c>
    </row>
    <row r="5154" spans="1:2" x14ac:dyDescent="0.2">
      <c r="A5154">
        <v>5148</v>
      </c>
      <c r="B5154" t="s">
        <v>54</v>
      </c>
    </row>
    <row r="5155" spans="1:2" x14ac:dyDescent="0.2">
      <c r="A5155">
        <v>5149</v>
      </c>
      <c r="B5155" t="s">
        <v>54</v>
      </c>
    </row>
    <row r="5156" spans="1:2" x14ac:dyDescent="0.2">
      <c r="A5156">
        <v>5150</v>
      </c>
      <c r="B5156" t="s">
        <v>54</v>
      </c>
    </row>
    <row r="5157" spans="1:2" x14ac:dyDescent="0.2">
      <c r="A5157">
        <v>5151</v>
      </c>
      <c r="B5157" t="s">
        <v>54</v>
      </c>
    </row>
    <row r="5158" spans="1:2" x14ac:dyDescent="0.2">
      <c r="A5158">
        <v>5152</v>
      </c>
      <c r="B5158" t="s">
        <v>54</v>
      </c>
    </row>
    <row r="5159" spans="1:2" x14ac:dyDescent="0.2">
      <c r="A5159">
        <v>5153</v>
      </c>
      <c r="B5159" t="s">
        <v>54</v>
      </c>
    </row>
    <row r="5160" spans="1:2" x14ac:dyDescent="0.2">
      <c r="A5160">
        <v>5154</v>
      </c>
      <c r="B5160" t="s">
        <v>54</v>
      </c>
    </row>
    <row r="5161" spans="1:2" x14ac:dyDescent="0.2">
      <c r="A5161">
        <v>5155</v>
      </c>
      <c r="B5161" t="s">
        <v>54</v>
      </c>
    </row>
    <row r="5162" spans="1:2" x14ac:dyDescent="0.2">
      <c r="A5162">
        <v>5156</v>
      </c>
      <c r="B5162" t="s">
        <v>54</v>
      </c>
    </row>
    <row r="5163" spans="1:2" x14ac:dyDescent="0.2">
      <c r="A5163">
        <v>5157</v>
      </c>
      <c r="B5163" t="s">
        <v>54</v>
      </c>
    </row>
    <row r="5164" spans="1:2" x14ac:dyDescent="0.2">
      <c r="A5164">
        <v>5158</v>
      </c>
      <c r="B5164" t="s">
        <v>54</v>
      </c>
    </row>
    <row r="5165" spans="1:2" x14ac:dyDescent="0.2">
      <c r="A5165">
        <v>5159</v>
      </c>
      <c r="B5165" t="s">
        <v>54</v>
      </c>
    </row>
    <row r="5166" spans="1:2" x14ac:dyDescent="0.2">
      <c r="A5166">
        <v>5160</v>
      </c>
      <c r="B5166" t="s">
        <v>54</v>
      </c>
    </row>
    <row r="5167" spans="1:2" x14ac:dyDescent="0.2">
      <c r="A5167">
        <v>5161</v>
      </c>
      <c r="B5167" t="s">
        <v>54</v>
      </c>
    </row>
    <row r="5168" spans="1:2" x14ac:dyDescent="0.2">
      <c r="A5168">
        <v>5162</v>
      </c>
      <c r="B5168" t="s">
        <v>54</v>
      </c>
    </row>
    <row r="5169" spans="1:2" x14ac:dyDescent="0.2">
      <c r="A5169">
        <v>5163</v>
      </c>
      <c r="B5169" t="s">
        <v>54</v>
      </c>
    </row>
    <row r="5170" spans="1:2" x14ac:dyDescent="0.2">
      <c r="A5170">
        <v>5164</v>
      </c>
      <c r="B5170" t="s">
        <v>54</v>
      </c>
    </row>
    <row r="5171" spans="1:2" x14ac:dyDescent="0.2">
      <c r="A5171">
        <v>5165</v>
      </c>
      <c r="B5171" t="s">
        <v>54</v>
      </c>
    </row>
    <row r="5172" spans="1:2" x14ac:dyDescent="0.2">
      <c r="A5172">
        <v>5166</v>
      </c>
      <c r="B5172" t="s">
        <v>54</v>
      </c>
    </row>
    <row r="5173" spans="1:2" x14ac:dyDescent="0.2">
      <c r="A5173">
        <v>5167</v>
      </c>
      <c r="B5173" t="s">
        <v>54</v>
      </c>
    </row>
    <row r="5174" spans="1:2" x14ac:dyDescent="0.2">
      <c r="A5174">
        <v>5168</v>
      </c>
      <c r="B5174" t="s">
        <v>54</v>
      </c>
    </row>
    <row r="5175" spans="1:2" x14ac:dyDescent="0.2">
      <c r="A5175">
        <v>5169</v>
      </c>
      <c r="B5175" t="s">
        <v>54</v>
      </c>
    </row>
    <row r="5176" spans="1:2" x14ac:dyDescent="0.2">
      <c r="A5176">
        <v>5170</v>
      </c>
      <c r="B5176" t="s">
        <v>54</v>
      </c>
    </row>
    <row r="5177" spans="1:2" x14ac:dyDescent="0.2">
      <c r="A5177">
        <v>5171</v>
      </c>
      <c r="B5177" t="s">
        <v>54</v>
      </c>
    </row>
    <row r="5178" spans="1:2" x14ac:dyDescent="0.2">
      <c r="A5178">
        <v>5172</v>
      </c>
      <c r="B5178" t="s">
        <v>54</v>
      </c>
    </row>
    <row r="5179" spans="1:2" x14ac:dyDescent="0.2">
      <c r="A5179">
        <v>5173</v>
      </c>
      <c r="B5179" t="s">
        <v>54</v>
      </c>
    </row>
    <row r="5180" spans="1:2" x14ac:dyDescent="0.2">
      <c r="A5180">
        <v>5174</v>
      </c>
      <c r="B5180" t="s">
        <v>54</v>
      </c>
    </row>
    <row r="5181" spans="1:2" x14ac:dyDescent="0.2">
      <c r="A5181">
        <v>5175</v>
      </c>
      <c r="B5181" t="s">
        <v>54</v>
      </c>
    </row>
    <row r="5182" spans="1:2" x14ac:dyDescent="0.2">
      <c r="A5182">
        <v>5176</v>
      </c>
      <c r="B5182" t="s">
        <v>54</v>
      </c>
    </row>
    <row r="5183" spans="1:2" x14ac:dyDescent="0.2">
      <c r="A5183">
        <v>5177</v>
      </c>
      <c r="B5183" t="s">
        <v>54</v>
      </c>
    </row>
    <row r="5184" spans="1:2" x14ac:dyDescent="0.2">
      <c r="A5184">
        <v>5178</v>
      </c>
      <c r="B5184" t="s">
        <v>54</v>
      </c>
    </row>
    <row r="5185" spans="1:2" x14ac:dyDescent="0.2">
      <c r="A5185">
        <v>5179</v>
      </c>
      <c r="B5185" t="s">
        <v>54</v>
      </c>
    </row>
    <row r="5186" spans="1:2" x14ac:dyDescent="0.2">
      <c r="A5186">
        <v>5180</v>
      </c>
      <c r="B5186" t="s">
        <v>54</v>
      </c>
    </row>
    <row r="5187" spans="1:2" x14ac:dyDescent="0.2">
      <c r="A5187">
        <v>5181</v>
      </c>
      <c r="B5187" t="s">
        <v>54</v>
      </c>
    </row>
    <row r="5188" spans="1:2" x14ac:dyDescent="0.2">
      <c r="A5188">
        <v>5182</v>
      </c>
      <c r="B5188" t="s">
        <v>54</v>
      </c>
    </row>
    <row r="5189" spans="1:2" x14ac:dyDescent="0.2">
      <c r="A5189">
        <v>5183</v>
      </c>
      <c r="B5189" t="s">
        <v>54</v>
      </c>
    </row>
    <row r="5190" spans="1:2" x14ac:dyDescent="0.2">
      <c r="A5190">
        <v>5184</v>
      </c>
      <c r="B5190" t="s">
        <v>54</v>
      </c>
    </row>
    <row r="5191" spans="1:2" x14ac:dyDescent="0.2">
      <c r="A5191">
        <v>5185</v>
      </c>
      <c r="B5191" t="s">
        <v>54</v>
      </c>
    </row>
    <row r="5192" spans="1:2" x14ac:dyDescent="0.2">
      <c r="A5192">
        <v>5186</v>
      </c>
      <c r="B5192" t="s">
        <v>54</v>
      </c>
    </row>
    <row r="5193" spans="1:2" x14ac:dyDescent="0.2">
      <c r="A5193">
        <v>5187</v>
      </c>
      <c r="B5193" t="s">
        <v>54</v>
      </c>
    </row>
    <row r="5194" spans="1:2" x14ac:dyDescent="0.2">
      <c r="A5194">
        <v>5188</v>
      </c>
      <c r="B5194" t="s">
        <v>54</v>
      </c>
    </row>
    <row r="5195" spans="1:2" x14ac:dyDescent="0.2">
      <c r="A5195">
        <v>5189</v>
      </c>
      <c r="B5195" t="s">
        <v>54</v>
      </c>
    </row>
    <row r="5196" spans="1:2" x14ac:dyDescent="0.2">
      <c r="A5196">
        <v>5190</v>
      </c>
      <c r="B5196" t="s">
        <v>54</v>
      </c>
    </row>
    <row r="5197" spans="1:2" x14ac:dyDescent="0.2">
      <c r="A5197">
        <v>5191</v>
      </c>
      <c r="B5197" t="s">
        <v>54</v>
      </c>
    </row>
    <row r="5198" spans="1:2" x14ac:dyDescent="0.2">
      <c r="A5198">
        <v>5192</v>
      </c>
      <c r="B5198" t="s">
        <v>54</v>
      </c>
    </row>
    <row r="5199" spans="1:2" x14ac:dyDescent="0.2">
      <c r="A5199">
        <v>5193</v>
      </c>
      <c r="B5199" t="s">
        <v>54</v>
      </c>
    </row>
    <row r="5200" spans="1:2" x14ac:dyDescent="0.2">
      <c r="A5200">
        <v>5194</v>
      </c>
      <c r="B5200" t="s">
        <v>54</v>
      </c>
    </row>
    <row r="5201" spans="1:2" x14ac:dyDescent="0.2">
      <c r="A5201">
        <v>5195</v>
      </c>
      <c r="B5201" t="s">
        <v>54</v>
      </c>
    </row>
    <row r="5202" spans="1:2" x14ac:dyDescent="0.2">
      <c r="A5202">
        <v>5196</v>
      </c>
      <c r="B5202" t="s">
        <v>54</v>
      </c>
    </row>
    <row r="5203" spans="1:2" x14ac:dyDescent="0.2">
      <c r="A5203">
        <v>5197</v>
      </c>
      <c r="B5203" t="s">
        <v>54</v>
      </c>
    </row>
    <row r="5204" spans="1:2" x14ac:dyDescent="0.2">
      <c r="A5204">
        <v>5198</v>
      </c>
      <c r="B5204" t="s">
        <v>54</v>
      </c>
    </row>
    <row r="5205" spans="1:2" x14ac:dyDescent="0.2">
      <c r="A5205">
        <v>5199</v>
      </c>
      <c r="B5205" t="s">
        <v>54</v>
      </c>
    </row>
    <row r="5206" spans="1:2" x14ac:dyDescent="0.2">
      <c r="A5206">
        <v>5200</v>
      </c>
      <c r="B5206" t="s">
        <v>54</v>
      </c>
    </row>
    <row r="5207" spans="1:2" x14ac:dyDescent="0.2">
      <c r="A5207">
        <v>5201</v>
      </c>
      <c r="B5207" t="s">
        <v>54</v>
      </c>
    </row>
    <row r="5208" spans="1:2" x14ac:dyDescent="0.2">
      <c r="A5208">
        <v>5202</v>
      </c>
      <c r="B5208" t="s">
        <v>54</v>
      </c>
    </row>
    <row r="5209" spans="1:2" x14ac:dyDescent="0.2">
      <c r="A5209">
        <v>5203</v>
      </c>
      <c r="B5209" t="s">
        <v>54</v>
      </c>
    </row>
    <row r="5210" spans="1:2" x14ac:dyDescent="0.2">
      <c r="A5210">
        <v>5204</v>
      </c>
      <c r="B5210" t="s">
        <v>54</v>
      </c>
    </row>
    <row r="5211" spans="1:2" x14ac:dyDescent="0.2">
      <c r="A5211">
        <v>5205</v>
      </c>
      <c r="B5211" t="s">
        <v>54</v>
      </c>
    </row>
    <row r="5212" spans="1:2" x14ac:dyDescent="0.2">
      <c r="A5212">
        <v>5206</v>
      </c>
      <c r="B5212" t="s">
        <v>54</v>
      </c>
    </row>
    <row r="5213" spans="1:2" x14ac:dyDescent="0.2">
      <c r="A5213">
        <v>5207</v>
      </c>
      <c r="B5213" t="s">
        <v>54</v>
      </c>
    </row>
    <row r="5214" spans="1:2" x14ac:dyDescent="0.2">
      <c r="A5214">
        <v>5208</v>
      </c>
      <c r="B5214" t="s">
        <v>54</v>
      </c>
    </row>
    <row r="5215" spans="1:2" x14ac:dyDescent="0.2">
      <c r="A5215">
        <v>5209</v>
      </c>
      <c r="B5215" t="s">
        <v>54</v>
      </c>
    </row>
    <row r="5216" spans="1:2" x14ac:dyDescent="0.2">
      <c r="A5216">
        <v>5210</v>
      </c>
      <c r="B5216" t="s">
        <v>54</v>
      </c>
    </row>
    <row r="5217" spans="1:2" x14ac:dyDescent="0.2">
      <c r="A5217">
        <v>5211</v>
      </c>
      <c r="B5217" t="s">
        <v>54</v>
      </c>
    </row>
    <row r="5218" spans="1:2" x14ac:dyDescent="0.2">
      <c r="A5218">
        <v>5212</v>
      </c>
      <c r="B5218" t="s">
        <v>54</v>
      </c>
    </row>
    <row r="5219" spans="1:2" x14ac:dyDescent="0.2">
      <c r="A5219">
        <v>5213</v>
      </c>
      <c r="B5219" t="s">
        <v>54</v>
      </c>
    </row>
    <row r="5220" spans="1:2" x14ac:dyDescent="0.2">
      <c r="A5220">
        <v>5214</v>
      </c>
      <c r="B5220" t="s">
        <v>54</v>
      </c>
    </row>
    <row r="5221" spans="1:2" x14ac:dyDescent="0.2">
      <c r="A5221">
        <v>5215</v>
      </c>
      <c r="B5221" t="s">
        <v>54</v>
      </c>
    </row>
    <row r="5222" spans="1:2" x14ac:dyDescent="0.2">
      <c r="A5222">
        <v>5216</v>
      </c>
      <c r="B5222" t="s">
        <v>54</v>
      </c>
    </row>
    <row r="5223" spans="1:2" x14ac:dyDescent="0.2">
      <c r="A5223">
        <v>5217</v>
      </c>
      <c r="B5223" t="s">
        <v>54</v>
      </c>
    </row>
    <row r="5224" spans="1:2" x14ac:dyDescent="0.2">
      <c r="A5224">
        <v>5218</v>
      </c>
      <c r="B5224" t="s">
        <v>54</v>
      </c>
    </row>
    <row r="5225" spans="1:2" x14ac:dyDescent="0.2">
      <c r="A5225">
        <v>5219</v>
      </c>
      <c r="B5225" t="s">
        <v>54</v>
      </c>
    </row>
    <row r="5226" spans="1:2" x14ac:dyDescent="0.2">
      <c r="A5226">
        <v>5220</v>
      </c>
      <c r="B5226" t="s">
        <v>54</v>
      </c>
    </row>
    <row r="5227" spans="1:2" x14ac:dyDescent="0.2">
      <c r="A5227">
        <v>5221</v>
      </c>
      <c r="B5227" t="s">
        <v>54</v>
      </c>
    </row>
    <row r="5228" spans="1:2" x14ac:dyDescent="0.2">
      <c r="A5228">
        <v>5222</v>
      </c>
      <c r="B5228" t="s">
        <v>54</v>
      </c>
    </row>
    <row r="5229" spans="1:2" x14ac:dyDescent="0.2">
      <c r="A5229">
        <v>5223</v>
      </c>
      <c r="B5229" t="s">
        <v>54</v>
      </c>
    </row>
    <row r="5230" spans="1:2" x14ac:dyDescent="0.2">
      <c r="A5230">
        <v>5224</v>
      </c>
      <c r="B5230" t="s">
        <v>54</v>
      </c>
    </row>
    <row r="5231" spans="1:2" x14ac:dyDescent="0.2">
      <c r="A5231">
        <v>5225</v>
      </c>
      <c r="B5231" t="s">
        <v>54</v>
      </c>
    </row>
    <row r="5232" spans="1:2" x14ac:dyDescent="0.2">
      <c r="A5232">
        <v>5226</v>
      </c>
      <c r="B5232" t="s">
        <v>54</v>
      </c>
    </row>
    <row r="5233" spans="1:2" x14ac:dyDescent="0.2">
      <c r="A5233">
        <v>5227</v>
      </c>
      <c r="B5233" t="s">
        <v>54</v>
      </c>
    </row>
    <row r="5234" spans="1:2" x14ac:dyDescent="0.2">
      <c r="A5234">
        <v>5228</v>
      </c>
      <c r="B5234" t="s">
        <v>54</v>
      </c>
    </row>
    <row r="5235" spans="1:2" x14ac:dyDescent="0.2">
      <c r="A5235">
        <v>5229</v>
      </c>
      <c r="B5235" t="s">
        <v>54</v>
      </c>
    </row>
    <row r="5236" spans="1:2" x14ac:dyDescent="0.2">
      <c r="A5236">
        <v>5230</v>
      </c>
      <c r="B5236" t="s">
        <v>54</v>
      </c>
    </row>
    <row r="5237" spans="1:2" x14ac:dyDescent="0.2">
      <c r="A5237">
        <v>5231</v>
      </c>
      <c r="B5237" t="s">
        <v>54</v>
      </c>
    </row>
    <row r="5238" spans="1:2" x14ac:dyDescent="0.2">
      <c r="A5238">
        <v>5232</v>
      </c>
      <c r="B5238" t="s">
        <v>54</v>
      </c>
    </row>
    <row r="5239" spans="1:2" x14ac:dyDescent="0.2">
      <c r="A5239">
        <v>5233</v>
      </c>
      <c r="B5239" t="s">
        <v>54</v>
      </c>
    </row>
    <row r="5240" spans="1:2" x14ac:dyDescent="0.2">
      <c r="A5240">
        <v>5234</v>
      </c>
      <c r="B5240" t="s">
        <v>54</v>
      </c>
    </row>
    <row r="5241" spans="1:2" x14ac:dyDescent="0.2">
      <c r="A5241">
        <v>5235</v>
      </c>
      <c r="B5241" t="s">
        <v>54</v>
      </c>
    </row>
    <row r="5242" spans="1:2" x14ac:dyDescent="0.2">
      <c r="A5242">
        <v>5236</v>
      </c>
      <c r="B5242" t="s">
        <v>54</v>
      </c>
    </row>
    <row r="5243" spans="1:2" x14ac:dyDescent="0.2">
      <c r="A5243">
        <v>5237</v>
      </c>
      <c r="B5243" t="s">
        <v>54</v>
      </c>
    </row>
    <row r="5244" spans="1:2" x14ac:dyDescent="0.2">
      <c r="A5244">
        <v>5238</v>
      </c>
      <c r="B5244" t="s">
        <v>54</v>
      </c>
    </row>
    <row r="5245" spans="1:2" x14ac:dyDescent="0.2">
      <c r="A5245">
        <v>5239</v>
      </c>
      <c r="B5245" t="s">
        <v>54</v>
      </c>
    </row>
    <row r="5246" spans="1:2" x14ac:dyDescent="0.2">
      <c r="A5246">
        <v>5240</v>
      </c>
      <c r="B5246" t="s">
        <v>54</v>
      </c>
    </row>
    <row r="5247" spans="1:2" x14ac:dyDescent="0.2">
      <c r="A5247">
        <v>5241</v>
      </c>
      <c r="B5247" t="s">
        <v>54</v>
      </c>
    </row>
    <row r="5248" spans="1:2" x14ac:dyDescent="0.2">
      <c r="A5248">
        <v>5242</v>
      </c>
      <c r="B5248" t="s">
        <v>54</v>
      </c>
    </row>
    <row r="5249" spans="1:2" x14ac:dyDescent="0.2">
      <c r="A5249">
        <v>5243</v>
      </c>
      <c r="B5249" t="s">
        <v>54</v>
      </c>
    </row>
    <row r="5250" spans="1:2" x14ac:dyDescent="0.2">
      <c r="A5250">
        <v>5244</v>
      </c>
      <c r="B5250" t="s">
        <v>54</v>
      </c>
    </row>
    <row r="5251" spans="1:2" x14ac:dyDescent="0.2">
      <c r="A5251">
        <v>5245</v>
      </c>
      <c r="B5251" t="s">
        <v>54</v>
      </c>
    </row>
    <row r="5252" spans="1:2" x14ac:dyDescent="0.2">
      <c r="A5252">
        <v>5246</v>
      </c>
      <c r="B5252" t="s">
        <v>54</v>
      </c>
    </row>
    <row r="5253" spans="1:2" x14ac:dyDescent="0.2">
      <c r="A5253">
        <v>5247</v>
      </c>
      <c r="B5253" t="s">
        <v>54</v>
      </c>
    </row>
    <row r="5254" spans="1:2" x14ac:dyDescent="0.2">
      <c r="A5254">
        <v>5248</v>
      </c>
      <c r="B5254" t="s">
        <v>54</v>
      </c>
    </row>
    <row r="5255" spans="1:2" x14ac:dyDescent="0.2">
      <c r="A5255">
        <v>5249</v>
      </c>
      <c r="B5255" t="s">
        <v>54</v>
      </c>
    </row>
    <row r="5256" spans="1:2" x14ac:dyDescent="0.2">
      <c r="A5256">
        <v>5250</v>
      </c>
      <c r="B5256" t="s">
        <v>54</v>
      </c>
    </row>
    <row r="5257" spans="1:2" x14ac:dyDescent="0.2">
      <c r="A5257">
        <v>5251</v>
      </c>
      <c r="B5257" t="s">
        <v>54</v>
      </c>
    </row>
    <row r="5258" spans="1:2" x14ac:dyDescent="0.2">
      <c r="A5258">
        <v>5252</v>
      </c>
      <c r="B5258" t="s">
        <v>54</v>
      </c>
    </row>
    <row r="5259" spans="1:2" x14ac:dyDescent="0.2">
      <c r="A5259">
        <v>5253</v>
      </c>
      <c r="B5259" t="s">
        <v>54</v>
      </c>
    </row>
    <row r="5260" spans="1:2" x14ac:dyDescent="0.2">
      <c r="A5260">
        <v>5254</v>
      </c>
      <c r="B5260" t="s">
        <v>54</v>
      </c>
    </row>
    <row r="5261" spans="1:2" x14ac:dyDescent="0.2">
      <c r="A5261">
        <v>5255</v>
      </c>
      <c r="B5261" t="s">
        <v>54</v>
      </c>
    </row>
    <row r="5262" spans="1:2" x14ac:dyDescent="0.2">
      <c r="A5262">
        <v>5256</v>
      </c>
      <c r="B5262" t="s">
        <v>54</v>
      </c>
    </row>
    <row r="5263" spans="1:2" x14ac:dyDescent="0.2">
      <c r="A5263">
        <v>5257</v>
      </c>
      <c r="B5263" t="s">
        <v>54</v>
      </c>
    </row>
    <row r="5264" spans="1:2" x14ac:dyDescent="0.2">
      <c r="A5264">
        <v>5258</v>
      </c>
      <c r="B5264" t="s">
        <v>54</v>
      </c>
    </row>
    <row r="5265" spans="1:2" x14ac:dyDescent="0.2">
      <c r="A5265">
        <v>5259</v>
      </c>
      <c r="B5265" t="s">
        <v>54</v>
      </c>
    </row>
    <row r="5266" spans="1:2" x14ac:dyDescent="0.2">
      <c r="A5266">
        <v>5260</v>
      </c>
      <c r="B5266" t="s">
        <v>54</v>
      </c>
    </row>
    <row r="5267" spans="1:2" x14ac:dyDescent="0.2">
      <c r="A5267">
        <v>5261</v>
      </c>
      <c r="B5267" t="s">
        <v>54</v>
      </c>
    </row>
    <row r="5268" spans="1:2" x14ac:dyDescent="0.2">
      <c r="A5268">
        <v>5262</v>
      </c>
      <c r="B5268" t="s">
        <v>54</v>
      </c>
    </row>
    <row r="5269" spans="1:2" x14ac:dyDescent="0.2">
      <c r="A5269">
        <v>5263</v>
      </c>
      <c r="B5269" t="s">
        <v>54</v>
      </c>
    </row>
    <row r="5270" spans="1:2" x14ac:dyDescent="0.2">
      <c r="A5270">
        <v>5264</v>
      </c>
      <c r="B5270" t="s">
        <v>54</v>
      </c>
    </row>
    <row r="5271" spans="1:2" x14ac:dyDescent="0.2">
      <c r="A5271">
        <v>5265</v>
      </c>
      <c r="B5271" t="s">
        <v>54</v>
      </c>
    </row>
    <row r="5272" spans="1:2" x14ac:dyDescent="0.2">
      <c r="A5272">
        <v>5266</v>
      </c>
      <c r="B5272" t="s">
        <v>54</v>
      </c>
    </row>
    <row r="5273" spans="1:2" x14ac:dyDescent="0.2">
      <c r="A5273">
        <v>5267</v>
      </c>
      <c r="B5273" t="s">
        <v>54</v>
      </c>
    </row>
    <row r="5274" spans="1:2" x14ac:dyDescent="0.2">
      <c r="A5274">
        <v>5268</v>
      </c>
      <c r="B5274" t="s">
        <v>54</v>
      </c>
    </row>
    <row r="5275" spans="1:2" x14ac:dyDescent="0.2">
      <c r="A5275">
        <v>5269</v>
      </c>
      <c r="B5275" t="s">
        <v>54</v>
      </c>
    </row>
    <row r="5276" spans="1:2" x14ac:dyDescent="0.2">
      <c r="A5276">
        <v>5270</v>
      </c>
      <c r="B5276" t="s">
        <v>54</v>
      </c>
    </row>
    <row r="5277" spans="1:2" x14ac:dyDescent="0.2">
      <c r="A5277">
        <v>5271</v>
      </c>
      <c r="B5277" t="s">
        <v>54</v>
      </c>
    </row>
    <row r="5278" spans="1:2" x14ac:dyDescent="0.2">
      <c r="A5278">
        <v>5272</v>
      </c>
      <c r="B5278" t="s">
        <v>54</v>
      </c>
    </row>
    <row r="5279" spans="1:2" x14ac:dyDescent="0.2">
      <c r="A5279">
        <v>5273</v>
      </c>
      <c r="B5279" t="s">
        <v>54</v>
      </c>
    </row>
    <row r="5280" spans="1:2" x14ac:dyDescent="0.2">
      <c r="A5280">
        <v>5274</v>
      </c>
      <c r="B5280" t="s">
        <v>54</v>
      </c>
    </row>
    <row r="5281" spans="1:2" x14ac:dyDescent="0.2">
      <c r="A5281">
        <v>5275</v>
      </c>
      <c r="B5281" t="s">
        <v>54</v>
      </c>
    </row>
    <row r="5282" spans="1:2" x14ac:dyDescent="0.2">
      <c r="A5282">
        <v>5276</v>
      </c>
      <c r="B5282" t="s">
        <v>54</v>
      </c>
    </row>
    <row r="5283" spans="1:2" x14ac:dyDescent="0.2">
      <c r="A5283">
        <v>5277</v>
      </c>
      <c r="B5283" t="s">
        <v>54</v>
      </c>
    </row>
    <row r="5284" spans="1:2" x14ac:dyDescent="0.2">
      <c r="A5284">
        <v>5278</v>
      </c>
      <c r="B5284" t="s">
        <v>54</v>
      </c>
    </row>
    <row r="5285" spans="1:2" x14ac:dyDescent="0.2">
      <c r="A5285">
        <v>5279</v>
      </c>
      <c r="B5285" t="s">
        <v>54</v>
      </c>
    </row>
    <row r="5286" spans="1:2" x14ac:dyDescent="0.2">
      <c r="A5286">
        <v>5280</v>
      </c>
      <c r="B5286" t="s">
        <v>54</v>
      </c>
    </row>
    <row r="5287" spans="1:2" x14ac:dyDescent="0.2">
      <c r="A5287">
        <v>5281</v>
      </c>
      <c r="B5287" t="s">
        <v>54</v>
      </c>
    </row>
    <row r="5288" spans="1:2" x14ac:dyDescent="0.2">
      <c r="A5288">
        <v>5282</v>
      </c>
      <c r="B5288" t="s">
        <v>54</v>
      </c>
    </row>
    <row r="5289" spans="1:2" x14ac:dyDescent="0.2">
      <c r="A5289">
        <v>5283</v>
      </c>
      <c r="B5289" t="s">
        <v>54</v>
      </c>
    </row>
    <row r="5290" spans="1:2" x14ac:dyDescent="0.2">
      <c r="A5290">
        <v>5284</v>
      </c>
      <c r="B5290" t="s">
        <v>54</v>
      </c>
    </row>
    <row r="5291" spans="1:2" x14ac:dyDescent="0.2">
      <c r="A5291">
        <v>5285</v>
      </c>
      <c r="B5291" t="s">
        <v>54</v>
      </c>
    </row>
    <row r="5292" spans="1:2" x14ac:dyDescent="0.2">
      <c r="A5292">
        <v>5286</v>
      </c>
      <c r="B5292" t="s">
        <v>54</v>
      </c>
    </row>
    <row r="5293" spans="1:2" x14ac:dyDescent="0.2">
      <c r="A5293">
        <v>5287</v>
      </c>
      <c r="B5293" t="s">
        <v>54</v>
      </c>
    </row>
    <row r="5294" spans="1:2" x14ac:dyDescent="0.2">
      <c r="A5294">
        <v>5288</v>
      </c>
      <c r="B5294" t="s">
        <v>54</v>
      </c>
    </row>
    <row r="5295" spans="1:2" x14ac:dyDescent="0.2">
      <c r="A5295">
        <v>5289</v>
      </c>
      <c r="B5295" t="s">
        <v>54</v>
      </c>
    </row>
    <row r="5296" spans="1:2" x14ac:dyDescent="0.2">
      <c r="A5296">
        <v>5290</v>
      </c>
      <c r="B5296" t="s">
        <v>54</v>
      </c>
    </row>
    <row r="5297" spans="1:2" x14ac:dyDescent="0.2">
      <c r="A5297">
        <v>5291</v>
      </c>
      <c r="B5297" t="s">
        <v>54</v>
      </c>
    </row>
    <row r="5298" spans="1:2" x14ac:dyDescent="0.2">
      <c r="A5298">
        <v>5292</v>
      </c>
      <c r="B5298" t="s">
        <v>54</v>
      </c>
    </row>
    <row r="5299" spans="1:2" x14ac:dyDescent="0.2">
      <c r="A5299">
        <v>5293</v>
      </c>
      <c r="B5299" t="s">
        <v>54</v>
      </c>
    </row>
    <row r="5300" spans="1:2" x14ac:dyDescent="0.2">
      <c r="A5300">
        <v>5294</v>
      </c>
      <c r="B5300" t="s">
        <v>54</v>
      </c>
    </row>
    <row r="5301" spans="1:2" x14ac:dyDescent="0.2">
      <c r="A5301">
        <v>5295</v>
      </c>
      <c r="B5301" t="s">
        <v>54</v>
      </c>
    </row>
    <row r="5302" spans="1:2" x14ac:dyDescent="0.2">
      <c r="A5302">
        <v>5296</v>
      </c>
      <c r="B5302" t="s">
        <v>54</v>
      </c>
    </row>
    <row r="5303" spans="1:2" x14ac:dyDescent="0.2">
      <c r="A5303">
        <v>5297</v>
      </c>
      <c r="B5303" t="s">
        <v>54</v>
      </c>
    </row>
    <row r="5304" spans="1:2" x14ac:dyDescent="0.2">
      <c r="A5304">
        <v>5298</v>
      </c>
      <c r="B5304" t="s">
        <v>54</v>
      </c>
    </row>
    <row r="5305" spans="1:2" x14ac:dyDescent="0.2">
      <c r="A5305">
        <v>5299</v>
      </c>
      <c r="B5305" t="s">
        <v>54</v>
      </c>
    </row>
    <row r="5306" spans="1:2" x14ac:dyDescent="0.2">
      <c r="A5306">
        <v>5300</v>
      </c>
      <c r="B5306" t="s">
        <v>54</v>
      </c>
    </row>
    <row r="5307" spans="1:2" x14ac:dyDescent="0.2">
      <c r="A5307">
        <v>5301</v>
      </c>
      <c r="B5307" t="s">
        <v>54</v>
      </c>
    </row>
    <row r="5308" spans="1:2" x14ac:dyDescent="0.2">
      <c r="A5308">
        <v>5302</v>
      </c>
      <c r="B5308" t="s">
        <v>54</v>
      </c>
    </row>
    <row r="5309" spans="1:2" x14ac:dyDescent="0.2">
      <c r="A5309">
        <v>5303</v>
      </c>
      <c r="B5309" t="s">
        <v>54</v>
      </c>
    </row>
    <row r="5310" spans="1:2" x14ac:dyDescent="0.2">
      <c r="A5310">
        <v>5304</v>
      </c>
      <c r="B5310" t="s">
        <v>54</v>
      </c>
    </row>
    <row r="5311" spans="1:2" x14ac:dyDescent="0.2">
      <c r="A5311">
        <v>5305</v>
      </c>
      <c r="B5311" t="s">
        <v>54</v>
      </c>
    </row>
    <row r="5312" spans="1:2" x14ac:dyDescent="0.2">
      <c r="A5312">
        <v>5306</v>
      </c>
      <c r="B5312" t="s">
        <v>54</v>
      </c>
    </row>
    <row r="5313" spans="1:2" x14ac:dyDescent="0.2">
      <c r="A5313">
        <v>5307</v>
      </c>
      <c r="B5313" t="s">
        <v>54</v>
      </c>
    </row>
    <row r="5314" spans="1:2" x14ac:dyDescent="0.2">
      <c r="A5314">
        <v>5308</v>
      </c>
      <c r="B5314" t="s">
        <v>54</v>
      </c>
    </row>
    <row r="5315" spans="1:2" x14ac:dyDescent="0.2">
      <c r="A5315">
        <v>5309</v>
      </c>
      <c r="B5315" t="s">
        <v>54</v>
      </c>
    </row>
    <row r="5316" spans="1:2" x14ac:dyDescent="0.2">
      <c r="A5316">
        <v>5310</v>
      </c>
      <c r="B5316" t="s">
        <v>54</v>
      </c>
    </row>
    <row r="5317" spans="1:2" x14ac:dyDescent="0.2">
      <c r="A5317">
        <v>5311</v>
      </c>
      <c r="B5317" t="s">
        <v>54</v>
      </c>
    </row>
    <row r="5318" spans="1:2" x14ac:dyDescent="0.2">
      <c r="A5318">
        <v>5312</v>
      </c>
      <c r="B5318" t="s">
        <v>54</v>
      </c>
    </row>
    <row r="5319" spans="1:2" x14ac:dyDescent="0.2">
      <c r="A5319">
        <v>5313</v>
      </c>
      <c r="B5319" t="s">
        <v>54</v>
      </c>
    </row>
    <row r="5320" spans="1:2" x14ac:dyDescent="0.2">
      <c r="A5320">
        <v>5314</v>
      </c>
      <c r="B5320" t="s">
        <v>54</v>
      </c>
    </row>
    <row r="5321" spans="1:2" x14ac:dyDescent="0.2">
      <c r="A5321">
        <v>5315</v>
      </c>
      <c r="B5321" t="s">
        <v>54</v>
      </c>
    </row>
    <row r="5322" spans="1:2" x14ac:dyDescent="0.2">
      <c r="A5322">
        <v>5316</v>
      </c>
      <c r="B5322" t="s">
        <v>54</v>
      </c>
    </row>
    <row r="5323" spans="1:2" x14ac:dyDescent="0.2">
      <c r="A5323">
        <v>5317</v>
      </c>
      <c r="B5323" t="s">
        <v>54</v>
      </c>
    </row>
    <row r="5324" spans="1:2" x14ac:dyDescent="0.2">
      <c r="A5324">
        <v>5318</v>
      </c>
      <c r="B5324" t="s">
        <v>54</v>
      </c>
    </row>
    <row r="5325" spans="1:2" x14ac:dyDescent="0.2">
      <c r="A5325">
        <v>5319</v>
      </c>
      <c r="B5325" t="s">
        <v>54</v>
      </c>
    </row>
    <row r="5326" spans="1:2" x14ac:dyDescent="0.2">
      <c r="A5326">
        <v>5320</v>
      </c>
      <c r="B5326" t="s">
        <v>54</v>
      </c>
    </row>
    <row r="5327" spans="1:2" x14ac:dyDescent="0.2">
      <c r="A5327">
        <v>5321</v>
      </c>
      <c r="B5327" t="s">
        <v>54</v>
      </c>
    </row>
    <row r="5328" spans="1:2" x14ac:dyDescent="0.2">
      <c r="A5328">
        <v>5322</v>
      </c>
      <c r="B5328" t="s">
        <v>54</v>
      </c>
    </row>
    <row r="5329" spans="1:2" x14ac:dyDescent="0.2">
      <c r="A5329">
        <v>5323</v>
      </c>
      <c r="B5329" t="s">
        <v>54</v>
      </c>
    </row>
    <row r="5330" spans="1:2" x14ac:dyDescent="0.2">
      <c r="A5330">
        <v>5324</v>
      </c>
      <c r="B5330" t="s">
        <v>54</v>
      </c>
    </row>
    <row r="5331" spans="1:2" x14ac:dyDescent="0.2">
      <c r="A5331">
        <v>5325</v>
      </c>
      <c r="B5331" t="s">
        <v>54</v>
      </c>
    </row>
    <row r="5332" spans="1:2" x14ac:dyDescent="0.2">
      <c r="A5332">
        <v>5326</v>
      </c>
      <c r="B5332" t="s">
        <v>54</v>
      </c>
    </row>
    <row r="5333" spans="1:2" x14ac:dyDescent="0.2">
      <c r="A5333">
        <v>5327</v>
      </c>
      <c r="B5333" t="s">
        <v>54</v>
      </c>
    </row>
    <row r="5334" spans="1:2" x14ac:dyDescent="0.2">
      <c r="A5334">
        <v>5328</v>
      </c>
      <c r="B5334" t="s">
        <v>54</v>
      </c>
    </row>
    <row r="5335" spans="1:2" x14ac:dyDescent="0.2">
      <c r="A5335">
        <v>5329</v>
      </c>
      <c r="B5335" t="s">
        <v>54</v>
      </c>
    </row>
    <row r="5336" spans="1:2" x14ac:dyDescent="0.2">
      <c r="A5336">
        <v>5330</v>
      </c>
      <c r="B5336" t="s">
        <v>54</v>
      </c>
    </row>
    <row r="5337" spans="1:2" x14ac:dyDescent="0.2">
      <c r="A5337">
        <v>5331</v>
      </c>
      <c r="B5337" t="s">
        <v>54</v>
      </c>
    </row>
    <row r="5338" spans="1:2" x14ac:dyDescent="0.2">
      <c r="A5338">
        <v>5332</v>
      </c>
      <c r="B5338" t="s">
        <v>54</v>
      </c>
    </row>
    <row r="5339" spans="1:2" x14ac:dyDescent="0.2">
      <c r="A5339">
        <v>5333</v>
      </c>
      <c r="B5339" t="s">
        <v>54</v>
      </c>
    </row>
    <row r="5340" spans="1:2" x14ac:dyDescent="0.2">
      <c r="A5340">
        <v>5334</v>
      </c>
      <c r="B5340" t="s">
        <v>54</v>
      </c>
    </row>
    <row r="5341" spans="1:2" x14ac:dyDescent="0.2">
      <c r="A5341">
        <v>5335</v>
      </c>
      <c r="B5341" t="s">
        <v>54</v>
      </c>
    </row>
    <row r="5342" spans="1:2" x14ac:dyDescent="0.2">
      <c r="A5342">
        <v>5336</v>
      </c>
      <c r="B5342" t="s">
        <v>54</v>
      </c>
    </row>
    <row r="5343" spans="1:2" x14ac:dyDescent="0.2">
      <c r="A5343">
        <v>5337</v>
      </c>
      <c r="B5343" t="s">
        <v>54</v>
      </c>
    </row>
    <row r="5344" spans="1:2" x14ac:dyDescent="0.2">
      <c r="A5344">
        <v>5338</v>
      </c>
      <c r="B5344" t="s">
        <v>54</v>
      </c>
    </row>
    <row r="5345" spans="1:2" x14ac:dyDescent="0.2">
      <c r="A5345">
        <v>5339</v>
      </c>
      <c r="B5345" t="s">
        <v>54</v>
      </c>
    </row>
    <row r="5346" spans="1:2" x14ac:dyDescent="0.2">
      <c r="A5346">
        <v>5340</v>
      </c>
      <c r="B5346" t="s">
        <v>54</v>
      </c>
    </row>
    <row r="5347" spans="1:2" x14ac:dyDescent="0.2">
      <c r="A5347">
        <v>5341</v>
      </c>
      <c r="B5347" t="s">
        <v>54</v>
      </c>
    </row>
    <row r="5348" spans="1:2" x14ac:dyDescent="0.2">
      <c r="A5348">
        <v>5342</v>
      </c>
      <c r="B5348" t="s">
        <v>54</v>
      </c>
    </row>
    <row r="5349" spans="1:2" x14ac:dyDescent="0.2">
      <c r="A5349">
        <v>5343</v>
      </c>
      <c r="B5349" t="s">
        <v>54</v>
      </c>
    </row>
    <row r="5350" spans="1:2" x14ac:dyDescent="0.2">
      <c r="A5350">
        <v>5344</v>
      </c>
      <c r="B5350" t="s">
        <v>54</v>
      </c>
    </row>
    <row r="5351" spans="1:2" x14ac:dyDescent="0.2">
      <c r="A5351">
        <v>5345</v>
      </c>
      <c r="B5351" t="s">
        <v>54</v>
      </c>
    </row>
    <row r="5352" spans="1:2" x14ac:dyDescent="0.2">
      <c r="A5352">
        <v>5346</v>
      </c>
      <c r="B5352" t="s">
        <v>54</v>
      </c>
    </row>
    <row r="5353" spans="1:2" x14ac:dyDescent="0.2">
      <c r="A5353">
        <v>5347</v>
      </c>
      <c r="B5353" t="s">
        <v>54</v>
      </c>
    </row>
    <row r="5354" spans="1:2" x14ac:dyDescent="0.2">
      <c r="A5354">
        <v>5348</v>
      </c>
      <c r="B5354" t="s">
        <v>54</v>
      </c>
    </row>
    <row r="5355" spans="1:2" x14ac:dyDescent="0.2">
      <c r="A5355">
        <v>5349</v>
      </c>
      <c r="B5355" t="s">
        <v>54</v>
      </c>
    </row>
    <row r="5356" spans="1:2" x14ac:dyDescent="0.2">
      <c r="A5356">
        <v>5350</v>
      </c>
      <c r="B5356" t="s">
        <v>54</v>
      </c>
    </row>
    <row r="5357" spans="1:2" x14ac:dyDescent="0.2">
      <c r="A5357">
        <v>5351</v>
      </c>
      <c r="B5357" t="s">
        <v>54</v>
      </c>
    </row>
    <row r="5358" spans="1:2" x14ac:dyDescent="0.2">
      <c r="A5358">
        <v>5352</v>
      </c>
      <c r="B5358" t="s">
        <v>54</v>
      </c>
    </row>
    <row r="5359" spans="1:2" x14ac:dyDescent="0.2">
      <c r="A5359">
        <v>5353</v>
      </c>
      <c r="B5359" t="s">
        <v>54</v>
      </c>
    </row>
    <row r="5360" spans="1:2" x14ac:dyDescent="0.2">
      <c r="A5360">
        <v>5354</v>
      </c>
      <c r="B5360" t="s">
        <v>54</v>
      </c>
    </row>
    <row r="5361" spans="1:2" x14ac:dyDescent="0.2">
      <c r="A5361">
        <v>5355</v>
      </c>
      <c r="B5361" t="s">
        <v>54</v>
      </c>
    </row>
    <row r="5362" spans="1:2" x14ac:dyDescent="0.2">
      <c r="A5362">
        <v>5356</v>
      </c>
      <c r="B5362" t="s">
        <v>54</v>
      </c>
    </row>
    <row r="5363" spans="1:2" x14ac:dyDescent="0.2">
      <c r="A5363">
        <v>5357</v>
      </c>
      <c r="B5363" t="s">
        <v>54</v>
      </c>
    </row>
    <row r="5364" spans="1:2" x14ac:dyDescent="0.2">
      <c r="A5364">
        <v>5358</v>
      </c>
      <c r="B5364" t="s">
        <v>54</v>
      </c>
    </row>
    <row r="5365" spans="1:2" x14ac:dyDescent="0.2">
      <c r="A5365">
        <v>5359</v>
      </c>
      <c r="B5365" t="s">
        <v>54</v>
      </c>
    </row>
    <row r="5366" spans="1:2" x14ac:dyDescent="0.2">
      <c r="A5366">
        <v>5360</v>
      </c>
      <c r="B5366" t="s">
        <v>54</v>
      </c>
    </row>
    <row r="5367" spans="1:2" x14ac:dyDescent="0.2">
      <c r="A5367">
        <v>5361</v>
      </c>
      <c r="B5367" t="s">
        <v>54</v>
      </c>
    </row>
    <row r="5368" spans="1:2" x14ac:dyDescent="0.2">
      <c r="A5368">
        <v>5362</v>
      </c>
      <c r="B5368" t="s">
        <v>54</v>
      </c>
    </row>
    <row r="5369" spans="1:2" x14ac:dyDescent="0.2">
      <c r="A5369">
        <v>5363</v>
      </c>
      <c r="B5369" t="s">
        <v>54</v>
      </c>
    </row>
    <row r="5370" spans="1:2" x14ac:dyDescent="0.2">
      <c r="A5370">
        <v>5364</v>
      </c>
      <c r="B5370" t="s">
        <v>54</v>
      </c>
    </row>
    <row r="5371" spans="1:2" x14ac:dyDescent="0.2">
      <c r="A5371">
        <v>5365</v>
      </c>
      <c r="B5371" t="s">
        <v>54</v>
      </c>
    </row>
    <row r="5372" spans="1:2" x14ac:dyDescent="0.2">
      <c r="A5372">
        <v>5366</v>
      </c>
      <c r="B5372" t="s">
        <v>54</v>
      </c>
    </row>
    <row r="5373" spans="1:2" x14ac:dyDescent="0.2">
      <c r="A5373">
        <v>5367</v>
      </c>
      <c r="B5373" t="s">
        <v>54</v>
      </c>
    </row>
    <row r="5374" spans="1:2" x14ac:dyDescent="0.2">
      <c r="A5374">
        <v>5368</v>
      </c>
      <c r="B5374" t="s">
        <v>54</v>
      </c>
    </row>
    <row r="5375" spans="1:2" x14ac:dyDescent="0.2">
      <c r="A5375">
        <v>5369</v>
      </c>
      <c r="B5375" t="s">
        <v>54</v>
      </c>
    </row>
    <row r="5376" spans="1:2" x14ac:dyDescent="0.2">
      <c r="A5376">
        <v>5370</v>
      </c>
      <c r="B5376" t="s">
        <v>54</v>
      </c>
    </row>
    <row r="5377" spans="1:2" x14ac:dyDescent="0.2">
      <c r="A5377">
        <v>5371</v>
      </c>
      <c r="B5377" t="s">
        <v>54</v>
      </c>
    </row>
    <row r="5378" spans="1:2" x14ac:dyDescent="0.2">
      <c r="A5378">
        <v>5372</v>
      </c>
      <c r="B5378" t="s">
        <v>54</v>
      </c>
    </row>
    <row r="5379" spans="1:2" x14ac:dyDescent="0.2">
      <c r="A5379">
        <v>5373</v>
      </c>
      <c r="B5379" t="s">
        <v>54</v>
      </c>
    </row>
    <row r="5380" spans="1:2" x14ac:dyDescent="0.2">
      <c r="A5380">
        <v>5374</v>
      </c>
      <c r="B5380" t="s">
        <v>54</v>
      </c>
    </row>
    <row r="5381" spans="1:2" x14ac:dyDescent="0.2">
      <c r="A5381">
        <v>5375</v>
      </c>
      <c r="B5381" t="s">
        <v>54</v>
      </c>
    </row>
    <row r="5382" spans="1:2" x14ac:dyDescent="0.2">
      <c r="A5382">
        <v>5376</v>
      </c>
      <c r="B5382" t="s">
        <v>54</v>
      </c>
    </row>
    <row r="5383" spans="1:2" x14ac:dyDescent="0.2">
      <c r="A5383">
        <v>5377</v>
      </c>
      <c r="B5383" t="s">
        <v>54</v>
      </c>
    </row>
    <row r="5384" spans="1:2" x14ac:dyDescent="0.2">
      <c r="A5384">
        <v>5378</v>
      </c>
      <c r="B5384" t="s">
        <v>54</v>
      </c>
    </row>
    <row r="5385" spans="1:2" x14ac:dyDescent="0.2">
      <c r="A5385">
        <v>5379</v>
      </c>
      <c r="B5385" t="s">
        <v>54</v>
      </c>
    </row>
    <row r="5386" spans="1:2" x14ac:dyDescent="0.2">
      <c r="A5386">
        <v>5380</v>
      </c>
      <c r="B5386" t="s">
        <v>54</v>
      </c>
    </row>
    <row r="5387" spans="1:2" x14ac:dyDescent="0.2">
      <c r="A5387">
        <v>5381</v>
      </c>
      <c r="B5387" t="s">
        <v>54</v>
      </c>
    </row>
    <row r="5388" spans="1:2" x14ac:dyDescent="0.2">
      <c r="A5388">
        <v>5382</v>
      </c>
      <c r="B5388" t="s">
        <v>54</v>
      </c>
    </row>
    <row r="5389" spans="1:2" x14ac:dyDescent="0.2">
      <c r="A5389">
        <v>5383</v>
      </c>
      <c r="B5389" t="s">
        <v>54</v>
      </c>
    </row>
    <row r="5390" spans="1:2" x14ac:dyDescent="0.2">
      <c r="A5390">
        <v>5384</v>
      </c>
      <c r="B5390" t="s">
        <v>54</v>
      </c>
    </row>
    <row r="5391" spans="1:2" x14ac:dyDescent="0.2">
      <c r="A5391">
        <v>5385</v>
      </c>
      <c r="B5391" t="s">
        <v>54</v>
      </c>
    </row>
    <row r="5392" spans="1:2" x14ac:dyDescent="0.2">
      <c r="A5392">
        <v>5386</v>
      </c>
      <c r="B5392" t="s">
        <v>54</v>
      </c>
    </row>
    <row r="5393" spans="1:2" x14ac:dyDescent="0.2">
      <c r="A5393">
        <v>5387</v>
      </c>
      <c r="B5393" t="s">
        <v>54</v>
      </c>
    </row>
    <row r="5394" spans="1:2" x14ac:dyDescent="0.2">
      <c r="A5394">
        <v>5388</v>
      </c>
      <c r="B5394" t="s">
        <v>54</v>
      </c>
    </row>
    <row r="5395" spans="1:2" x14ac:dyDescent="0.2">
      <c r="A5395">
        <v>5389</v>
      </c>
      <c r="B5395" t="s">
        <v>54</v>
      </c>
    </row>
    <row r="5396" spans="1:2" x14ac:dyDescent="0.2">
      <c r="A5396">
        <v>5390</v>
      </c>
      <c r="B5396" t="s">
        <v>54</v>
      </c>
    </row>
    <row r="5397" spans="1:2" x14ac:dyDescent="0.2">
      <c r="A5397">
        <v>5391</v>
      </c>
      <c r="B5397" t="s">
        <v>54</v>
      </c>
    </row>
    <row r="5398" spans="1:2" x14ac:dyDescent="0.2">
      <c r="A5398">
        <v>5392</v>
      </c>
      <c r="B5398" t="s">
        <v>54</v>
      </c>
    </row>
    <row r="5399" spans="1:2" x14ac:dyDescent="0.2">
      <c r="A5399">
        <v>5393</v>
      </c>
      <c r="B5399" t="s">
        <v>54</v>
      </c>
    </row>
    <row r="5400" spans="1:2" x14ac:dyDescent="0.2">
      <c r="A5400">
        <v>5394</v>
      </c>
      <c r="B5400" t="s">
        <v>54</v>
      </c>
    </row>
    <row r="5401" spans="1:2" x14ac:dyDescent="0.2">
      <c r="A5401">
        <v>5395</v>
      </c>
      <c r="B5401" t="s">
        <v>54</v>
      </c>
    </row>
    <row r="5402" spans="1:2" x14ac:dyDescent="0.2">
      <c r="A5402">
        <v>5396</v>
      </c>
      <c r="B5402" t="s">
        <v>54</v>
      </c>
    </row>
    <row r="5403" spans="1:2" x14ac:dyDescent="0.2">
      <c r="A5403">
        <v>5397</v>
      </c>
      <c r="B5403" t="s">
        <v>54</v>
      </c>
    </row>
    <row r="5404" spans="1:2" x14ac:dyDescent="0.2">
      <c r="A5404">
        <v>5398</v>
      </c>
      <c r="B5404" t="s">
        <v>54</v>
      </c>
    </row>
    <row r="5405" spans="1:2" x14ac:dyDescent="0.2">
      <c r="A5405">
        <v>5399</v>
      </c>
      <c r="B5405" t="s">
        <v>54</v>
      </c>
    </row>
    <row r="5406" spans="1:2" x14ac:dyDescent="0.2">
      <c r="A5406">
        <v>5400</v>
      </c>
      <c r="B5406" t="s">
        <v>54</v>
      </c>
    </row>
    <row r="5407" spans="1:2" x14ac:dyDescent="0.2">
      <c r="A5407">
        <v>5401</v>
      </c>
      <c r="B5407" t="s">
        <v>54</v>
      </c>
    </row>
    <row r="5408" spans="1:2" x14ac:dyDescent="0.2">
      <c r="A5408">
        <v>5402</v>
      </c>
      <c r="B5408" t="s">
        <v>54</v>
      </c>
    </row>
    <row r="5409" spans="1:2" x14ac:dyDescent="0.2">
      <c r="A5409">
        <v>5403</v>
      </c>
      <c r="B5409" t="s">
        <v>54</v>
      </c>
    </row>
    <row r="5410" spans="1:2" x14ac:dyDescent="0.2">
      <c r="A5410">
        <v>5404</v>
      </c>
      <c r="B5410" t="s">
        <v>54</v>
      </c>
    </row>
    <row r="5411" spans="1:2" x14ac:dyDescent="0.2">
      <c r="A5411">
        <v>5405</v>
      </c>
      <c r="B5411" t="s">
        <v>54</v>
      </c>
    </row>
    <row r="5412" spans="1:2" x14ac:dyDescent="0.2">
      <c r="A5412">
        <v>5406</v>
      </c>
      <c r="B5412" t="s">
        <v>54</v>
      </c>
    </row>
    <row r="5413" spans="1:2" x14ac:dyDescent="0.2">
      <c r="A5413">
        <v>5407</v>
      </c>
      <c r="B5413" t="s">
        <v>54</v>
      </c>
    </row>
    <row r="5414" spans="1:2" x14ac:dyDescent="0.2">
      <c r="A5414">
        <v>5408</v>
      </c>
      <c r="B5414" t="s">
        <v>54</v>
      </c>
    </row>
    <row r="5415" spans="1:2" x14ac:dyDescent="0.2">
      <c r="A5415">
        <v>5409</v>
      </c>
      <c r="B5415" t="s">
        <v>54</v>
      </c>
    </row>
    <row r="5416" spans="1:2" x14ac:dyDescent="0.2">
      <c r="A5416">
        <v>5410</v>
      </c>
      <c r="B5416" t="s">
        <v>54</v>
      </c>
    </row>
    <row r="5417" spans="1:2" x14ac:dyDescent="0.2">
      <c r="A5417">
        <v>5411</v>
      </c>
      <c r="B5417" t="s">
        <v>54</v>
      </c>
    </row>
    <row r="5418" spans="1:2" x14ac:dyDescent="0.2">
      <c r="A5418">
        <v>5412</v>
      </c>
      <c r="B5418" t="s">
        <v>54</v>
      </c>
    </row>
    <row r="5419" spans="1:2" x14ac:dyDescent="0.2">
      <c r="A5419">
        <v>5413</v>
      </c>
      <c r="B5419" t="s">
        <v>54</v>
      </c>
    </row>
    <row r="5420" spans="1:2" x14ac:dyDescent="0.2">
      <c r="A5420">
        <v>5414</v>
      </c>
      <c r="B5420" t="s">
        <v>54</v>
      </c>
    </row>
    <row r="5421" spans="1:2" x14ac:dyDescent="0.2">
      <c r="A5421">
        <v>5415</v>
      </c>
      <c r="B5421" t="s">
        <v>54</v>
      </c>
    </row>
    <row r="5422" spans="1:2" x14ac:dyDescent="0.2">
      <c r="A5422">
        <v>5416</v>
      </c>
      <c r="B5422" t="s">
        <v>54</v>
      </c>
    </row>
    <row r="5423" spans="1:2" x14ac:dyDescent="0.2">
      <c r="A5423">
        <v>5417</v>
      </c>
      <c r="B5423" t="s">
        <v>54</v>
      </c>
    </row>
    <row r="5424" spans="1:2" x14ac:dyDescent="0.2">
      <c r="A5424">
        <v>5418</v>
      </c>
      <c r="B5424" t="s">
        <v>54</v>
      </c>
    </row>
    <row r="5425" spans="1:2" x14ac:dyDescent="0.2">
      <c r="A5425">
        <v>5419</v>
      </c>
      <c r="B5425" t="s">
        <v>54</v>
      </c>
    </row>
    <row r="5426" spans="1:2" x14ac:dyDescent="0.2">
      <c r="A5426">
        <v>5420</v>
      </c>
      <c r="B5426" t="s">
        <v>54</v>
      </c>
    </row>
    <row r="5427" spans="1:2" x14ac:dyDescent="0.2">
      <c r="A5427">
        <v>5421</v>
      </c>
      <c r="B5427" t="s">
        <v>54</v>
      </c>
    </row>
    <row r="5428" spans="1:2" x14ac:dyDescent="0.2">
      <c r="A5428">
        <v>5422</v>
      </c>
      <c r="B5428" t="s">
        <v>54</v>
      </c>
    </row>
    <row r="5429" spans="1:2" x14ac:dyDescent="0.2">
      <c r="A5429">
        <v>5423</v>
      </c>
      <c r="B5429" t="s">
        <v>54</v>
      </c>
    </row>
    <row r="5430" spans="1:2" x14ac:dyDescent="0.2">
      <c r="A5430">
        <v>5424</v>
      </c>
      <c r="B5430" t="s">
        <v>54</v>
      </c>
    </row>
    <row r="5431" spans="1:2" x14ac:dyDescent="0.2">
      <c r="A5431">
        <v>5425</v>
      </c>
      <c r="B5431" t="s">
        <v>54</v>
      </c>
    </row>
    <row r="5432" spans="1:2" x14ac:dyDescent="0.2">
      <c r="A5432">
        <v>5426</v>
      </c>
      <c r="B5432" t="s">
        <v>54</v>
      </c>
    </row>
    <row r="5433" spans="1:2" x14ac:dyDescent="0.2">
      <c r="A5433">
        <v>5427</v>
      </c>
      <c r="B5433" t="s">
        <v>54</v>
      </c>
    </row>
    <row r="5434" spans="1:2" x14ac:dyDescent="0.2">
      <c r="A5434">
        <v>5428</v>
      </c>
      <c r="B5434" t="s">
        <v>54</v>
      </c>
    </row>
    <row r="5435" spans="1:2" x14ac:dyDescent="0.2">
      <c r="A5435">
        <v>5429</v>
      </c>
      <c r="B5435" t="s">
        <v>54</v>
      </c>
    </row>
    <row r="5436" spans="1:2" x14ac:dyDescent="0.2">
      <c r="A5436">
        <v>5430</v>
      </c>
      <c r="B5436" t="s">
        <v>54</v>
      </c>
    </row>
    <row r="5437" spans="1:2" x14ac:dyDescent="0.2">
      <c r="A5437">
        <v>5431</v>
      </c>
      <c r="B5437" t="s">
        <v>54</v>
      </c>
    </row>
    <row r="5438" spans="1:2" x14ac:dyDescent="0.2">
      <c r="A5438">
        <v>5432</v>
      </c>
      <c r="B5438" t="s">
        <v>54</v>
      </c>
    </row>
    <row r="5439" spans="1:2" x14ac:dyDescent="0.2">
      <c r="A5439">
        <v>5433</v>
      </c>
      <c r="B5439" t="s">
        <v>54</v>
      </c>
    </row>
    <row r="5440" spans="1:2" x14ac:dyDescent="0.2">
      <c r="A5440">
        <v>5434</v>
      </c>
      <c r="B5440" t="s">
        <v>54</v>
      </c>
    </row>
    <row r="5441" spans="1:2" x14ac:dyDescent="0.2">
      <c r="A5441">
        <v>5435</v>
      </c>
      <c r="B5441" t="s">
        <v>54</v>
      </c>
    </row>
    <row r="5442" spans="1:2" x14ac:dyDescent="0.2">
      <c r="A5442">
        <v>5436</v>
      </c>
      <c r="B5442" t="s">
        <v>54</v>
      </c>
    </row>
    <row r="5443" spans="1:2" x14ac:dyDescent="0.2">
      <c r="A5443">
        <v>5437</v>
      </c>
      <c r="B5443" t="s">
        <v>54</v>
      </c>
    </row>
    <row r="5444" spans="1:2" x14ac:dyDescent="0.2">
      <c r="A5444">
        <v>5438</v>
      </c>
      <c r="B5444" t="s">
        <v>54</v>
      </c>
    </row>
    <row r="5445" spans="1:2" x14ac:dyDescent="0.2">
      <c r="A5445">
        <v>5439</v>
      </c>
      <c r="B5445" t="s">
        <v>54</v>
      </c>
    </row>
    <row r="5446" spans="1:2" x14ac:dyDescent="0.2">
      <c r="A5446">
        <v>5440</v>
      </c>
      <c r="B5446" t="s">
        <v>54</v>
      </c>
    </row>
    <row r="5447" spans="1:2" x14ac:dyDescent="0.2">
      <c r="A5447">
        <v>5441</v>
      </c>
      <c r="B5447" t="s">
        <v>54</v>
      </c>
    </row>
    <row r="5448" spans="1:2" x14ac:dyDescent="0.2">
      <c r="A5448">
        <v>5442</v>
      </c>
      <c r="B5448" t="s">
        <v>54</v>
      </c>
    </row>
    <row r="5449" spans="1:2" x14ac:dyDescent="0.2">
      <c r="A5449">
        <v>5443</v>
      </c>
      <c r="B5449" t="s">
        <v>54</v>
      </c>
    </row>
    <row r="5450" spans="1:2" x14ac:dyDescent="0.2">
      <c r="A5450">
        <v>5444</v>
      </c>
      <c r="B5450" t="s">
        <v>54</v>
      </c>
    </row>
    <row r="5451" spans="1:2" x14ac:dyDescent="0.2">
      <c r="A5451">
        <v>5445</v>
      </c>
      <c r="B5451" t="s">
        <v>54</v>
      </c>
    </row>
    <row r="5452" spans="1:2" x14ac:dyDescent="0.2">
      <c r="A5452">
        <v>5446</v>
      </c>
      <c r="B5452" t="s">
        <v>54</v>
      </c>
    </row>
    <row r="5453" spans="1:2" x14ac:dyDescent="0.2">
      <c r="A5453">
        <v>5447</v>
      </c>
      <c r="B5453" t="s">
        <v>54</v>
      </c>
    </row>
    <row r="5454" spans="1:2" x14ac:dyDescent="0.2">
      <c r="A5454">
        <v>5448</v>
      </c>
      <c r="B5454" t="s">
        <v>54</v>
      </c>
    </row>
    <row r="5455" spans="1:2" x14ac:dyDescent="0.2">
      <c r="A5455">
        <v>5449</v>
      </c>
      <c r="B5455" t="s">
        <v>54</v>
      </c>
    </row>
    <row r="5456" spans="1:2" x14ac:dyDescent="0.2">
      <c r="A5456">
        <v>5450</v>
      </c>
      <c r="B5456" t="s">
        <v>54</v>
      </c>
    </row>
    <row r="5457" spans="1:2" x14ac:dyDescent="0.2">
      <c r="A5457">
        <v>5451</v>
      </c>
      <c r="B5457" t="s">
        <v>54</v>
      </c>
    </row>
    <row r="5458" spans="1:2" x14ac:dyDescent="0.2">
      <c r="A5458">
        <v>5452</v>
      </c>
      <c r="B5458" t="s">
        <v>54</v>
      </c>
    </row>
    <row r="5459" spans="1:2" x14ac:dyDescent="0.2">
      <c r="A5459">
        <v>5453</v>
      </c>
      <c r="B5459" t="s">
        <v>54</v>
      </c>
    </row>
    <row r="5460" spans="1:2" x14ac:dyDescent="0.2">
      <c r="A5460">
        <v>5454</v>
      </c>
      <c r="B5460" t="s">
        <v>54</v>
      </c>
    </row>
    <row r="5461" spans="1:2" x14ac:dyDescent="0.2">
      <c r="A5461">
        <v>5455</v>
      </c>
      <c r="B5461" t="s">
        <v>54</v>
      </c>
    </row>
    <row r="5462" spans="1:2" x14ac:dyDescent="0.2">
      <c r="A5462">
        <v>5456</v>
      </c>
      <c r="B5462" t="s">
        <v>54</v>
      </c>
    </row>
    <row r="5463" spans="1:2" x14ac:dyDescent="0.2">
      <c r="A5463">
        <v>5457</v>
      </c>
      <c r="B5463" t="s">
        <v>54</v>
      </c>
    </row>
    <row r="5464" spans="1:2" x14ac:dyDescent="0.2">
      <c r="A5464">
        <v>5458</v>
      </c>
      <c r="B5464" t="s">
        <v>54</v>
      </c>
    </row>
    <row r="5465" spans="1:2" x14ac:dyDescent="0.2">
      <c r="A5465">
        <v>5459</v>
      </c>
      <c r="B5465" t="s">
        <v>54</v>
      </c>
    </row>
    <row r="5466" spans="1:2" x14ac:dyDescent="0.2">
      <c r="A5466">
        <v>5460</v>
      </c>
      <c r="B5466" t="s">
        <v>54</v>
      </c>
    </row>
    <row r="5467" spans="1:2" x14ac:dyDescent="0.2">
      <c r="A5467">
        <v>5461</v>
      </c>
      <c r="B5467" t="s">
        <v>54</v>
      </c>
    </row>
    <row r="5468" spans="1:2" x14ac:dyDescent="0.2">
      <c r="A5468">
        <v>5462</v>
      </c>
      <c r="B5468" t="s">
        <v>54</v>
      </c>
    </row>
    <row r="5469" spans="1:2" x14ac:dyDescent="0.2">
      <c r="A5469">
        <v>5463</v>
      </c>
      <c r="B5469" t="s">
        <v>54</v>
      </c>
    </row>
    <row r="5470" spans="1:2" x14ac:dyDescent="0.2">
      <c r="A5470">
        <v>5464</v>
      </c>
      <c r="B5470" t="s">
        <v>54</v>
      </c>
    </row>
    <row r="5471" spans="1:2" x14ac:dyDescent="0.2">
      <c r="A5471">
        <v>5465</v>
      </c>
      <c r="B5471" t="s">
        <v>54</v>
      </c>
    </row>
    <row r="5472" spans="1:2" x14ac:dyDescent="0.2">
      <c r="A5472">
        <v>5466</v>
      </c>
      <c r="B5472" t="s">
        <v>54</v>
      </c>
    </row>
    <row r="5473" spans="1:2" x14ac:dyDescent="0.2">
      <c r="A5473">
        <v>5467</v>
      </c>
      <c r="B5473" t="s">
        <v>54</v>
      </c>
    </row>
    <row r="5474" spans="1:2" x14ac:dyDescent="0.2">
      <c r="A5474">
        <v>5468</v>
      </c>
      <c r="B5474" t="s">
        <v>54</v>
      </c>
    </row>
    <row r="5475" spans="1:2" x14ac:dyDescent="0.2">
      <c r="A5475">
        <v>5469</v>
      </c>
      <c r="B5475" t="s">
        <v>54</v>
      </c>
    </row>
    <row r="5476" spans="1:2" x14ac:dyDescent="0.2">
      <c r="A5476">
        <v>5470</v>
      </c>
      <c r="B5476" t="s">
        <v>54</v>
      </c>
    </row>
    <row r="5477" spans="1:2" x14ac:dyDescent="0.2">
      <c r="A5477">
        <v>5471</v>
      </c>
      <c r="B5477" t="s">
        <v>54</v>
      </c>
    </row>
    <row r="5478" spans="1:2" x14ac:dyDescent="0.2">
      <c r="A5478">
        <v>5472</v>
      </c>
      <c r="B5478" t="s">
        <v>54</v>
      </c>
    </row>
    <row r="5479" spans="1:2" x14ac:dyDescent="0.2">
      <c r="A5479">
        <v>5473</v>
      </c>
      <c r="B5479" t="s">
        <v>54</v>
      </c>
    </row>
    <row r="5480" spans="1:2" x14ac:dyDescent="0.2">
      <c r="A5480">
        <v>5474</v>
      </c>
      <c r="B5480" t="s">
        <v>54</v>
      </c>
    </row>
    <row r="5481" spans="1:2" x14ac:dyDescent="0.2">
      <c r="A5481">
        <v>5475</v>
      </c>
      <c r="B5481" t="s">
        <v>54</v>
      </c>
    </row>
    <row r="5482" spans="1:2" x14ac:dyDescent="0.2">
      <c r="A5482">
        <v>5476</v>
      </c>
      <c r="B5482" t="s">
        <v>54</v>
      </c>
    </row>
    <row r="5483" spans="1:2" x14ac:dyDescent="0.2">
      <c r="A5483">
        <v>5477</v>
      </c>
      <c r="B5483" t="s">
        <v>54</v>
      </c>
    </row>
    <row r="5484" spans="1:2" x14ac:dyDescent="0.2">
      <c r="A5484">
        <v>5478</v>
      </c>
      <c r="B5484" t="s">
        <v>54</v>
      </c>
    </row>
    <row r="5485" spans="1:2" x14ac:dyDescent="0.2">
      <c r="A5485">
        <v>5479</v>
      </c>
      <c r="B5485" t="s">
        <v>54</v>
      </c>
    </row>
    <row r="5486" spans="1:2" x14ac:dyDescent="0.2">
      <c r="A5486">
        <v>5480</v>
      </c>
      <c r="B5486" t="s">
        <v>54</v>
      </c>
    </row>
    <row r="5487" spans="1:2" x14ac:dyDescent="0.2">
      <c r="A5487">
        <v>5481</v>
      </c>
      <c r="B5487" t="s">
        <v>54</v>
      </c>
    </row>
    <row r="5488" spans="1:2" x14ac:dyDescent="0.2">
      <c r="A5488">
        <v>5482</v>
      </c>
      <c r="B5488" t="s">
        <v>54</v>
      </c>
    </row>
    <row r="5489" spans="1:2" x14ac:dyDescent="0.2">
      <c r="A5489">
        <v>5483</v>
      </c>
      <c r="B5489" t="s">
        <v>54</v>
      </c>
    </row>
    <row r="5490" spans="1:2" x14ac:dyDescent="0.2">
      <c r="A5490">
        <v>5484</v>
      </c>
      <c r="B5490" t="s">
        <v>54</v>
      </c>
    </row>
    <row r="5491" spans="1:2" x14ac:dyDescent="0.2">
      <c r="A5491">
        <v>5485</v>
      </c>
      <c r="B5491" t="s">
        <v>54</v>
      </c>
    </row>
    <row r="5492" spans="1:2" x14ac:dyDescent="0.2">
      <c r="A5492">
        <v>5486</v>
      </c>
      <c r="B5492" t="s">
        <v>54</v>
      </c>
    </row>
    <row r="5493" spans="1:2" x14ac:dyDescent="0.2">
      <c r="A5493">
        <v>5487</v>
      </c>
      <c r="B5493" t="s">
        <v>54</v>
      </c>
    </row>
    <row r="5494" spans="1:2" x14ac:dyDescent="0.2">
      <c r="A5494">
        <v>5488</v>
      </c>
      <c r="B5494" t="s">
        <v>54</v>
      </c>
    </row>
    <row r="5495" spans="1:2" x14ac:dyDescent="0.2">
      <c r="A5495">
        <v>5489</v>
      </c>
      <c r="B5495" t="s">
        <v>54</v>
      </c>
    </row>
    <row r="5496" spans="1:2" x14ac:dyDescent="0.2">
      <c r="A5496">
        <v>5490</v>
      </c>
      <c r="B5496" t="s">
        <v>54</v>
      </c>
    </row>
    <row r="5497" spans="1:2" x14ac:dyDescent="0.2">
      <c r="A5497">
        <v>5491</v>
      </c>
      <c r="B5497" t="s">
        <v>54</v>
      </c>
    </row>
    <row r="5498" spans="1:2" x14ac:dyDescent="0.2">
      <c r="A5498">
        <v>5492</v>
      </c>
      <c r="B5498" t="s">
        <v>54</v>
      </c>
    </row>
    <row r="5499" spans="1:2" x14ac:dyDescent="0.2">
      <c r="A5499">
        <v>5493</v>
      </c>
      <c r="B5499" t="s">
        <v>54</v>
      </c>
    </row>
    <row r="5500" spans="1:2" x14ac:dyDescent="0.2">
      <c r="A5500">
        <v>5494</v>
      </c>
      <c r="B5500" t="s">
        <v>54</v>
      </c>
    </row>
    <row r="5501" spans="1:2" x14ac:dyDescent="0.2">
      <c r="A5501">
        <v>5495</v>
      </c>
      <c r="B5501" t="s">
        <v>54</v>
      </c>
    </row>
    <row r="5502" spans="1:2" x14ac:dyDescent="0.2">
      <c r="A5502">
        <v>5496</v>
      </c>
      <c r="B5502" t="s">
        <v>54</v>
      </c>
    </row>
    <row r="5503" spans="1:2" x14ac:dyDescent="0.2">
      <c r="A5503">
        <v>5497</v>
      </c>
      <c r="B5503" t="s">
        <v>54</v>
      </c>
    </row>
    <row r="5504" spans="1:2" x14ac:dyDescent="0.2">
      <c r="A5504">
        <v>5498</v>
      </c>
      <c r="B5504" t="s">
        <v>54</v>
      </c>
    </row>
    <row r="5505" spans="1:2" x14ac:dyDescent="0.2">
      <c r="A5505">
        <v>5499</v>
      </c>
      <c r="B5505" t="s">
        <v>54</v>
      </c>
    </row>
    <row r="5506" spans="1:2" x14ac:dyDescent="0.2">
      <c r="A5506">
        <v>5500</v>
      </c>
      <c r="B5506" t="s">
        <v>54</v>
      </c>
    </row>
    <row r="5507" spans="1:2" x14ac:dyDescent="0.2">
      <c r="A5507">
        <v>5501</v>
      </c>
      <c r="B5507" t="s">
        <v>54</v>
      </c>
    </row>
    <row r="5508" spans="1:2" x14ac:dyDescent="0.2">
      <c r="A5508">
        <v>5502</v>
      </c>
      <c r="B5508" t="s">
        <v>54</v>
      </c>
    </row>
    <row r="5509" spans="1:2" x14ac:dyDescent="0.2">
      <c r="A5509">
        <v>5503</v>
      </c>
      <c r="B5509" t="s">
        <v>54</v>
      </c>
    </row>
    <row r="5510" spans="1:2" x14ac:dyDescent="0.2">
      <c r="A5510">
        <v>5504</v>
      </c>
      <c r="B5510" t="s">
        <v>54</v>
      </c>
    </row>
    <row r="5511" spans="1:2" x14ac:dyDescent="0.2">
      <c r="A5511">
        <v>5505</v>
      </c>
      <c r="B5511" t="s">
        <v>54</v>
      </c>
    </row>
    <row r="5512" spans="1:2" x14ac:dyDescent="0.2">
      <c r="A5512">
        <v>5506</v>
      </c>
      <c r="B5512" t="s">
        <v>54</v>
      </c>
    </row>
    <row r="5513" spans="1:2" x14ac:dyDescent="0.2">
      <c r="A5513">
        <v>5507</v>
      </c>
      <c r="B5513" t="s">
        <v>54</v>
      </c>
    </row>
    <row r="5514" spans="1:2" x14ac:dyDescent="0.2">
      <c r="A5514">
        <v>5508</v>
      </c>
      <c r="B5514" t="s">
        <v>54</v>
      </c>
    </row>
    <row r="5515" spans="1:2" x14ac:dyDescent="0.2">
      <c r="A5515">
        <v>5509</v>
      </c>
      <c r="B5515" t="s">
        <v>54</v>
      </c>
    </row>
    <row r="5516" spans="1:2" x14ac:dyDescent="0.2">
      <c r="A5516">
        <v>5510</v>
      </c>
      <c r="B5516" t="s">
        <v>54</v>
      </c>
    </row>
    <row r="5517" spans="1:2" x14ac:dyDescent="0.2">
      <c r="A5517">
        <v>5511</v>
      </c>
      <c r="B5517" t="s">
        <v>54</v>
      </c>
    </row>
    <row r="5518" spans="1:2" x14ac:dyDescent="0.2">
      <c r="A5518">
        <v>5512</v>
      </c>
      <c r="B5518" t="s">
        <v>54</v>
      </c>
    </row>
    <row r="5519" spans="1:2" x14ac:dyDescent="0.2">
      <c r="A5519">
        <v>5513</v>
      </c>
      <c r="B5519" t="s">
        <v>54</v>
      </c>
    </row>
    <row r="5520" spans="1:2" x14ac:dyDescent="0.2">
      <c r="A5520">
        <v>5514</v>
      </c>
      <c r="B5520" t="s">
        <v>54</v>
      </c>
    </row>
    <row r="5521" spans="1:2" x14ac:dyDescent="0.2">
      <c r="A5521">
        <v>5515</v>
      </c>
      <c r="B5521" t="s">
        <v>54</v>
      </c>
    </row>
    <row r="5522" spans="1:2" x14ac:dyDescent="0.2">
      <c r="A5522">
        <v>5516</v>
      </c>
      <c r="B5522" t="s">
        <v>54</v>
      </c>
    </row>
    <row r="5523" spans="1:2" x14ac:dyDescent="0.2">
      <c r="A5523">
        <v>5517</v>
      </c>
      <c r="B5523" t="s">
        <v>54</v>
      </c>
    </row>
    <row r="5524" spans="1:2" x14ac:dyDescent="0.2">
      <c r="A5524">
        <v>5518</v>
      </c>
      <c r="B5524" t="s">
        <v>54</v>
      </c>
    </row>
    <row r="5525" spans="1:2" x14ac:dyDescent="0.2">
      <c r="A5525">
        <v>5519</v>
      </c>
      <c r="B5525" t="s">
        <v>54</v>
      </c>
    </row>
    <row r="5526" spans="1:2" x14ac:dyDescent="0.2">
      <c r="A5526">
        <v>5520</v>
      </c>
      <c r="B5526" t="s">
        <v>54</v>
      </c>
    </row>
    <row r="5527" spans="1:2" x14ac:dyDescent="0.2">
      <c r="A5527">
        <v>5521</v>
      </c>
      <c r="B5527" t="s">
        <v>54</v>
      </c>
    </row>
    <row r="5528" spans="1:2" x14ac:dyDescent="0.2">
      <c r="A5528">
        <v>5522</v>
      </c>
      <c r="B5528" t="s">
        <v>54</v>
      </c>
    </row>
    <row r="5529" spans="1:2" x14ac:dyDescent="0.2">
      <c r="A5529">
        <v>5523</v>
      </c>
      <c r="B5529" t="s">
        <v>54</v>
      </c>
    </row>
    <row r="5530" spans="1:2" x14ac:dyDescent="0.2">
      <c r="A5530">
        <v>5524</v>
      </c>
      <c r="B5530" t="s">
        <v>54</v>
      </c>
    </row>
    <row r="5531" spans="1:2" x14ac:dyDescent="0.2">
      <c r="A5531">
        <v>5525</v>
      </c>
      <c r="B5531" t="s">
        <v>54</v>
      </c>
    </row>
    <row r="5532" spans="1:2" x14ac:dyDescent="0.2">
      <c r="A5532">
        <v>5526</v>
      </c>
      <c r="B5532" t="s">
        <v>54</v>
      </c>
    </row>
    <row r="5533" spans="1:2" x14ac:dyDescent="0.2">
      <c r="A5533">
        <v>5527</v>
      </c>
      <c r="B5533" t="s">
        <v>54</v>
      </c>
    </row>
    <row r="5534" spans="1:2" x14ac:dyDescent="0.2">
      <c r="A5534">
        <v>5528</v>
      </c>
      <c r="B5534" t="s">
        <v>54</v>
      </c>
    </row>
    <row r="5535" spans="1:2" x14ac:dyDescent="0.2">
      <c r="A5535">
        <v>5529</v>
      </c>
      <c r="B5535" t="s">
        <v>54</v>
      </c>
    </row>
    <row r="5536" spans="1:2" x14ac:dyDescent="0.2">
      <c r="A5536">
        <v>5530</v>
      </c>
      <c r="B5536" t="s">
        <v>54</v>
      </c>
    </row>
    <row r="5537" spans="1:2" x14ac:dyDescent="0.2">
      <c r="A5537">
        <v>5531</v>
      </c>
      <c r="B5537" t="s">
        <v>54</v>
      </c>
    </row>
    <row r="5538" spans="1:2" x14ac:dyDescent="0.2">
      <c r="A5538">
        <v>5532</v>
      </c>
      <c r="B5538" t="s">
        <v>54</v>
      </c>
    </row>
    <row r="5539" spans="1:2" x14ac:dyDescent="0.2">
      <c r="A5539">
        <v>5533</v>
      </c>
      <c r="B5539" t="s">
        <v>54</v>
      </c>
    </row>
    <row r="5540" spans="1:2" x14ac:dyDescent="0.2">
      <c r="A5540">
        <v>5534</v>
      </c>
      <c r="B5540" t="s">
        <v>54</v>
      </c>
    </row>
    <row r="5541" spans="1:2" x14ac:dyDescent="0.2">
      <c r="A5541">
        <v>5535</v>
      </c>
      <c r="B5541" t="s">
        <v>54</v>
      </c>
    </row>
    <row r="5542" spans="1:2" x14ac:dyDescent="0.2">
      <c r="A5542">
        <v>5536</v>
      </c>
      <c r="B5542" t="s">
        <v>54</v>
      </c>
    </row>
    <row r="5543" spans="1:2" x14ac:dyDescent="0.2">
      <c r="A5543">
        <v>5537</v>
      </c>
      <c r="B5543" t="s">
        <v>54</v>
      </c>
    </row>
    <row r="5544" spans="1:2" x14ac:dyDescent="0.2">
      <c r="A5544">
        <v>5538</v>
      </c>
      <c r="B5544" t="s">
        <v>54</v>
      </c>
    </row>
    <row r="5545" spans="1:2" x14ac:dyDescent="0.2">
      <c r="A5545">
        <v>5539</v>
      </c>
      <c r="B5545" t="s">
        <v>54</v>
      </c>
    </row>
    <row r="5546" spans="1:2" x14ac:dyDescent="0.2">
      <c r="A5546">
        <v>5540</v>
      </c>
      <c r="B5546" t="s">
        <v>54</v>
      </c>
    </row>
    <row r="5547" spans="1:2" x14ac:dyDescent="0.2">
      <c r="A5547">
        <v>5541</v>
      </c>
      <c r="B5547" t="s">
        <v>54</v>
      </c>
    </row>
    <row r="5548" spans="1:2" x14ac:dyDescent="0.2">
      <c r="A5548">
        <v>5542</v>
      </c>
      <c r="B5548" t="s">
        <v>54</v>
      </c>
    </row>
    <row r="5549" spans="1:2" x14ac:dyDescent="0.2">
      <c r="A5549">
        <v>5543</v>
      </c>
      <c r="B5549" t="s">
        <v>54</v>
      </c>
    </row>
    <row r="5550" spans="1:2" x14ac:dyDescent="0.2">
      <c r="A5550">
        <v>5544</v>
      </c>
      <c r="B5550" t="s">
        <v>54</v>
      </c>
    </row>
    <row r="5551" spans="1:2" x14ac:dyDescent="0.2">
      <c r="A5551">
        <v>5545</v>
      </c>
      <c r="B5551" t="s">
        <v>54</v>
      </c>
    </row>
    <row r="5552" spans="1:2" x14ac:dyDescent="0.2">
      <c r="A5552">
        <v>5546</v>
      </c>
      <c r="B5552" t="s">
        <v>54</v>
      </c>
    </row>
    <row r="5553" spans="1:2" x14ac:dyDescent="0.2">
      <c r="A5553">
        <v>5547</v>
      </c>
      <c r="B5553" t="s">
        <v>54</v>
      </c>
    </row>
    <row r="5554" spans="1:2" x14ac:dyDescent="0.2">
      <c r="A5554">
        <v>5548</v>
      </c>
      <c r="B5554" t="s">
        <v>54</v>
      </c>
    </row>
    <row r="5555" spans="1:2" x14ac:dyDescent="0.2">
      <c r="A5555">
        <v>5549</v>
      </c>
      <c r="B5555" t="s">
        <v>54</v>
      </c>
    </row>
    <row r="5556" spans="1:2" x14ac:dyDescent="0.2">
      <c r="A5556">
        <v>5550</v>
      </c>
      <c r="B5556" t="s">
        <v>54</v>
      </c>
    </row>
    <row r="5557" spans="1:2" x14ac:dyDescent="0.2">
      <c r="A5557">
        <v>5551</v>
      </c>
      <c r="B5557" t="s">
        <v>54</v>
      </c>
    </row>
    <row r="5558" spans="1:2" x14ac:dyDescent="0.2">
      <c r="A5558">
        <v>5552</v>
      </c>
      <c r="B5558" t="s">
        <v>54</v>
      </c>
    </row>
    <row r="5559" spans="1:2" x14ac:dyDescent="0.2">
      <c r="A5559">
        <v>5553</v>
      </c>
      <c r="B5559" t="s">
        <v>54</v>
      </c>
    </row>
    <row r="5560" spans="1:2" x14ac:dyDescent="0.2">
      <c r="A5560">
        <v>5554</v>
      </c>
      <c r="B5560" t="s">
        <v>54</v>
      </c>
    </row>
    <row r="5561" spans="1:2" x14ac:dyDescent="0.2">
      <c r="A5561">
        <v>5555</v>
      </c>
      <c r="B5561" t="s">
        <v>54</v>
      </c>
    </row>
    <row r="5562" spans="1:2" x14ac:dyDescent="0.2">
      <c r="A5562">
        <v>5556</v>
      </c>
      <c r="B5562" t="s">
        <v>54</v>
      </c>
    </row>
    <row r="5563" spans="1:2" x14ac:dyDescent="0.2">
      <c r="A5563">
        <v>5557</v>
      </c>
      <c r="B5563" t="s">
        <v>54</v>
      </c>
    </row>
    <row r="5564" spans="1:2" x14ac:dyDescent="0.2">
      <c r="A5564">
        <v>5558</v>
      </c>
      <c r="B5564" t="s">
        <v>54</v>
      </c>
    </row>
    <row r="5565" spans="1:2" x14ac:dyDescent="0.2">
      <c r="A5565">
        <v>5559</v>
      </c>
      <c r="B5565" t="s">
        <v>54</v>
      </c>
    </row>
    <row r="5566" spans="1:2" x14ac:dyDescent="0.2">
      <c r="A5566">
        <v>5560</v>
      </c>
      <c r="B5566" t="s">
        <v>54</v>
      </c>
    </row>
    <row r="5567" spans="1:2" x14ac:dyDescent="0.2">
      <c r="A5567">
        <v>5561</v>
      </c>
      <c r="B5567" t="s">
        <v>54</v>
      </c>
    </row>
    <row r="5568" spans="1:2" x14ac:dyDescent="0.2">
      <c r="A5568">
        <v>5562</v>
      </c>
      <c r="B5568" t="s">
        <v>54</v>
      </c>
    </row>
    <row r="5569" spans="1:2" x14ac:dyDescent="0.2">
      <c r="A5569">
        <v>5563</v>
      </c>
      <c r="B5569" t="s">
        <v>54</v>
      </c>
    </row>
    <row r="5570" spans="1:2" x14ac:dyDescent="0.2">
      <c r="A5570">
        <v>5564</v>
      </c>
      <c r="B5570" t="s">
        <v>54</v>
      </c>
    </row>
    <row r="5571" spans="1:2" x14ac:dyDescent="0.2">
      <c r="A5571">
        <v>5565</v>
      </c>
      <c r="B5571" t="s">
        <v>54</v>
      </c>
    </row>
    <row r="5572" spans="1:2" x14ac:dyDescent="0.2">
      <c r="A5572">
        <v>5566</v>
      </c>
      <c r="B5572" t="s">
        <v>54</v>
      </c>
    </row>
    <row r="5573" spans="1:2" x14ac:dyDescent="0.2">
      <c r="A5573">
        <v>5567</v>
      </c>
      <c r="B5573" t="s">
        <v>54</v>
      </c>
    </row>
    <row r="5574" spans="1:2" x14ac:dyDescent="0.2">
      <c r="A5574">
        <v>5568</v>
      </c>
      <c r="B5574" t="s">
        <v>54</v>
      </c>
    </row>
    <row r="5575" spans="1:2" x14ac:dyDescent="0.2">
      <c r="A5575">
        <v>5569</v>
      </c>
      <c r="B5575" t="s">
        <v>54</v>
      </c>
    </row>
    <row r="5576" spans="1:2" x14ac:dyDescent="0.2">
      <c r="A5576">
        <v>5570</v>
      </c>
      <c r="B5576" t="s">
        <v>54</v>
      </c>
    </row>
    <row r="5577" spans="1:2" x14ac:dyDescent="0.2">
      <c r="A5577">
        <v>5571</v>
      </c>
      <c r="B5577" t="s">
        <v>54</v>
      </c>
    </row>
    <row r="5578" spans="1:2" x14ac:dyDescent="0.2">
      <c r="A5578">
        <v>5572</v>
      </c>
      <c r="B5578" t="s">
        <v>54</v>
      </c>
    </row>
    <row r="5579" spans="1:2" x14ac:dyDescent="0.2">
      <c r="A5579">
        <v>5573</v>
      </c>
      <c r="B5579" t="s">
        <v>54</v>
      </c>
    </row>
    <row r="5580" spans="1:2" x14ac:dyDescent="0.2">
      <c r="A5580">
        <v>5574</v>
      </c>
      <c r="B5580" t="s">
        <v>54</v>
      </c>
    </row>
    <row r="5581" spans="1:2" x14ac:dyDescent="0.2">
      <c r="A5581">
        <v>5575</v>
      </c>
      <c r="B5581" t="s">
        <v>54</v>
      </c>
    </row>
    <row r="5582" spans="1:2" x14ac:dyDescent="0.2">
      <c r="A5582">
        <v>5576</v>
      </c>
      <c r="B5582" t="s">
        <v>54</v>
      </c>
    </row>
    <row r="5583" spans="1:2" x14ac:dyDescent="0.2">
      <c r="A5583">
        <v>5577</v>
      </c>
      <c r="B5583" t="s">
        <v>54</v>
      </c>
    </row>
    <row r="5584" spans="1:2" x14ac:dyDescent="0.2">
      <c r="A5584">
        <v>5578</v>
      </c>
      <c r="B5584" t="s">
        <v>54</v>
      </c>
    </row>
    <row r="5585" spans="1:2" x14ac:dyDescent="0.2">
      <c r="A5585">
        <v>5579</v>
      </c>
      <c r="B5585" t="s">
        <v>54</v>
      </c>
    </row>
    <row r="5586" spans="1:2" x14ac:dyDescent="0.2">
      <c r="A5586">
        <v>5580</v>
      </c>
      <c r="B5586" t="s">
        <v>54</v>
      </c>
    </row>
    <row r="5587" spans="1:2" x14ac:dyDescent="0.2">
      <c r="A5587">
        <v>5581</v>
      </c>
      <c r="B5587" t="s">
        <v>54</v>
      </c>
    </row>
    <row r="5588" spans="1:2" x14ac:dyDescent="0.2">
      <c r="A5588">
        <v>5582</v>
      </c>
      <c r="B5588" t="s">
        <v>54</v>
      </c>
    </row>
    <row r="5589" spans="1:2" x14ac:dyDescent="0.2">
      <c r="A5589">
        <v>5583</v>
      </c>
      <c r="B5589" t="s">
        <v>54</v>
      </c>
    </row>
    <row r="5590" spans="1:2" x14ac:dyDescent="0.2">
      <c r="A5590">
        <v>5584</v>
      </c>
      <c r="B5590" t="s">
        <v>54</v>
      </c>
    </row>
    <row r="5591" spans="1:2" x14ac:dyDescent="0.2">
      <c r="A5591">
        <v>5585</v>
      </c>
      <c r="B5591" t="s">
        <v>54</v>
      </c>
    </row>
    <row r="5592" spans="1:2" x14ac:dyDescent="0.2">
      <c r="A5592">
        <v>5586</v>
      </c>
      <c r="B5592" t="s">
        <v>54</v>
      </c>
    </row>
    <row r="5593" spans="1:2" x14ac:dyDescent="0.2">
      <c r="A5593">
        <v>5587</v>
      </c>
      <c r="B5593" t="s">
        <v>54</v>
      </c>
    </row>
    <row r="5594" spans="1:2" x14ac:dyDescent="0.2">
      <c r="A5594">
        <v>5588</v>
      </c>
      <c r="B5594" t="s">
        <v>54</v>
      </c>
    </row>
    <row r="5595" spans="1:2" x14ac:dyDescent="0.2">
      <c r="A5595">
        <v>5589</v>
      </c>
      <c r="B5595" t="s">
        <v>54</v>
      </c>
    </row>
    <row r="5596" spans="1:2" x14ac:dyDescent="0.2">
      <c r="A5596">
        <v>5590</v>
      </c>
      <c r="B5596" t="s">
        <v>54</v>
      </c>
    </row>
    <row r="5597" spans="1:2" x14ac:dyDescent="0.2">
      <c r="A5597">
        <v>5591</v>
      </c>
      <c r="B5597" t="s">
        <v>54</v>
      </c>
    </row>
    <row r="5598" spans="1:2" x14ac:dyDescent="0.2">
      <c r="A5598">
        <v>5592</v>
      </c>
      <c r="B5598" t="s">
        <v>54</v>
      </c>
    </row>
    <row r="5599" spans="1:2" x14ac:dyDescent="0.2">
      <c r="A5599">
        <v>5593</v>
      </c>
      <c r="B5599" t="s">
        <v>54</v>
      </c>
    </row>
    <row r="5600" spans="1:2" x14ac:dyDescent="0.2">
      <c r="A5600">
        <v>5594</v>
      </c>
      <c r="B5600" t="s">
        <v>54</v>
      </c>
    </row>
    <row r="5601" spans="1:2" x14ac:dyDescent="0.2">
      <c r="A5601">
        <v>5595</v>
      </c>
      <c r="B5601" t="s">
        <v>54</v>
      </c>
    </row>
    <row r="5602" spans="1:2" x14ac:dyDescent="0.2">
      <c r="A5602">
        <v>5596</v>
      </c>
      <c r="B5602" t="s">
        <v>54</v>
      </c>
    </row>
    <row r="5603" spans="1:2" x14ac:dyDescent="0.2">
      <c r="A5603">
        <v>5597</v>
      </c>
      <c r="B5603" t="s">
        <v>54</v>
      </c>
    </row>
    <row r="5604" spans="1:2" x14ac:dyDescent="0.2">
      <c r="A5604">
        <v>5598</v>
      </c>
      <c r="B5604" t="s">
        <v>54</v>
      </c>
    </row>
    <row r="5605" spans="1:2" x14ac:dyDescent="0.2">
      <c r="A5605">
        <v>5599</v>
      </c>
      <c r="B5605" t="s">
        <v>54</v>
      </c>
    </row>
    <row r="5606" spans="1:2" x14ac:dyDescent="0.2">
      <c r="A5606">
        <v>5600</v>
      </c>
      <c r="B5606" t="s">
        <v>54</v>
      </c>
    </row>
    <row r="5607" spans="1:2" x14ac:dyDescent="0.2">
      <c r="A5607">
        <v>5601</v>
      </c>
      <c r="B5607" t="s">
        <v>54</v>
      </c>
    </row>
    <row r="5608" spans="1:2" x14ac:dyDescent="0.2">
      <c r="A5608">
        <v>5602</v>
      </c>
      <c r="B5608" t="s">
        <v>54</v>
      </c>
    </row>
    <row r="5609" spans="1:2" x14ac:dyDescent="0.2">
      <c r="A5609">
        <v>5603</v>
      </c>
      <c r="B5609" t="s">
        <v>54</v>
      </c>
    </row>
    <row r="5610" spans="1:2" x14ac:dyDescent="0.2">
      <c r="A5610">
        <v>5604</v>
      </c>
      <c r="B5610" t="s">
        <v>54</v>
      </c>
    </row>
    <row r="5611" spans="1:2" x14ac:dyDescent="0.2">
      <c r="A5611">
        <v>5605</v>
      </c>
      <c r="B5611" t="s">
        <v>54</v>
      </c>
    </row>
    <row r="5612" spans="1:2" x14ac:dyDescent="0.2">
      <c r="A5612">
        <v>5606</v>
      </c>
      <c r="B5612" t="s">
        <v>54</v>
      </c>
    </row>
    <row r="5613" spans="1:2" x14ac:dyDescent="0.2">
      <c r="A5613">
        <v>5607</v>
      </c>
      <c r="B5613" t="s">
        <v>54</v>
      </c>
    </row>
    <row r="5614" spans="1:2" x14ac:dyDescent="0.2">
      <c r="A5614">
        <v>5608</v>
      </c>
      <c r="B5614" t="s">
        <v>54</v>
      </c>
    </row>
    <row r="5615" spans="1:2" x14ac:dyDescent="0.2">
      <c r="A5615">
        <v>5609</v>
      </c>
      <c r="B5615" t="s">
        <v>54</v>
      </c>
    </row>
    <row r="5616" spans="1:2" x14ac:dyDescent="0.2">
      <c r="A5616">
        <v>5610</v>
      </c>
      <c r="B5616" t="s">
        <v>54</v>
      </c>
    </row>
    <row r="5617" spans="1:2" x14ac:dyDescent="0.2">
      <c r="A5617">
        <v>5611</v>
      </c>
      <c r="B5617" t="s">
        <v>54</v>
      </c>
    </row>
    <row r="5618" spans="1:2" x14ac:dyDescent="0.2">
      <c r="A5618">
        <v>5612</v>
      </c>
      <c r="B5618" t="s">
        <v>54</v>
      </c>
    </row>
    <row r="5619" spans="1:2" x14ac:dyDescent="0.2">
      <c r="A5619">
        <v>5613</v>
      </c>
      <c r="B5619" t="s">
        <v>54</v>
      </c>
    </row>
    <row r="5620" spans="1:2" x14ac:dyDescent="0.2">
      <c r="A5620">
        <v>5614</v>
      </c>
      <c r="B5620" t="s">
        <v>54</v>
      </c>
    </row>
    <row r="5621" spans="1:2" x14ac:dyDescent="0.2">
      <c r="A5621">
        <v>5615</v>
      </c>
      <c r="B5621" t="s">
        <v>54</v>
      </c>
    </row>
    <row r="5622" spans="1:2" x14ac:dyDescent="0.2">
      <c r="A5622">
        <v>5616</v>
      </c>
      <c r="B5622" t="s">
        <v>54</v>
      </c>
    </row>
    <row r="5623" spans="1:2" x14ac:dyDescent="0.2">
      <c r="A5623">
        <v>5617</v>
      </c>
      <c r="B5623" t="s">
        <v>54</v>
      </c>
    </row>
    <row r="5624" spans="1:2" x14ac:dyDescent="0.2">
      <c r="A5624">
        <v>5618</v>
      </c>
      <c r="B5624" t="s">
        <v>54</v>
      </c>
    </row>
    <row r="5625" spans="1:2" x14ac:dyDescent="0.2">
      <c r="A5625">
        <v>5619</v>
      </c>
      <c r="B5625" t="s">
        <v>54</v>
      </c>
    </row>
    <row r="5626" spans="1:2" x14ac:dyDescent="0.2">
      <c r="A5626">
        <v>5620</v>
      </c>
      <c r="B5626" t="s">
        <v>54</v>
      </c>
    </row>
    <row r="5627" spans="1:2" x14ac:dyDescent="0.2">
      <c r="A5627">
        <v>5621</v>
      </c>
      <c r="B5627" t="s">
        <v>54</v>
      </c>
    </row>
    <row r="5628" spans="1:2" x14ac:dyDescent="0.2">
      <c r="A5628">
        <v>5622</v>
      </c>
      <c r="B5628" t="s">
        <v>54</v>
      </c>
    </row>
    <row r="5629" spans="1:2" x14ac:dyDescent="0.2">
      <c r="A5629">
        <v>5623</v>
      </c>
      <c r="B5629" t="s">
        <v>54</v>
      </c>
    </row>
    <row r="5630" spans="1:2" x14ac:dyDescent="0.2">
      <c r="A5630">
        <v>5624</v>
      </c>
      <c r="B5630" t="s">
        <v>54</v>
      </c>
    </row>
    <row r="5631" spans="1:2" x14ac:dyDescent="0.2">
      <c r="A5631">
        <v>5625</v>
      </c>
      <c r="B5631" t="s">
        <v>54</v>
      </c>
    </row>
    <row r="5632" spans="1:2" x14ac:dyDescent="0.2">
      <c r="A5632">
        <v>5626</v>
      </c>
      <c r="B5632" t="s">
        <v>54</v>
      </c>
    </row>
    <row r="5633" spans="1:2" x14ac:dyDescent="0.2">
      <c r="A5633">
        <v>5627</v>
      </c>
      <c r="B5633" t="s">
        <v>54</v>
      </c>
    </row>
    <row r="5634" spans="1:2" x14ac:dyDescent="0.2">
      <c r="A5634">
        <v>5628</v>
      </c>
      <c r="B5634" t="s">
        <v>54</v>
      </c>
    </row>
    <row r="5635" spans="1:2" x14ac:dyDescent="0.2">
      <c r="A5635">
        <v>5629</v>
      </c>
      <c r="B5635" t="s">
        <v>54</v>
      </c>
    </row>
    <row r="5636" spans="1:2" x14ac:dyDescent="0.2">
      <c r="A5636">
        <v>5630</v>
      </c>
      <c r="B5636" t="s">
        <v>54</v>
      </c>
    </row>
    <row r="5637" spans="1:2" x14ac:dyDescent="0.2">
      <c r="A5637">
        <v>5631</v>
      </c>
      <c r="B5637" t="s">
        <v>54</v>
      </c>
    </row>
    <row r="5638" spans="1:2" x14ac:dyDescent="0.2">
      <c r="A5638">
        <v>5632</v>
      </c>
      <c r="B5638" t="s">
        <v>54</v>
      </c>
    </row>
    <row r="5639" spans="1:2" x14ac:dyDescent="0.2">
      <c r="A5639">
        <v>5633</v>
      </c>
      <c r="B5639" t="s">
        <v>54</v>
      </c>
    </row>
    <row r="5640" spans="1:2" x14ac:dyDescent="0.2">
      <c r="A5640">
        <v>5634</v>
      </c>
      <c r="B5640" t="s">
        <v>54</v>
      </c>
    </row>
    <row r="5641" spans="1:2" x14ac:dyDescent="0.2">
      <c r="A5641">
        <v>5635</v>
      </c>
      <c r="B5641" t="s">
        <v>54</v>
      </c>
    </row>
    <row r="5642" spans="1:2" x14ac:dyDescent="0.2">
      <c r="A5642">
        <v>5636</v>
      </c>
      <c r="B5642" t="s">
        <v>54</v>
      </c>
    </row>
    <row r="5643" spans="1:2" x14ac:dyDescent="0.2">
      <c r="A5643">
        <v>5637</v>
      </c>
      <c r="B5643" t="s">
        <v>54</v>
      </c>
    </row>
    <row r="5644" spans="1:2" x14ac:dyDescent="0.2">
      <c r="A5644">
        <v>5638</v>
      </c>
      <c r="B5644" t="s">
        <v>54</v>
      </c>
    </row>
    <row r="5645" spans="1:2" x14ac:dyDescent="0.2">
      <c r="A5645">
        <v>5639</v>
      </c>
      <c r="B5645" t="s">
        <v>54</v>
      </c>
    </row>
    <row r="5646" spans="1:2" x14ac:dyDescent="0.2">
      <c r="A5646">
        <v>5640</v>
      </c>
      <c r="B5646" t="s">
        <v>54</v>
      </c>
    </row>
    <row r="5647" spans="1:2" x14ac:dyDescent="0.2">
      <c r="A5647">
        <v>5641</v>
      </c>
      <c r="B5647" t="s">
        <v>54</v>
      </c>
    </row>
    <row r="5648" spans="1:2" x14ac:dyDescent="0.2">
      <c r="A5648">
        <v>5642</v>
      </c>
      <c r="B5648" t="s">
        <v>54</v>
      </c>
    </row>
    <row r="5649" spans="1:2" x14ac:dyDescent="0.2">
      <c r="A5649">
        <v>5643</v>
      </c>
      <c r="B5649" t="s">
        <v>54</v>
      </c>
    </row>
    <row r="5650" spans="1:2" x14ac:dyDescent="0.2">
      <c r="A5650">
        <v>5644</v>
      </c>
      <c r="B5650" t="s">
        <v>54</v>
      </c>
    </row>
    <row r="5651" spans="1:2" x14ac:dyDescent="0.2">
      <c r="A5651">
        <v>5645</v>
      </c>
      <c r="B5651" t="s">
        <v>54</v>
      </c>
    </row>
    <row r="5652" spans="1:2" x14ac:dyDescent="0.2">
      <c r="A5652">
        <v>5646</v>
      </c>
      <c r="B5652" t="s">
        <v>54</v>
      </c>
    </row>
    <row r="5653" spans="1:2" x14ac:dyDescent="0.2">
      <c r="A5653">
        <v>5647</v>
      </c>
      <c r="B5653" t="s">
        <v>54</v>
      </c>
    </row>
    <row r="5654" spans="1:2" x14ac:dyDescent="0.2">
      <c r="A5654">
        <v>5648</v>
      </c>
      <c r="B5654" t="s">
        <v>54</v>
      </c>
    </row>
    <row r="5655" spans="1:2" x14ac:dyDescent="0.2">
      <c r="A5655">
        <v>5649</v>
      </c>
      <c r="B5655" t="s">
        <v>54</v>
      </c>
    </row>
    <row r="5656" spans="1:2" x14ac:dyDescent="0.2">
      <c r="A5656">
        <v>5650</v>
      </c>
      <c r="B5656" t="s">
        <v>54</v>
      </c>
    </row>
    <row r="5657" spans="1:2" x14ac:dyDescent="0.2">
      <c r="A5657">
        <v>5651</v>
      </c>
      <c r="B5657" t="s">
        <v>54</v>
      </c>
    </row>
    <row r="5658" spans="1:2" x14ac:dyDescent="0.2">
      <c r="A5658">
        <v>5652</v>
      </c>
      <c r="B5658" t="s">
        <v>54</v>
      </c>
    </row>
    <row r="5659" spans="1:2" x14ac:dyDescent="0.2">
      <c r="A5659">
        <v>5653</v>
      </c>
      <c r="B5659" t="s">
        <v>54</v>
      </c>
    </row>
    <row r="5660" spans="1:2" x14ac:dyDescent="0.2">
      <c r="A5660">
        <v>5654</v>
      </c>
      <c r="B5660" t="s">
        <v>54</v>
      </c>
    </row>
    <row r="5661" spans="1:2" x14ac:dyDescent="0.2">
      <c r="A5661">
        <v>5655</v>
      </c>
      <c r="B5661" t="s">
        <v>54</v>
      </c>
    </row>
    <row r="5662" spans="1:2" x14ac:dyDescent="0.2">
      <c r="A5662">
        <v>5656</v>
      </c>
      <c r="B5662" t="s">
        <v>54</v>
      </c>
    </row>
    <row r="5663" spans="1:2" x14ac:dyDescent="0.2">
      <c r="A5663">
        <v>5657</v>
      </c>
      <c r="B5663" t="s">
        <v>54</v>
      </c>
    </row>
    <row r="5664" spans="1:2" x14ac:dyDescent="0.2">
      <c r="A5664">
        <v>5658</v>
      </c>
      <c r="B5664" t="s">
        <v>54</v>
      </c>
    </row>
    <row r="5665" spans="1:2" x14ac:dyDescent="0.2">
      <c r="A5665">
        <v>5659</v>
      </c>
      <c r="B5665" t="s">
        <v>54</v>
      </c>
    </row>
    <row r="5666" spans="1:2" x14ac:dyDescent="0.2">
      <c r="A5666">
        <v>5660</v>
      </c>
      <c r="B5666" t="s">
        <v>54</v>
      </c>
    </row>
    <row r="5667" spans="1:2" x14ac:dyDescent="0.2">
      <c r="A5667">
        <v>5661</v>
      </c>
      <c r="B5667" t="s">
        <v>54</v>
      </c>
    </row>
    <row r="5668" spans="1:2" x14ac:dyDescent="0.2">
      <c r="A5668">
        <v>5662</v>
      </c>
      <c r="B5668" t="s">
        <v>54</v>
      </c>
    </row>
    <row r="5669" spans="1:2" x14ac:dyDescent="0.2">
      <c r="A5669">
        <v>5663</v>
      </c>
      <c r="B5669" t="s">
        <v>54</v>
      </c>
    </row>
    <row r="5670" spans="1:2" x14ac:dyDescent="0.2">
      <c r="A5670">
        <v>5664</v>
      </c>
      <c r="B5670" t="s">
        <v>54</v>
      </c>
    </row>
    <row r="5671" spans="1:2" x14ac:dyDescent="0.2">
      <c r="A5671">
        <v>5665</v>
      </c>
      <c r="B5671" t="s">
        <v>54</v>
      </c>
    </row>
    <row r="5672" spans="1:2" x14ac:dyDescent="0.2">
      <c r="A5672">
        <v>5666</v>
      </c>
      <c r="B5672" t="s">
        <v>54</v>
      </c>
    </row>
    <row r="5673" spans="1:2" x14ac:dyDescent="0.2">
      <c r="A5673">
        <v>5667</v>
      </c>
      <c r="B5673" t="s">
        <v>54</v>
      </c>
    </row>
    <row r="5674" spans="1:2" x14ac:dyDescent="0.2">
      <c r="A5674">
        <v>5668</v>
      </c>
      <c r="B5674" t="s">
        <v>54</v>
      </c>
    </row>
    <row r="5675" spans="1:2" x14ac:dyDescent="0.2">
      <c r="A5675">
        <v>5669</v>
      </c>
      <c r="B5675" t="s">
        <v>54</v>
      </c>
    </row>
    <row r="5676" spans="1:2" x14ac:dyDescent="0.2">
      <c r="A5676">
        <v>5670</v>
      </c>
      <c r="B5676" t="s">
        <v>54</v>
      </c>
    </row>
    <row r="5677" spans="1:2" x14ac:dyDescent="0.2">
      <c r="A5677">
        <v>5671</v>
      </c>
      <c r="B5677" t="s">
        <v>54</v>
      </c>
    </row>
    <row r="5678" spans="1:2" x14ac:dyDescent="0.2">
      <c r="A5678">
        <v>5672</v>
      </c>
      <c r="B5678" t="s">
        <v>54</v>
      </c>
    </row>
    <row r="5679" spans="1:2" x14ac:dyDescent="0.2">
      <c r="A5679">
        <v>5673</v>
      </c>
      <c r="B5679" t="s">
        <v>54</v>
      </c>
    </row>
    <row r="5680" spans="1:2" x14ac:dyDescent="0.2">
      <c r="A5680">
        <v>5674</v>
      </c>
      <c r="B5680" t="s">
        <v>54</v>
      </c>
    </row>
    <row r="5681" spans="1:2" x14ac:dyDescent="0.2">
      <c r="A5681">
        <v>5675</v>
      </c>
      <c r="B5681" t="s">
        <v>54</v>
      </c>
    </row>
    <row r="5682" spans="1:2" x14ac:dyDescent="0.2">
      <c r="A5682">
        <v>5676</v>
      </c>
      <c r="B5682" t="s">
        <v>54</v>
      </c>
    </row>
    <row r="5683" spans="1:2" x14ac:dyDescent="0.2">
      <c r="A5683">
        <v>5677</v>
      </c>
      <c r="B5683" t="s">
        <v>54</v>
      </c>
    </row>
    <row r="5684" spans="1:2" x14ac:dyDescent="0.2">
      <c r="A5684">
        <v>5678</v>
      </c>
      <c r="B5684" t="s">
        <v>54</v>
      </c>
    </row>
    <row r="5685" spans="1:2" x14ac:dyDescent="0.2">
      <c r="A5685">
        <v>5679</v>
      </c>
      <c r="B5685" t="s">
        <v>54</v>
      </c>
    </row>
    <row r="5686" spans="1:2" x14ac:dyDescent="0.2">
      <c r="A5686">
        <v>5680</v>
      </c>
      <c r="B5686" t="s">
        <v>54</v>
      </c>
    </row>
    <row r="5687" spans="1:2" x14ac:dyDescent="0.2">
      <c r="A5687">
        <v>5681</v>
      </c>
      <c r="B5687" t="s">
        <v>54</v>
      </c>
    </row>
    <row r="5688" spans="1:2" x14ac:dyDescent="0.2">
      <c r="A5688">
        <v>5682</v>
      </c>
      <c r="B5688" t="s">
        <v>54</v>
      </c>
    </row>
    <row r="5689" spans="1:2" x14ac:dyDescent="0.2">
      <c r="A5689">
        <v>5683</v>
      </c>
      <c r="B5689" t="s">
        <v>54</v>
      </c>
    </row>
    <row r="5690" spans="1:2" x14ac:dyDescent="0.2">
      <c r="A5690">
        <v>5684</v>
      </c>
      <c r="B5690" t="s">
        <v>54</v>
      </c>
    </row>
    <row r="5691" spans="1:2" x14ac:dyDescent="0.2">
      <c r="A5691">
        <v>5685</v>
      </c>
      <c r="B5691" t="s">
        <v>54</v>
      </c>
    </row>
    <row r="5692" spans="1:2" x14ac:dyDescent="0.2">
      <c r="A5692">
        <v>5686</v>
      </c>
      <c r="B5692" t="s">
        <v>54</v>
      </c>
    </row>
    <row r="5693" spans="1:2" x14ac:dyDescent="0.2">
      <c r="A5693">
        <v>5687</v>
      </c>
      <c r="B5693" t="s">
        <v>54</v>
      </c>
    </row>
    <row r="5694" spans="1:2" x14ac:dyDescent="0.2">
      <c r="A5694">
        <v>5688</v>
      </c>
      <c r="B5694" t="s">
        <v>54</v>
      </c>
    </row>
    <row r="5695" spans="1:2" x14ac:dyDescent="0.2">
      <c r="A5695">
        <v>5689</v>
      </c>
      <c r="B5695" t="s">
        <v>54</v>
      </c>
    </row>
    <row r="5696" spans="1:2" x14ac:dyDescent="0.2">
      <c r="A5696">
        <v>5690</v>
      </c>
      <c r="B5696" t="s">
        <v>54</v>
      </c>
    </row>
    <row r="5697" spans="1:2" x14ac:dyDescent="0.2">
      <c r="A5697">
        <v>5691</v>
      </c>
      <c r="B5697" t="s">
        <v>54</v>
      </c>
    </row>
    <row r="5698" spans="1:2" x14ac:dyDescent="0.2">
      <c r="A5698">
        <v>5692</v>
      </c>
      <c r="B5698" t="s">
        <v>54</v>
      </c>
    </row>
    <row r="5699" spans="1:2" x14ac:dyDescent="0.2">
      <c r="A5699">
        <v>5693</v>
      </c>
      <c r="B5699" t="s">
        <v>54</v>
      </c>
    </row>
    <row r="5700" spans="1:2" x14ac:dyDescent="0.2">
      <c r="A5700">
        <v>5694</v>
      </c>
      <c r="B5700" t="s">
        <v>54</v>
      </c>
    </row>
    <row r="5701" spans="1:2" x14ac:dyDescent="0.2">
      <c r="A5701">
        <v>5695</v>
      </c>
      <c r="B5701" t="s">
        <v>54</v>
      </c>
    </row>
    <row r="5702" spans="1:2" x14ac:dyDescent="0.2">
      <c r="A5702">
        <v>5696</v>
      </c>
      <c r="B5702" t="s">
        <v>54</v>
      </c>
    </row>
    <row r="5703" spans="1:2" x14ac:dyDescent="0.2">
      <c r="A5703">
        <v>5697</v>
      </c>
      <c r="B5703" t="s">
        <v>54</v>
      </c>
    </row>
    <row r="5704" spans="1:2" x14ac:dyDescent="0.2">
      <c r="A5704">
        <v>5698</v>
      </c>
      <c r="B5704" t="s">
        <v>54</v>
      </c>
    </row>
    <row r="5705" spans="1:2" x14ac:dyDescent="0.2">
      <c r="A5705">
        <v>5699</v>
      </c>
      <c r="B5705" t="s">
        <v>54</v>
      </c>
    </row>
    <row r="5706" spans="1:2" x14ac:dyDescent="0.2">
      <c r="A5706">
        <v>5700</v>
      </c>
      <c r="B5706" t="s">
        <v>54</v>
      </c>
    </row>
    <row r="5707" spans="1:2" x14ac:dyDescent="0.2">
      <c r="A5707">
        <v>5701</v>
      </c>
      <c r="B5707" t="s">
        <v>54</v>
      </c>
    </row>
    <row r="5708" spans="1:2" x14ac:dyDescent="0.2">
      <c r="A5708">
        <v>5702</v>
      </c>
      <c r="B5708" t="s">
        <v>54</v>
      </c>
    </row>
    <row r="5709" spans="1:2" x14ac:dyDescent="0.2">
      <c r="A5709">
        <v>5703</v>
      </c>
      <c r="B5709" t="s">
        <v>54</v>
      </c>
    </row>
    <row r="5710" spans="1:2" x14ac:dyDescent="0.2">
      <c r="A5710">
        <v>5704</v>
      </c>
      <c r="B5710" t="s">
        <v>54</v>
      </c>
    </row>
    <row r="5711" spans="1:2" x14ac:dyDescent="0.2">
      <c r="A5711">
        <v>5705</v>
      </c>
      <c r="B5711" t="s">
        <v>54</v>
      </c>
    </row>
    <row r="5712" spans="1:2" x14ac:dyDescent="0.2">
      <c r="A5712">
        <v>5706</v>
      </c>
      <c r="B5712" t="s">
        <v>54</v>
      </c>
    </row>
    <row r="5713" spans="1:2" x14ac:dyDescent="0.2">
      <c r="A5713">
        <v>5707</v>
      </c>
      <c r="B5713" t="s">
        <v>54</v>
      </c>
    </row>
    <row r="5714" spans="1:2" x14ac:dyDescent="0.2">
      <c r="A5714">
        <v>5708</v>
      </c>
      <c r="B5714" t="s">
        <v>54</v>
      </c>
    </row>
    <row r="5715" spans="1:2" x14ac:dyDescent="0.2">
      <c r="A5715">
        <v>5709</v>
      </c>
      <c r="B5715" t="s">
        <v>54</v>
      </c>
    </row>
    <row r="5716" spans="1:2" x14ac:dyDescent="0.2">
      <c r="A5716">
        <v>5710</v>
      </c>
      <c r="B5716" t="s">
        <v>54</v>
      </c>
    </row>
    <row r="5717" spans="1:2" x14ac:dyDescent="0.2">
      <c r="A5717">
        <v>5711</v>
      </c>
      <c r="B5717" t="s">
        <v>54</v>
      </c>
    </row>
    <row r="5718" spans="1:2" x14ac:dyDescent="0.2">
      <c r="A5718">
        <v>5712</v>
      </c>
      <c r="B5718" t="s">
        <v>54</v>
      </c>
    </row>
    <row r="5719" spans="1:2" x14ac:dyDescent="0.2">
      <c r="A5719">
        <v>5713</v>
      </c>
      <c r="B5719" t="s">
        <v>54</v>
      </c>
    </row>
    <row r="5720" spans="1:2" x14ac:dyDescent="0.2">
      <c r="A5720">
        <v>5714</v>
      </c>
      <c r="B5720" t="s">
        <v>54</v>
      </c>
    </row>
    <row r="5721" spans="1:2" x14ac:dyDescent="0.2">
      <c r="A5721">
        <v>5715</v>
      </c>
      <c r="B5721" t="s">
        <v>54</v>
      </c>
    </row>
    <row r="5722" spans="1:2" x14ac:dyDescent="0.2">
      <c r="A5722">
        <v>5716</v>
      </c>
      <c r="B5722" t="s">
        <v>54</v>
      </c>
    </row>
    <row r="5723" spans="1:2" x14ac:dyDescent="0.2">
      <c r="A5723">
        <v>5717</v>
      </c>
      <c r="B5723" t="s">
        <v>54</v>
      </c>
    </row>
    <row r="5724" spans="1:2" x14ac:dyDescent="0.2">
      <c r="A5724">
        <v>5718</v>
      </c>
      <c r="B5724" t="s">
        <v>54</v>
      </c>
    </row>
    <row r="5725" spans="1:2" x14ac:dyDescent="0.2">
      <c r="A5725">
        <v>5719</v>
      </c>
      <c r="B5725" t="s">
        <v>54</v>
      </c>
    </row>
    <row r="5726" spans="1:2" x14ac:dyDescent="0.2">
      <c r="A5726">
        <v>5720</v>
      </c>
      <c r="B5726" t="s">
        <v>54</v>
      </c>
    </row>
    <row r="5727" spans="1:2" x14ac:dyDescent="0.2">
      <c r="A5727">
        <v>5721</v>
      </c>
      <c r="B5727" t="s">
        <v>54</v>
      </c>
    </row>
    <row r="5728" spans="1:2" x14ac:dyDescent="0.2">
      <c r="A5728">
        <v>5722</v>
      </c>
      <c r="B5728" t="s">
        <v>54</v>
      </c>
    </row>
    <row r="5729" spans="1:2" x14ac:dyDescent="0.2">
      <c r="A5729">
        <v>5723</v>
      </c>
      <c r="B5729" t="s">
        <v>54</v>
      </c>
    </row>
    <row r="5730" spans="1:2" x14ac:dyDescent="0.2">
      <c r="A5730">
        <v>5724</v>
      </c>
      <c r="B5730" t="s">
        <v>54</v>
      </c>
    </row>
    <row r="5731" spans="1:2" x14ac:dyDescent="0.2">
      <c r="A5731">
        <v>5725</v>
      </c>
      <c r="B5731" t="s">
        <v>54</v>
      </c>
    </row>
    <row r="5732" spans="1:2" x14ac:dyDescent="0.2">
      <c r="A5732">
        <v>5726</v>
      </c>
      <c r="B5732" t="s">
        <v>54</v>
      </c>
    </row>
    <row r="5733" spans="1:2" x14ac:dyDescent="0.2">
      <c r="A5733">
        <v>5727</v>
      </c>
      <c r="B5733" t="s">
        <v>54</v>
      </c>
    </row>
    <row r="5734" spans="1:2" x14ac:dyDescent="0.2">
      <c r="A5734">
        <v>5728</v>
      </c>
      <c r="B5734" t="s">
        <v>54</v>
      </c>
    </row>
    <row r="5735" spans="1:2" x14ac:dyDescent="0.2">
      <c r="A5735">
        <v>5729</v>
      </c>
      <c r="B5735" t="s">
        <v>54</v>
      </c>
    </row>
    <row r="5736" spans="1:2" x14ac:dyDescent="0.2">
      <c r="A5736">
        <v>5730</v>
      </c>
      <c r="B5736" t="s">
        <v>54</v>
      </c>
    </row>
    <row r="5737" spans="1:2" x14ac:dyDescent="0.2">
      <c r="A5737">
        <v>5731</v>
      </c>
      <c r="B5737" t="s">
        <v>54</v>
      </c>
    </row>
    <row r="5738" spans="1:2" x14ac:dyDescent="0.2">
      <c r="A5738">
        <v>5732</v>
      </c>
      <c r="B5738" t="s">
        <v>54</v>
      </c>
    </row>
    <row r="5739" spans="1:2" x14ac:dyDescent="0.2">
      <c r="A5739">
        <v>5733</v>
      </c>
      <c r="B5739" t="s">
        <v>54</v>
      </c>
    </row>
    <row r="5740" spans="1:2" x14ac:dyDescent="0.2">
      <c r="A5740">
        <v>5734</v>
      </c>
      <c r="B5740" t="s">
        <v>54</v>
      </c>
    </row>
    <row r="5741" spans="1:2" x14ac:dyDescent="0.2">
      <c r="A5741">
        <v>5735</v>
      </c>
      <c r="B5741" t="s">
        <v>54</v>
      </c>
    </row>
    <row r="5742" spans="1:2" x14ac:dyDescent="0.2">
      <c r="A5742">
        <v>5736</v>
      </c>
      <c r="B5742" t="s">
        <v>54</v>
      </c>
    </row>
    <row r="5743" spans="1:2" x14ac:dyDescent="0.2">
      <c r="A5743">
        <v>5737</v>
      </c>
      <c r="B5743" t="s">
        <v>54</v>
      </c>
    </row>
    <row r="5744" spans="1:2" x14ac:dyDescent="0.2">
      <c r="A5744">
        <v>5738</v>
      </c>
      <c r="B5744" t="s">
        <v>54</v>
      </c>
    </row>
    <row r="5745" spans="1:2" x14ac:dyDescent="0.2">
      <c r="A5745">
        <v>5739</v>
      </c>
      <c r="B5745" t="s">
        <v>54</v>
      </c>
    </row>
    <row r="5746" spans="1:2" x14ac:dyDescent="0.2">
      <c r="A5746">
        <v>5740</v>
      </c>
      <c r="B5746" t="s">
        <v>54</v>
      </c>
    </row>
    <row r="5747" spans="1:2" x14ac:dyDescent="0.2">
      <c r="A5747">
        <v>5741</v>
      </c>
      <c r="B5747" t="s">
        <v>54</v>
      </c>
    </row>
    <row r="5748" spans="1:2" x14ac:dyDescent="0.2">
      <c r="A5748">
        <v>5742</v>
      </c>
      <c r="B5748" t="s">
        <v>54</v>
      </c>
    </row>
    <row r="5749" spans="1:2" x14ac:dyDescent="0.2">
      <c r="A5749">
        <v>5743</v>
      </c>
      <c r="B5749" t="s">
        <v>54</v>
      </c>
    </row>
    <row r="5750" spans="1:2" x14ac:dyDescent="0.2">
      <c r="A5750">
        <v>5744</v>
      </c>
      <c r="B5750" t="s">
        <v>54</v>
      </c>
    </row>
    <row r="5751" spans="1:2" x14ac:dyDescent="0.2">
      <c r="A5751">
        <v>5745</v>
      </c>
      <c r="B5751" t="s">
        <v>54</v>
      </c>
    </row>
    <row r="5752" spans="1:2" x14ac:dyDescent="0.2">
      <c r="A5752">
        <v>5746</v>
      </c>
      <c r="B5752" t="s">
        <v>54</v>
      </c>
    </row>
    <row r="5753" spans="1:2" x14ac:dyDescent="0.2">
      <c r="A5753">
        <v>5747</v>
      </c>
      <c r="B5753" t="s">
        <v>54</v>
      </c>
    </row>
    <row r="5754" spans="1:2" x14ac:dyDescent="0.2">
      <c r="A5754">
        <v>5748</v>
      </c>
      <c r="B5754" t="s">
        <v>54</v>
      </c>
    </row>
    <row r="5755" spans="1:2" x14ac:dyDescent="0.2">
      <c r="A5755">
        <v>5749</v>
      </c>
      <c r="B5755" t="s">
        <v>54</v>
      </c>
    </row>
    <row r="5756" spans="1:2" x14ac:dyDescent="0.2">
      <c r="A5756">
        <v>5750</v>
      </c>
      <c r="B5756" t="s">
        <v>54</v>
      </c>
    </row>
    <row r="5757" spans="1:2" x14ac:dyDescent="0.2">
      <c r="A5757">
        <v>5751</v>
      </c>
      <c r="B5757" t="s">
        <v>54</v>
      </c>
    </row>
    <row r="5758" spans="1:2" x14ac:dyDescent="0.2">
      <c r="A5758">
        <v>5752</v>
      </c>
      <c r="B5758" t="s">
        <v>54</v>
      </c>
    </row>
    <row r="5759" spans="1:2" x14ac:dyDescent="0.2">
      <c r="A5759">
        <v>5753</v>
      </c>
      <c r="B5759" t="s">
        <v>54</v>
      </c>
    </row>
    <row r="5760" spans="1:2" x14ac:dyDescent="0.2">
      <c r="A5760">
        <v>5754</v>
      </c>
      <c r="B5760" t="s">
        <v>54</v>
      </c>
    </row>
    <row r="5761" spans="1:2" x14ac:dyDescent="0.2">
      <c r="A5761">
        <v>5755</v>
      </c>
      <c r="B5761" t="s">
        <v>54</v>
      </c>
    </row>
    <row r="5762" spans="1:2" x14ac:dyDescent="0.2">
      <c r="A5762">
        <v>5756</v>
      </c>
      <c r="B5762" t="s">
        <v>54</v>
      </c>
    </row>
    <row r="5763" spans="1:2" x14ac:dyDescent="0.2">
      <c r="A5763">
        <v>5757</v>
      </c>
      <c r="B5763" t="s">
        <v>54</v>
      </c>
    </row>
    <row r="5764" spans="1:2" x14ac:dyDescent="0.2">
      <c r="A5764">
        <v>5758</v>
      </c>
      <c r="B5764" t="s">
        <v>54</v>
      </c>
    </row>
    <row r="5765" spans="1:2" x14ac:dyDescent="0.2">
      <c r="A5765">
        <v>5759</v>
      </c>
      <c r="B5765" t="s">
        <v>54</v>
      </c>
    </row>
    <row r="5766" spans="1:2" x14ac:dyDescent="0.2">
      <c r="A5766">
        <v>5760</v>
      </c>
      <c r="B5766" t="s">
        <v>54</v>
      </c>
    </row>
    <row r="5767" spans="1:2" x14ac:dyDescent="0.2">
      <c r="A5767">
        <v>5761</v>
      </c>
      <c r="B5767" t="s">
        <v>54</v>
      </c>
    </row>
    <row r="5768" spans="1:2" x14ac:dyDescent="0.2">
      <c r="A5768">
        <v>5762</v>
      </c>
      <c r="B5768" t="s">
        <v>54</v>
      </c>
    </row>
    <row r="5769" spans="1:2" x14ac:dyDescent="0.2">
      <c r="A5769">
        <v>5763</v>
      </c>
      <c r="B5769" t="s">
        <v>54</v>
      </c>
    </row>
    <row r="5770" spans="1:2" x14ac:dyDescent="0.2">
      <c r="A5770">
        <v>5764</v>
      </c>
      <c r="B5770" t="s">
        <v>54</v>
      </c>
    </row>
    <row r="5771" spans="1:2" x14ac:dyDescent="0.2">
      <c r="A5771">
        <v>5765</v>
      </c>
      <c r="B5771" t="s">
        <v>54</v>
      </c>
    </row>
    <row r="5772" spans="1:2" x14ac:dyDescent="0.2">
      <c r="A5772">
        <v>5766</v>
      </c>
      <c r="B5772" t="s">
        <v>54</v>
      </c>
    </row>
    <row r="5773" spans="1:2" x14ac:dyDescent="0.2">
      <c r="A5773">
        <v>5767</v>
      </c>
      <c r="B5773" t="s">
        <v>54</v>
      </c>
    </row>
    <row r="5774" spans="1:2" x14ac:dyDescent="0.2">
      <c r="A5774">
        <v>5768</v>
      </c>
      <c r="B5774" t="s">
        <v>54</v>
      </c>
    </row>
    <row r="5775" spans="1:2" x14ac:dyDescent="0.2">
      <c r="A5775">
        <v>5769</v>
      </c>
      <c r="B5775" t="s">
        <v>54</v>
      </c>
    </row>
    <row r="5776" spans="1:2" x14ac:dyDescent="0.2">
      <c r="A5776">
        <v>5770</v>
      </c>
      <c r="B5776" t="s">
        <v>54</v>
      </c>
    </row>
    <row r="5777" spans="1:2" x14ac:dyDescent="0.2">
      <c r="A5777">
        <v>5771</v>
      </c>
      <c r="B5777" t="s">
        <v>54</v>
      </c>
    </row>
    <row r="5778" spans="1:2" x14ac:dyDescent="0.2">
      <c r="A5778">
        <v>5772</v>
      </c>
      <c r="B5778" t="s">
        <v>54</v>
      </c>
    </row>
    <row r="5779" spans="1:2" x14ac:dyDescent="0.2">
      <c r="A5779">
        <v>5773</v>
      </c>
      <c r="B5779" t="s">
        <v>54</v>
      </c>
    </row>
    <row r="5780" spans="1:2" x14ac:dyDescent="0.2">
      <c r="A5780">
        <v>5774</v>
      </c>
      <c r="B5780" t="s">
        <v>54</v>
      </c>
    </row>
    <row r="5781" spans="1:2" x14ac:dyDescent="0.2">
      <c r="A5781">
        <v>5775</v>
      </c>
      <c r="B5781" t="s">
        <v>54</v>
      </c>
    </row>
    <row r="5782" spans="1:2" x14ac:dyDescent="0.2">
      <c r="A5782">
        <v>5776</v>
      </c>
      <c r="B5782" t="s">
        <v>54</v>
      </c>
    </row>
    <row r="5783" spans="1:2" x14ac:dyDescent="0.2">
      <c r="A5783">
        <v>5777</v>
      </c>
      <c r="B5783" t="s">
        <v>54</v>
      </c>
    </row>
    <row r="5784" spans="1:2" x14ac:dyDescent="0.2">
      <c r="A5784">
        <v>5778</v>
      </c>
      <c r="B5784" t="s">
        <v>54</v>
      </c>
    </row>
    <row r="5785" spans="1:2" x14ac:dyDescent="0.2">
      <c r="A5785">
        <v>5779</v>
      </c>
      <c r="B5785" t="s">
        <v>54</v>
      </c>
    </row>
    <row r="5786" spans="1:2" x14ac:dyDescent="0.2">
      <c r="A5786">
        <v>5780</v>
      </c>
      <c r="B5786" t="s">
        <v>54</v>
      </c>
    </row>
    <row r="5787" spans="1:2" x14ac:dyDescent="0.2">
      <c r="A5787">
        <v>5781</v>
      </c>
      <c r="B5787" t="s">
        <v>54</v>
      </c>
    </row>
    <row r="5788" spans="1:2" x14ac:dyDescent="0.2">
      <c r="A5788">
        <v>5782</v>
      </c>
      <c r="B5788" t="s">
        <v>54</v>
      </c>
    </row>
    <row r="5789" spans="1:2" x14ac:dyDescent="0.2">
      <c r="A5789">
        <v>5783</v>
      </c>
      <c r="B5789" t="s">
        <v>54</v>
      </c>
    </row>
    <row r="5790" spans="1:2" x14ac:dyDescent="0.2">
      <c r="A5790">
        <v>5784</v>
      </c>
      <c r="B5790" t="s">
        <v>54</v>
      </c>
    </row>
    <row r="5791" spans="1:2" x14ac:dyDescent="0.2">
      <c r="A5791">
        <v>5785</v>
      </c>
      <c r="B5791" t="s">
        <v>54</v>
      </c>
    </row>
    <row r="5792" spans="1:2" x14ac:dyDescent="0.2">
      <c r="A5792">
        <v>5786</v>
      </c>
      <c r="B5792" t="s">
        <v>54</v>
      </c>
    </row>
    <row r="5793" spans="1:2" x14ac:dyDescent="0.2">
      <c r="A5793">
        <v>5787</v>
      </c>
      <c r="B5793" t="s">
        <v>54</v>
      </c>
    </row>
    <row r="5794" spans="1:2" x14ac:dyDescent="0.2">
      <c r="A5794">
        <v>5788</v>
      </c>
      <c r="B5794" t="s">
        <v>54</v>
      </c>
    </row>
    <row r="5795" spans="1:2" x14ac:dyDescent="0.2">
      <c r="A5795">
        <v>5789</v>
      </c>
      <c r="B5795" t="s">
        <v>54</v>
      </c>
    </row>
    <row r="5796" spans="1:2" x14ac:dyDescent="0.2">
      <c r="A5796">
        <v>5790</v>
      </c>
      <c r="B5796" t="s">
        <v>54</v>
      </c>
    </row>
    <row r="5797" spans="1:2" x14ac:dyDescent="0.2">
      <c r="A5797">
        <v>5791</v>
      </c>
      <c r="B5797" t="s">
        <v>54</v>
      </c>
    </row>
    <row r="5798" spans="1:2" x14ac:dyDescent="0.2">
      <c r="A5798">
        <v>5792</v>
      </c>
      <c r="B5798" t="s">
        <v>54</v>
      </c>
    </row>
    <row r="5799" spans="1:2" x14ac:dyDescent="0.2">
      <c r="A5799">
        <v>5793</v>
      </c>
      <c r="B5799" t="s">
        <v>54</v>
      </c>
    </row>
    <row r="5800" spans="1:2" x14ac:dyDescent="0.2">
      <c r="A5800">
        <v>5794</v>
      </c>
      <c r="B5800" t="s">
        <v>54</v>
      </c>
    </row>
    <row r="5801" spans="1:2" x14ac:dyDescent="0.2">
      <c r="A5801">
        <v>5795</v>
      </c>
      <c r="B5801" t="s">
        <v>54</v>
      </c>
    </row>
    <row r="5802" spans="1:2" x14ac:dyDescent="0.2">
      <c r="A5802">
        <v>5796</v>
      </c>
      <c r="B5802" t="s">
        <v>54</v>
      </c>
    </row>
    <row r="5803" spans="1:2" x14ac:dyDescent="0.2">
      <c r="A5803">
        <v>5797</v>
      </c>
      <c r="B5803" t="s">
        <v>54</v>
      </c>
    </row>
    <row r="5804" spans="1:2" x14ac:dyDescent="0.2">
      <c r="A5804">
        <v>5798</v>
      </c>
      <c r="B5804" t="s">
        <v>54</v>
      </c>
    </row>
    <row r="5805" spans="1:2" x14ac:dyDescent="0.2">
      <c r="A5805">
        <v>5799</v>
      </c>
      <c r="B5805" t="s">
        <v>54</v>
      </c>
    </row>
    <row r="5806" spans="1:2" x14ac:dyDescent="0.2">
      <c r="A5806">
        <v>5800</v>
      </c>
      <c r="B5806" t="s">
        <v>54</v>
      </c>
    </row>
    <row r="5807" spans="1:2" x14ac:dyDescent="0.2">
      <c r="A5807">
        <v>5801</v>
      </c>
      <c r="B5807" t="s">
        <v>54</v>
      </c>
    </row>
    <row r="5808" spans="1:2" x14ac:dyDescent="0.2">
      <c r="A5808">
        <v>5802</v>
      </c>
      <c r="B5808" t="s">
        <v>54</v>
      </c>
    </row>
    <row r="5809" spans="1:2" x14ac:dyDescent="0.2">
      <c r="A5809">
        <v>5803</v>
      </c>
      <c r="B5809" t="s">
        <v>54</v>
      </c>
    </row>
    <row r="5810" spans="1:2" x14ac:dyDescent="0.2">
      <c r="A5810">
        <v>5804</v>
      </c>
      <c r="B5810" t="s">
        <v>54</v>
      </c>
    </row>
    <row r="5811" spans="1:2" x14ac:dyDescent="0.2">
      <c r="A5811">
        <v>5805</v>
      </c>
      <c r="B5811" t="s">
        <v>54</v>
      </c>
    </row>
    <row r="5812" spans="1:2" x14ac:dyDescent="0.2">
      <c r="A5812">
        <v>5806</v>
      </c>
      <c r="B5812" t="s">
        <v>54</v>
      </c>
    </row>
    <row r="5813" spans="1:2" x14ac:dyDescent="0.2">
      <c r="A5813">
        <v>5807</v>
      </c>
      <c r="B5813" t="s">
        <v>54</v>
      </c>
    </row>
    <row r="5814" spans="1:2" x14ac:dyDescent="0.2">
      <c r="A5814">
        <v>5808</v>
      </c>
      <c r="B5814" t="s">
        <v>54</v>
      </c>
    </row>
    <row r="5815" spans="1:2" x14ac:dyDescent="0.2">
      <c r="A5815">
        <v>5809</v>
      </c>
      <c r="B5815" t="s">
        <v>54</v>
      </c>
    </row>
    <row r="5816" spans="1:2" x14ac:dyDescent="0.2">
      <c r="A5816">
        <v>5810</v>
      </c>
      <c r="B5816" t="s">
        <v>54</v>
      </c>
    </row>
    <row r="5817" spans="1:2" x14ac:dyDescent="0.2">
      <c r="A5817">
        <v>5811</v>
      </c>
      <c r="B5817" t="s">
        <v>54</v>
      </c>
    </row>
    <row r="5818" spans="1:2" x14ac:dyDescent="0.2">
      <c r="A5818">
        <v>5812</v>
      </c>
      <c r="B5818" t="s">
        <v>54</v>
      </c>
    </row>
    <row r="5819" spans="1:2" x14ac:dyDescent="0.2">
      <c r="A5819">
        <v>5813</v>
      </c>
      <c r="B5819" t="s">
        <v>54</v>
      </c>
    </row>
    <row r="5820" spans="1:2" x14ac:dyDescent="0.2">
      <c r="A5820">
        <v>5814</v>
      </c>
      <c r="B5820" t="s">
        <v>54</v>
      </c>
    </row>
    <row r="5821" spans="1:2" x14ac:dyDescent="0.2">
      <c r="A5821">
        <v>5815</v>
      </c>
      <c r="B5821" t="s">
        <v>54</v>
      </c>
    </row>
    <row r="5822" spans="1:2" x14ac:dyDescent="0.2">
      <c r="A5822">
        <v>5816</v>
      </c>
      <c r="B5822" t="s">
        <v>54</v>
      </c>
    </row>
    <row r="5823" spans="1:2" x14ac:dyDescent="0.2">
      <c r="A5823">
        <v>5817</v>
      </c>
      <c r="B5823" t="s">
        <v>54</v>
      </c>
    </row>
    <row r="5824" spans="1:2" x14ac:dyDescent="0.2">
      <c r="A5824">
        <v>5818</v>
      </c>
      <c r="B5824" t="s">
        <v>54</v>
      </c>
    </row>
    <row r="5825" spans="1:2" x14ac:dyDescent="0.2">
      <c r="A5825">
        <v>5819</v>
      </c>
      <c r="B5825" t="s">
        <v>54</v>
      </c>
    </row>
    <row r="5826" spans="1:2" x14ac:dyDescent="0.2">
      <c r="A5826">
        <v>5820</v>
      </c>
      <c r="B5826" t="s">
        <v>54</v>
      </c>
    </row>
    <row r="5827" spans="1:2" x14ac:dyDescent="0.2">
      <c r="A5827">
        <v>5821</v>
      </c>
      <c r="B5827" t="s">
        <v>54</v>
      </c>
    </row>
    <row r="5828" spans="1:2" x14ac:dyDescent="0.2">
      <c r="A5828">
        <v>5822</v>
      </c>
      <c r="B5828" t="s">
        <v>54</v>
      </c>
    </row>
    <row r="5829" spans="1:2" x14ac:dyDescent="0.2">
      <c r="A5829">
        <v>5823</v>
      </c>
      <c r="B5829" t="s">
        <v>54</v>
      </c>
    </row>
    <row r="5830" spans="1:2" x14ac:dyDescent="0.2">
      <c r="A5830">
        <v>5824</v>
      </c>
      <c r="B5830" t="s">
        <v>54</v>
      </c>
    </row>
    <row r="5831" spans="1:2" x14ac:dyDescent="0.2">
      <c r="A5831">
        <v>5825</v>
      </c>
      <c r="B5831" t="s">
        <v>54</v>
      </c>
    </row>
    <row r="5832" spans="1:2" x14ac:dyDescent="0.2">
      <c r="A5832">
        <v>5826</v>
      </c>
      <c r="B5832" t="s">
        <v>54</v>
      </c>
    </row>
    <row r="5833" spans="1:2" x14ac:dyDescent="0.2">
      <c r="A5833">
        <v>5827</v>
      </c>
      <c r="B5833" t="s">
        <v>54</v>
      </c>
    </row>
    <row r="5834" spans="1:2" x14ac:dyDescent="0.2">
      <c r="A5834">
        <v>5828</v>
      </c>
      <c r="B5834" t="s">
        <v>54</v>
      </c>
    </row>
    <row r="5835" spans="1:2" x14ac:dyDescent="0.2">
      <c r="A5835">
        <v>5829</v>
      </c>
      <c r="B5835" t="s">
        <v>54</v>
      </c>
    </row>
    <row r="5836" spans="1:2" x14ac:dyDescent="0.2">
      <c r="A5836">
        <v>5830</v>
      </c>
      <c r="B5836" t="s">
        <v>54</v>
      </c>
    </row>
    <row r="5837" spans="1:2" x14ac:dyDescent="0.2">
      <c r="A5837">
        <v>5831</v>
      </c>
      <c r="B5837" t="s">
        <v>54</v>
      </c>
    </row>
    <row r="5838" spans="1:2" x14ac:dyDescent="0.2">
      <c r="A5838">
        <v>5832</v>
      </c>
      <c r="B5838" t="s">
        <v>54</v>
      </c>
    </row>
    <row r="5839" spans="1:2" x14ac:dyDescent="0.2">
      <c r="A5839">
        <v>5833</v>
      </c>
      <c r="B5839" t="s">
        <v>54</v>
      </c>
    </row>
    <row r="5840" spans="1:2" x14ac:dyDescent="0.2">
      <c r="A5840">
        <v>5834</v>
      </c>
      <c r="B5840" t="s">
        <v>54</v>
      </c>
    </row>
    <row r="5841" spans="1:2" x14ac:dyDescent="0.2">
      <c r="A5841">
        <v>5835</v>
      </c>
      <c r="B5841" t="s">
        <v>54</v>
      </c>
    </row>
    <row r="5842" spans="1:2" x14ac:dyDescent="0.2">
      <c r="A5842">
        <v>5836</v>
      </c>
      <c r="B5842" t="s">
        <v>54</v>
      </c>
    </row>
    <row r="5843" spans="1:2" x14ac:dyDescent="0.2">
      <c r="A5843">
        <v>5837</v>
      </c>
      <c r="B5843" t="s">
        <v>54</v>
      </c>
    </row>
    <row r="5844" spans="1:2" x14ac:dyDescent="0.2">
      <c r="A5844">
        <v>5838</v>
      </c>
      <c r="B5844" t="s">
        <v>54</v>
      </c>
    </row>
    <row r="5845" spans="1:2" x14ac:dyDescent="0.2">
      <c r="A5845">
        <v>5839</v>
      </c>
      <c r="B5845" t="s">
        <v>54</v>
      </c>
    </row>
    <row r="5846" spans="1:2" x14ac:dyDescent="0.2">
      <c r="A5846">
        <v>5840</v>
      </c>
      <c r="B5846" t="s">
        <v>54</v>
      </c>
    </row>
    <row r="5847" spans="1:2" x14ac:dyDescent="0.2">
      <c r="A5847">
        <v>5841</v>
      </c>
      <c r="B5847" t="s">
        <v>54</v>
      </c>
    </row>
    <row r="5848" spans="1:2" x14ac:dyDescent="0.2">
      <c r="A5848">
        <v>5842</v>
      </c>
      <c r="B5848" t="s">
        <v>54</v>
      </c>
    </row>
    <row r="5849" spans="1:2" x14ac:dyDescent="0.2">
      <c r="A5849">
        <v>5843</v>
      </c>
      <c r="B5849" t="s">
        <v>54</v>
      </c>
    </row>
    <row r="5850" spans="1:2" x14ac:dyDescent="0.2">
      <c r="A5850">
        <v>5844</v>
      </c>
      <c r="B5850" t="s">
        <v>54</v>
      </c>
    </row>
    <row r="5851" spans="1:2" x14ac:dyDescent="0.2">
      <c r="A5851">
        <v>5845</v>
      </c>
      <c r="B5851" t="s">
        <v>54</v>
      </c>
    </row>
    <row r="5852" spans="1:2" x14ac:dyDescent="0.2">
      <c r="A5852">
        <v>5846</v>
      </c>
      <c r="B5852" t="s">
        <v>54</v>
      </c>
    </row>
    <row r="5853" spans="1:2" x14ac:dyDescent="0.2">
      <c r="A5853">
        <v>5847</v>
      </c>
      <c r="B5853" t="s">
        <v>54</v>
      </c>
    </row>
    <row r="5854" spans="1:2" x14ac:dyDescent="0.2">
      <c r="A5854">
        <v>5848</v>
      </c>
      <c r="B5854" t="s">
        <v>54</v>
      </c>
    </row>
    <row r="5855" spans="1:2" x14ac:dyDescent="0.2">
      <c r="A5855">
        <v>5849</v>
      </c>
      <c r="B5855" t="s">
        <v>54</v>
      </c>
    </row>
    <row r="5856" spans="1:2" x14ac:dyDescent="0.2">
      <c r="A5856">
        <v>5850</v>
      </c>
      <c r="B5856" t="s">
        <v>54</v>
      </c>
    </row>
    <row r="5857" spans="1:2" x14ac:dyDescent="0.2">
      <c r="A5857">
        <v>5851</v>
      </c>
      <c r="B5857" t="s">
        <v>54</v>
      </c>
    </row>
    <row r="5858" spans="1:2" x14ac:dyDescent="0.2">
      <c r="A5858">
        <v>5852</v>
      </c>
      <c r="B5858" t="s">
        <v>54</v>
      </c>
    </row>
    <row r="5859" spans="1:2" x14ac:dyDescent="0.2">
      <c r="A5859">
        <v>5853</v>
      </c>
      <c r="B5859" t="s">
        <v>54</v>
      </c>
    </row>
    <row r="5860" spans="1:2" x14ac:dyDescent="0.2">
      <c r="A5860">
        <v>5854</v>
      </c>
      <c r="B5860" t="s">
        <v>54</v>
      </c>
    </row>
    <row r="5861" spans="1:2" x14ac:dyDescent="0.2">
      <c r="A5861">
        <v>5855</v>
      </c>
      <c r="B5861" t="s">
        <v>54</v>
      </c>
    </row>
    <row r="5862" spans="1:2" x14ac:dyDescent="0.2">
      <c r="A5862">
        <v>5856</v>
      </c>
      <c r="B5862" t="s">
        <v>54</v>
      </c>
    </row>
    <row r="5863" spans="1:2" x14ac:dyDescent="0.2">
      <c r="A5863">
        <v>5857</v>
      </c>
      <c r="B5863" t="s">
        <v>54</v>
      </c>
    </row>
    <row r="5864" spans="1:2" x14ac:dyDescent="0.2">
      <c r="A5864">
        <v>5858</v>
      </c>
      <c r="B5864" t="s">
        <v>54</v>
      </c>
    </row>
    <row r="5865" spans="1:2" x14ac:dyDescent="0.2">
      <c r="A5865">
        <v>5859</v>
      </c>
      <c r="B5865" t="s">
        <v>54</v>
      </c>
    </row>
    <row r="5866" spans="1:2" x14ac:dyDescent="0.2">
      <c r="A5866">
        <v>5860</v>
      </c>
      <c r="B5866" t="s">
        <v>54</v>
      </c>
    </row>
    <row r="5867" spans="1:2" x14ac:dyDescent="0.2">
      <c r="A5867">
        <v>5861</v>
      </c>
      <c r="B5867" t="s">
        <v>54</v>
      </c>
    </row>
    <row r="5868" spans="1:2" x14ac:dyDescent="0.2">
      <c r="A5868">
        <v>5862</v>
      </c>
      <c r="B5868" t="s">
        <v>54</v>
      </c>
    </row>
    <row r="5869" spans="1:2" x14ac:dyDescent="0.2">
      <c r="A5869">
        <v>5863</v>
      </c>
      <c r="B5869" t="s">
        <v>54</v>
      </c>
    </row>
    <row r="5870" spans="1:2" x14ac:dyDescent="0.2">
      <c r="A5870">
        <v>5864</v>
      </c>
      <c r="B5870" t="s">
        <v>54</v>
      </c>
    </row>
    <row r="5871" spans="1:2" x14ac:dyDescent="0.2">
      <c r="A5871">
        <v>5865</v>
      </c>
      <c r="B5871" t="s">
        <v>54</v>
      </c>
    </row>
    <row r="5872" spans="1:2" x14ac:dyDescent="0.2">
      <c r="A5872">
        <v>5866</v>
      </c>
      <c r="B5872" t="s">
        <v>54</v>
      </c>
    </row>
    <row r="5873" spans="1:2" x14ac:dyDescent="0.2">
      <c r="A5873">
        <v>5867</v>
      </c>
      <c r="B5873" t="s">
        <v>54</v>
      </c>
    </row>
    <row r="5874" spans="1:2" x14ac:dyDescent="0.2">
      <c r="A5874">
        <v>5868</v>
      </c>
      <c r="B5874" t="s">
        <v>54</v>
      </c>
    </row>
    <row r="5875" spans="1:2" x14ac:dyDescent="0.2">
      <c r="A5875">
        <v>5869</v>
      </c>
      <c r="B5875" t="s">
        <v>54</v>
      </c>
    </row>
    <row r="5876" spans="1:2" x14ac:dyDescent="0.2">
      <c r="A5876">
        <v>5870</v>
      </c>
      <c r="B5876" t="s">
        <v>54</v>
      </c>
    </row>
    <row r="5877" spans="1:2" x14ac:dyDescent="0.2">
      <c r="A5877">
        <v>5871</v>
      </c>
      <c r="B5877" t="s">
        <v>54</v>
      </c>
    </row>
    <row r="5878" spans="1:2" x14ac:dyDescent="0.2">
      <c r="A5878">
        <v>5872</v>
      </c>
      <c r="B5878" t="s">
        <v>54</v>
      </c>
    </row>
    <row r="5879" spans="1:2" x14ac:dyDescent="0.2">
      <c r="A5879">
        <v>5873</v>
      </c>
      <c r="B5879" t="s">
        <v>54</v>
      </c>
    </row>
    <row r="5880" spans="1:2" x14ac:dyDescent="0.2">
      <c r="A5880">
        <v>5874</v>
      </c>
      <c r="B5880" t="s">
        <v>54</v>
      </c>
    </row>
    <row r="5881" spans="1:2" x14ac:dyDescent="0.2">
      <c r="A5881">
        <v>5875</v>
      </c>
      <c r="B5881" t="s">
        <v>54</v>
      </c>
    </row>
    <row r="5882" spans="1:2" x14ac:dyDescent="0.2">
      <c r="A5882">
        <v>5876</v>
      </c>
      <c r="B5882" t="s">
        <v>54</v>
      </c>
    </row>
    <row r="5883" spans="1:2" x14ac:dyDescent="0.2">
      <c r="A5883">
        <v>5877</v>
      </c>
      <c r="B5883" t="s">
        <v>54</v>
      </c>
    </row>
    <row r="5884" spans="1:2" x14ac:dyDescent="0.2">
      <c r="A5884">
        <v>5878</v>
      </c>
      <c r="B5884" t="s">
        <v>54</v>
      </c>
    </row>
    <row r="5885" spans="1:2" x14ac:dyDescent="0.2">
      <c r="A5885">
        <v>5879</v>
      </c>
      <c r="B5885" t="s">
        <v>54</v>
      </c>
    </row>
    <row r="5886" spans="1:2" x14ac:dyDescent="0.2">
      <c r="A5886">
        <v>5880</v>
      </c>
      <c r="B5886" t="s">
        <v>54</v>
      </c>
    </row>
    <row r="5887" spans="1:2" x14ac:dyDescent="0.2">
      <c r="A5887">
        <v>5881</v>
      </c>
      <c r="B5887" t="s">
        <v>54</v>
      </c>
    </row>
    <row r="5888" spans="1:2" x14ac:dyDescent="0.2">
      <c r="A5888">
        <v>5882</v>
      </c>
      <c r="B5888" t="s">
        <v>54</v>
      </c>
    </row>
    <row r="5889" spans="1:2" x14ac:dyDescent="0.2">
      <c r="A5889">
        <v>5883</v>
      </c>
      <c r="B5889" t="s">
        <v>54</v>
      </c>
    </row>
    <row r="5890" spans="1:2" x14ac:dyDescent="0.2">
      <c r="A5890">
        <v>5884</v>
      </c>
      <c r="B5890" t="s">
        <v>54</v>
      </c>
    </row>
    <row r="5891" spans="1:2" x14ac:dyDescent="0.2">
      <c r="A5891">
        <v>5885</v>
      </c>
      <c r="B5891" t="s">
        <v>54</v>
      </c>
    </row>
    <row r="5892" spans="1:2" x14ac:dyDescent="0.2">
      <c r="A5892">
        <v>5886</v>
      </c>
      <c r="B5892" t="s">
        <v>54</v>
      </c>
    </row>
    <row r="5893" spans="1:2" x14ac:dyDescent="0.2">
      <c r="A5893">
        <v>5887</v>
      </c>
      <c r="B5893" t="s">
        <v>54</v>
      </c>
    </row>
    <row r="5894" spans="1:2" x14ac:dyDescent="0.2">
      <c r="A5894">
        <v>5888</v>
      </c>
      <c r="B5894" t="s">
        <v>54</v>
      </c>
    </row>
    <row r="5895" spans="1:2" x14ac:dyDescent="0.2">
      <c r="A5895">
        <v>5889</v>
      </c>
      <c r="B5895" t="s">
        <v>54</v>
      </c>
    </row>
    <row r="5896" spans="1:2" x14ac:dyDescent="0.2">
      <c r="A5896">
        <v>5890</v>
      </c>
      <c r="B5896" t="s">
        <v>54</v>
      </c>
    </row>
    <row r="5897" spans="1:2" x14ac:dyDescent="0.2">
      <c r="A5897">
        <v>5891</v>
      </c>
      <c r="B5897" t="s">
        <v>54</v>
      </c>
    </row>
    <row r="5898" spans="1:2" x14ac:dyDescent="0.2">
      <c r="A5898">
        <v>5892</v>
      </c>
      <c r="B5898" t="s">
        <v>54</v>
      </c>
    </row>
    <row r="5899" spans="1:2" x14ac:dyDescent="0.2">
      <c r="A5899">
        <v>5893</v>
      </c>
      <c r="B5899" t="s">
        <v>54</v>
      </c>
    </row>
    <row r="5900" spans="1:2" x14ac:dyDescent="0.2">
      <c r="A5900">
        <v>5894</v>
      </c>
      <c r="B5900" t="s">
        <v>54</v>
      </c>
    </row>
    <row r="5901" spans="1:2" x14ac:dyDescent="0.2">
      <c r="A5901">
        <v>5895</v>
      </c>
      <c r="B5901" t="s">
        <v>54</v>
      </c>
    </row>
    <row r="5902" spans="1:2" x14ac:dyDescent="0.2">
      <c r="A5902">
        <v>5896</v>
      </c>
      <c r="B5902" t="s">
        <v>54</v>
      </c>
    </row>
    <row r="5903" spans="1:2" x14ac:dyDescent="0.2">
      <c r="A5903">
        <v>5897</v>
      </c>
      <c r="B5903" t="s">
        <v>54</v>
      </c>
    </row>
    <row r="5904" spans="1:2" x14ac:dyDescent="0.2">
      <c r="A5904">
        <v>5898</v>
      </c>
      <c r="B5904" t="s">
        <v>54</v>
      </c>
    </row>
    <row r="5905" spans="1:2" x14ac:dyDescent="0.2">
      <c r="A5905">
        <v>5899</v>
      </c>
      <c r="B5905" t="s">
        <v>54</v>
      </c>
    </row>
    <row r="5906" spans="1:2" x14ac:dyDescent="0.2">
      <c r="A5906">
        <v>5900</v>
      </c>
      <c r="B5906" t="s">
        <v>54</v>
      </c>
    </row>
    <row r="5907" spans="1:2" x14ac:dyDescent="0.2">
      <c r="A5907">
        <v>5901</v>
      </c>
      <c r="B5907" t="s">
        <v>54</v>
      </c>
    </row>
    <row r="5908" spans="1:2" x14ac:dyDescent="0.2">
      <c r="A5908">
        <v>5902</v>
      </c>
      <c r="B5908" t="s">
        <v>54</v>
      </c>
    </row>
    <row r="5909" spans="1:2" x14ac:dyDescent="0.2">
      <c r="A5909">
        <v>5903</v>
      </c>
      <c r="B5909" t="s">
        <v>54</v>
      </c>
    </row>
    <row r="5910" spans="1:2" x14ac:dyDescent="0.2">
      <c r="A5910">
        <v>5904</v>
      </c>
      <c r="B5910" t="s">
        <v>54</v>
      </c>
    </row>
    <row r="5911" spans="1:2" x14ac:dyDescent="0.2">
      <c r="A5911">
        <v>5905</v>
      </c>
      <c r="B5911" t="s">
        <v>54</v>
      </c>
    </row>
    <row r="5912" spans="1:2" x14ac:dyDescent="0.2">
      <c r="A5912">
        <v>5906</v>
      </c>
      <c r="B5912" t="s">
        <v>54</v>
      </c>
    </row>
    <row r="5913" spans="1:2" x14ac:dyDescent="0.2">
      <c r="A5913">
        <v>5907</v>
      </c>
      <c r="B5913" t="s">
        <v>54</v>
      </c>
    </row>
    <row r="5914" spans="1:2" x14ac:dyDescent="0.2">
      <c r="A5914">
        <v>5908</v>
      </c>
      <c r="B5914" t="s">
        <v>54</v>
      </c>
    </row>
    <row r="5915" spans="1:2" x14ac:dyDescent="0.2">
      <c r="A5915">
        <v>5909</v>
      </c>
      <c r="B5915" t="s">
        <v>54</v>
      </c>
    </row>
    <row r="5916" spans="1:2" x14ac:dyDescent="0.2">
      <c r="A5916">
        <v>5910</v>
      </c>
      <c r="B5916" t="s">
        <v>54</v>
      </c>
    </row>
    <row r="5917" spans="1:2" x14ac:dyDescent="0.2">
      <c r="A5917">
        <v>5911</v>
      </c>
      <c r="B5917" t="s">
        <v>54</v>
      </c>
    </row>
    <row r="5918" spans="1:2" x14ac:dyDescent="0.2">
      <c r="A5918">
        <v>5912</v>
      </c>
      <c r="B5918" t="s">
        <v>54</v>
      </c>
    </row>
    <row r="5919" spans="1:2" x14ac:dyDescent="0.2">
      <c r="A5919">
        <v>5913</v>
      </c>
      <c r="B5919" t="s">
        <v>54</v>
      </c>
    </row>
    <row r="5920" spans="1:2" x14ac:dyDescent="0.2">
      <c r="A5920">
        <v>5914</v>
      </c>
      <c r="B5920" t="s">
        <v>54</v>
      </c>
    </row>
    <row r="5921" spans="1:2" x14ac:dyDescent="0.2">
      <c r="A5921">
        <v>5915</v>
      </c>
      <c r="B5921" t="s">
        <v>54</v>
      </c>
    </row>
    <row r="5922" spans="1:2" x14ac:dyDescent="0.2">
      <c r="A5922">
        <v>5916</v>
      </c>
      <c r="B5922" t="s">
        <v>54</v>
      </c>
    </row>
    <row r="5923" spans="1:2" x14ac:dyDescent="0.2">
      <c r="A5923">
        <v>5917</v>
      </c>
      <c r="B5923" t="s">
        <v>54</v>
      </c>
    </row>
    <row r="5924" spans="1:2" x14ac:dyDescent="0.2">
      <c r="A5924">
        <v>5918</v>
      </c>
      <c r="B5924" t="s">
        <v>54</v>
      </c>
    </row>
    <row r="5925" spans="1:2" x14ac:dyDescent="0.2">
      <c r="A5925">
        <v>5919</v>
      </c>
      <c r="B5925" t="s">
        <v>54</v>
      </c>
    </row>
    <row r="5926" spans="1:2" x14ac:dyDescent="0.2">
      <c r="A5926">
        <v>5920</v>
      </c>
      <c r="B5926" t="s">
        <v>54</v>
      </c>
    </row>
    <row r="5927" spans="1:2" x14ac:dyDescent="0.2">
      <c r="A5927">
        <v>5921</v>
      </c>
      <c r="B5927" t="s">
        <v>54</v>
      </c>
    </row>
    <row r="5928" spans="1:2" x14ac:dyDescent="0.2">
      <c r="A5928">
        <v>5922</v>
      </c>
      <c r="B5928" t="s">
        <v>54</v>
      </c>
    </row>
    <row r="5929" spans="1:2" x14ac:dyDescent="0.2">
      <c r="A5929">
        <v>5923</v>
      </c>
      <c r="B5929" t="s">
        <v>54</v>
      </c>
    </row>
    <row r="5930" spans="1:2" x14ac:dyDescent="0.2">
      <c r="A5930">
        <v>5924</v>
      </c>
      <c r="B5930" t="s">
        <v>54</v>
      </c>
    </row>
    <row r="5931" spans="1:2" x14ac:dyDescent="0.2">
      <c r="A5931">
        <v>5925</v>
      </c>
      <c r="B5931" t="s">
        <v>54</v>
      </c>
    </row>
    <row r="5932" spans="1:2" x14ac:dyDescent="0.2">
      <c r="A5932">
        <v>5926</v>
      </c>
      <c r="B5932" t="s">
        <v>54</v>
      </c>
    </row>
    <row r="5933" spans="1:2" x14ac:dyDescent="0.2">
      <c r="A5933">
        <v>5927</v>
      </c>
      <c r="B5933" t="s">
        <v>54</v>
      </c>
    </row>
    <row r="5934" spans="1:2" x14ac:dyDescent="0.2">
      <c r="A5934">
        <v>5928</v>
      </c>
      <c r="B5934" t="s">
        <v>54</v>
      </c>
    </row>
    <row r="5935" spans="1:2" x14ac:dyDescent="0.2">
      <c r="A5935">
        <v>5929</v>
      </c>
      <c r="B5935" t="s">
        <v>54</v>
      </c>
    </row>
    <row r="5936" spans="1:2" x14ac:dyDescent="0.2">
      <c r="A5936">
        <v>5930</v>
      </c>
      <c r="B5936" t="s">
        <v>54</v>
      </c>
    </row>
    <row r="5937" spans="1:2" x14ac:dyDescent="0.2">
      <c r="A5937">
        <v>5931</v>
      </c>
      <c r="B5937" t="s">
        <v>54</v>
      </c>
    </row>
    <row r="5938" spans="1:2" x14ac:dyDescent="0.2">
      <c r="A5938">
        <v>5932</v>
      </c>
      <c r="B5938" t="s">
        <v>54</v>
      </c>
    </row>
    <row r="5939" spans="1:2" x14ac:dyDescent="0.2">
      <c r="A5939">
        <v>5933</v>
      </c>
      <c r="B5939" t="s">
        <v>54</v>
      </c>
    </row>
    <row r="5940" spans="1:2" x14ac:dyDescent="0.2">
      <c r="A5940">
        <v>5934</v>
      </c>
      <c r="B5940" t="s">
        <v>54</v>
      </c>
    </row>
    <row r="5941" spans="1:2" x14ac:dyDescent="0.2">
      <c r="A5941">
        <v>5935</v>
      </c>
      <c r="B5941" t="s">
        <v>54</v>
      </c>
    </row>
    <row r="5942" spans="1:2" x14ac:dyDescent="0.2">
      <c r="A5942">
        <v>5936</v>
      </c>
      <c r="B5942" t="s">
        <v>54</v>
      </c>
    </row>
    <row r="5943" spans="1:2" x14ac:dyDescent="0.2">
      <c r="A5943">
        <v>5937</v>
      </c>
      <c r="B5943" t="s">
        <v>54</v>
      </c>
    </row>
    <row r="5944" spans="1:2" x14ac:dyDescent="0.2">
      <c r="A5944">
        <v>5938</v>
      </c>
      <c r="B5944" t="s">
        <v>54</v>
      </c>
    </row>
    <row r="5945" spans="1:2" x14ac:dyDescent="0.2">
      <c r="A5945">
        <v>5939</v>
      </c>
      <c r="B5945" t="s">
        <v>54</v>
      </c>
    </row>
    <row r="5946" spans="1:2" x14ac:dyDescent="0.2">
      <c r="A5946">
        <v>5940</v>
      </c>
      <c r="B5946" t="s">
        <v>54</v>
      </c>
    </row>
    <row r="5947" spans="1:2" x14ac:dyDescent="0.2">
      <c r="A5947">
        <v>5941</v>
      </c>
      <c r="B5947" t="s">
        <v>54</v>
      </c>
    </row>
    <row r="5948" spans="1:2" x14ac:dyDescent="0.2">
      <c r="A5948">
        <v>5942</v>
      </c>
      <c r="B5948" t="s">
        <v>54</v>
      </c>
    </row>
    <row r="5949" spans="1:2" x14ac:dyDescent="0.2">
      <c r="A5949">
        <v>5943</v>
      </c>
      <c r="B5949" t="s">
        <v>54</v>
      </c>
    </row>
    <row r="5950" spans="1:2" x14ac:dyDescent="0.2">
      <c r="A5950">
        <v>5944</v>
      </c>
      <c r="B5950" t="s">
        <v>54</v>
      </c>
    </row>
    <row r="5951" spans="1:2" x14ac:dyDescent="0.2">
      <c r="A5951">
        <v>5945</v>
      </c>
      <c r="B5951" t="s">
        <v>54</v>
      </c>
    </row>
    <row r="5952" spans="1:2" x14ac:dyDescent="0.2">
      <c r="A5952">
        <v>5946</v>
      </c>
      <c r="B5952" t="s">
        <v>54</v>
      </c>
    </row>
    <row r="5953" spans="1:2" x14ac:dyDescent="0.2">
      <c r="A5953">
        <v>5947</v>
      </c>
      <c r="B5953" t="s">
        <v>54</v>
      </c>
    </row>
    <row r="5954" spans="1:2" x14ac:dyDescent="0.2">
      <c r="A5954">
        <v>5948</v>
      </c>
      <c r="B5954" t="s">
        <v>54</v>
      </c>
    </row>
    <row r="5955" spans="1:2" x14ac:dyDescent="0.2">
      <c r="A5955">
        <v>5949</v>
      </c>
      <c r="B5955" t="s">
        <v>54</v>
      </c>
    </row>
    <row r="5956" spans="1:2" x14ac:dyDescent="0.2">
      <c r="A5956">
        <v>5950</v>
      </c>
      <c r="B5956" t="s">
        <v>54</v>
      </c>
    </row>
    <row r="5957" spans="1:2" x14ac:dyDescent="0.2">
      <c r="A5957">
        <v>5951</v>
      </c>
      <c r="B5957" t="s">
        <v>54</v>
      </c>
    </row>
    <row r="5958" spans="1:2" x14ac:dyDescent="0.2">
      <c r="A5958">
        <v>5952</v>
      </c>
      <c r="B5958" t="s">
        <v>54</v>
      </c>
    </row>
    <row r="5959" spans="1:2" x14ac:dyDescent="0.2">
      <c r="A5959">
        <v>5953</v>
      </c>
      <c r="B5959" t="s">
        <v>54</v>
      </c>
    </row>
    <row r="5960" spans="1:2" x14ac:dyDescent="0.2">
      <c r="A5960">
        <v>5954</v>
      </c>
      <c r="B5960" t="s">
        <v>54</v>
      </c>
    </row>
    <row r="5961" spans="1:2" x14ac:dyDescent="0.2">
      <c r="A5961">
        <v>5955</v>
      </c>
      <c r="B5961" t="s">
        <v>54</v>
      </c>
    </row>
    <row r="5962" spans="1:2" x14ac:dyDescent="0.2">
      <c r="A5962">
        <v>5956</v>
      </c>
      <c r="B5962" t="s">
        <v>54</v>
      </c>
    </row>
    <row r="5963" spans="1:2" x14ac:dyDescent="0.2">
      <c r="A5963">
        <v>5957</v>
      </c>
      <c r="B5963" t="s">
        <v>54</v>
      </c>
    </row>
    <row r="5964" spans="1:2" x14ac:dyDescent="0.2">
      <c r="A5964">
        <v>5958</v>
      </c>
      <c r="B5964" t="s">
        <v>54</v>
      </c>
    </row>
    <row r="5965" spans="1:2" x14ac:dyDescent="0.2">
      <c r="A5965">
        <v>5959</v>
      </c>
      <c r="B5965" t="s">
        <v>54</v>
      </c>
    </row>
    <row r="5966" spans="1:2" x14ac:dyDescent="0.2">
      <c r="A5966">
        <v>5960</v>
      </c>
      <c r="B5966" t="s">
        <v>54</v>
      </c>
    </row>
    <row r="5967" spans="1:2" x14ac:dyDescent="0.2">
      <c r="A5967">
        <v>5961</v>
      </c>
      <c r="B5967" t="s">
        <v>54</v>
      </c>
    </row>
    <row r="5968" spans="1:2" x14ac:dyDescent="0.2">
      <c r="A5968">
        <v>5962</v>
      </c>
      <c r="B5968" t="s">
        <v>54</v>
      </c>
    </row>
    <row r="5969" spans="1:2" x14ac:dyDescent="0.2">
      <c r="A5969">
        <v>5963</v>
      </c>
      <c r="B5969" t="s">
        <v>54</v>
      </c>
    </row>
    <row r="5970" spans="1:2" x14ac:dyDescent="0.2">
      <c r="A5970">
        <v>5964</v>
      </c>
      <c r="B5970" t="s">
        <v>54</v>
      </c>
    </row>
    <row r="5971" spans="1:2" x14ac:dyDescent="0.2">
      <c r="A5971">
        <v>5965</v>
      </c>
      <c r="B5971" t="s">
        <v>54</v>
      </c>
    </row>
    <row r="5972" spans="1:2" x14ac:dyDescent="0.2">
      <c r="A5972">
        <v>5966</v>
      </c>
      <c r="B5972" t="s">
        <v>54</v>
      </c>
    </row>
    <row r="5973" spans="1:2" x14ac:dyDescent="0.2">
      <c r="A5973">
        <v>5967</v>
      </c>
      <c r="B5973" t="s">
        <v>54</v>
      </c>
    </row>
    <row r="5974" spans="1:2" x14ac:dyDescent="0.2">
      <c r="A5974">
        <v>5968</v>
      </c>
      <c r="B5974" t="s">
        <v>54</v>
      </c>
    </row>
    <row r="5975" spans="1:2" x14ac:dyDescent="0.2">
      <c r="A5975">
        <v>5969</v>
      </c>
      <c r="B5975" t="s">
        <v>54</v>
      </c>
    </row>
    <row r="5976" spans="1:2" x14ac:dyDescent="0.2">
      <c r="A5976">
        <v>5970</v>
      </c>
      <c r="B5976" t="s">
        <v>54</v>
      </c>
    </row>
    <row r="5977" spans="1:2" x14ac:dyDescent="0.2">
      <c r="A5977">
        <v>5971</v>
      </c>
      <c r="B5977" t="s">
        <v>54</v>
      </c>
    </row>
    <row r="5978" spans="1:2" x14ac:dyDescent="0.2">
      <c r="A5978">
        <v>5972</v>
      </c>
      <c r="B5978" t="s">
        <v>54</v>
      </c>
    </row>
    <row r="5979" spans="1:2" x14ac:dyDescent="0.2">
      <c r="A5979">
        <v>5973</v>
      </c>
      <c r="B5979" t="s">
        <v>54</v>
      </c>
    </row>
    <row r="5980" spans="1:2" x14ac:dyDescent="0.2">
      <c r="A5980">
        <v>5974</v>
      </c>
      <c r="B5980" t="s">
        <v>54</v>
      </c>
    </row>
    <row r="5981" spans="1:2" x14ac:dyDescent="0.2">
      <c r="A5981">
        <v>5975</v>
      </c>
      <c r="B5981" t="s">
        <v>54</v>
      </c>
    </row>
    <row r="5982" spans="1:2" x14ac:dyDescent="0.2">
      <c r="A5982">
        <v>5976</v>
      </c>
      <c r="B5982" t="s">
        <v>54</v>
      </c>
    </row>
    <row r="5983" spans="1:2" x14ac:dyDescent="0.2">
      <c r="A5983">
        <v>5977</v>
      </c>
      <c r="B5983" t="s">
        <v>54</v>
      </c>
    </row>
    <row r="5984" spans="1:2" x14ac:dyDescent="0.2">
      <c r="A5984">
        <v>5978</v>
      </c>
      <c r="B5984" t="s">
        <v>54</v>
      </c>
    </row>
    <row r="5985" spans="1:2" x14ac:dyDescent="0.2">
      <c r="A5985">
        <v>5979</v>
      </c>
      <c r="B5985" t="s">
        <v>54</v>
      </c>
    </row>
    <row r="5986" spans="1:2" x14ac:dyDescent="0.2">
      <c r="A5986">
        <v>5980</v>
      </c>
      <c r="B5986" t="s">
        <v>54</v>
      </c>
    </row>
    <row r="5987" spans="1:2" x14ac:dyDescent="0.2">
      <c r="A5987">
        <v>5981</v>
      </c>
      <c r="B5987" t="s">
        <v>54</v>
      </c>
    </row>
    <row r="5988" spans="1:2" x14ac:dyDescent="0.2">
      <c r="A5988">
        <v>5982</v>
      </c>
      <c r="B5988" t="s">
        <v>54</v>
      </c>
    </row>
    <row r="5989" spans="1:2" x14ac:dyDescent="0.2">
      <c r="A5989">
        <v>5983</v>
      </c>
      <c r="B5989" t="s">
        <v>54</v>
      </c>
    </row>
    <row r="5990" spans="1:2" x14ac:dyDescent="0.2">
      <c r="A5990">
        <v>5984</v>
      </c>
      <c r="B5990" t="s">
        <v>54</v>
      </c>
    </row>
    <row r="5991" spans="1:2" x14ac:dyDescent="0.2">
      <c r="A5991">
        <v>5985</v>
      </c>
      <c r="B5991" t="s">
        <v>54</v>
      </c>
    </row>
    <row r="5992" spans="1:2" x14ac:dyDescent="0.2">
      <c r="A5992">
        <v>5986</v>
      </c>
      <c r="B5992" t="s">
        <v>54</v>
      </c>
    </row>
    <row r="5993" spans="1:2" x14ac:dyDescent="0.2">
      <c r="A5993">
        <v>5987</v>
      </c>
      <c r="B5993" t="s">
        <v>54</v>
      </c>
    </row>
    <row r="5994" spans="1:2" x14ac:dyDescent="0.2">
      <c r="A5994">
        <v>5988</v>
      </c>
      <c r="B5994" t="s">
        <v>54</v>
      </c>
    </row>
    <row r="5995" spans="1:2" x14ac:dyDescent="0.2">
      <c r="A5995">
        <v>5989</v>
      </c>
      <c r="B5995" t="s">
        <v>54</v>
      </c>
    </row>
    <row r="5996" spans="1:2" x14ac:dyDescent="0.2">
      <c r="A5996">
        <v>5990</v>
      </c>
      <c r="B5996" t="s">
        <v>54</v>
      </c>
    </row>
    <row r="5997" spans="1:2" x14ac:dyDescent="0.2">
      <c r="A5997">
        <v>5991</v>
      </c>
      <c r="B5997" t="s">
        <v>54</v>
      </c>
    </row>
    <row r="5998" spans="1:2" x14ac:dyDescent="0.2">
      <c r="A5998">
        <v>5992</v>
      </c>
      <c r="B5998" t="s">
        <v>54</v>
      </c>
    </row>
    <row r="5999" spans="1:2" x14ac:dyDescent="0.2">
      <c r="A5999">
        <v>5993</v>
      </c>
      <c r="B5999" t="s">
        <v>54</v>
      </c>
    </row>
    <row r="6000" spans="1:2" x14ac:dyDescent="0.2">
      <c r="A6000">
        <v>5994</v>
      </c>
      <c r="B6000" t="s">
        <v>54</v>
      </c>
    </row>
    <row r="6001" spans="1:2" x14ac:dyDescent="0.2">
      <c r="A6001">
        <v>5995</v>
      </c>
      <c r="B6001" t="s">
        <v>54</v>
      </c>
    </row>
    <row r="6002" spans="1:2" x14ac:dyDescent="0.2">
      <c r="A6002">
        <v>5996</v>
      </c>
      <c r="B6002" t="s">
        <v>54</v>
      </c>
    </row>
    <row r="6003" spans="1:2" x14ac:dyDescent="0.2">
      <c r="A6003">
        <v>5997</v>
      </c>
      <c r="B6003" t="s">
        <v>54</v>
      </c>
    </row>
    <row r="6004" spans="1:2" x14ac:dyDescent="0.2">
      <c r="A6004">
        <v>5998</v>
      </c>
      <c r="B6004" t="s">
        <v>54</v>
      </c>
    </row>
    <row r="6005" spans="1:2" x14ac:dyDescent="0.2">
      <c r="A6005">
        <v>5999</v>
      </c>
      <c r="B6005" t="s">
        <v>54</v>
      </c>
    </row>
    <row r="6006" spans="1:2" x14ac:dyDescent="0.2">
      <c r="A6006">
        <v>6000</v>
      </c>
      <c r="B6006" t="s">
        <v>54</v>
      </c>
    </row>
    <row r="6007" spans="1:2" x14ac:dyDescent="0.2">
      <c r="A6007">
        <v>6001</v>
      </c>
      <c r="B6007" t="s">
        <v>54</v>
      </c>
    </row>
    <row r="6008" spans="1:2" x14ac:dyDescent="0.2">
      <c r="A6008">
        <v>6002</v>
      </c>
      <c r="B6008" t="s">
        <v>54</v>
      </c>
    </row>
    <row r="6009" spans="1:2" x14ac:dyDescent="0.2">
      <c r="A6009">
        <v>6003</v>
      </c>
      <c r="B6009" t="s">
        <v>54</v>
      </c>
    </row>
    <row r="6010" spans="1:2" x14ac:dyDescent="0.2">
      <c r="A6010">
        <v>6004</v>
      </c>
      <c r="B6010" t="s">
        <v>54</v>
      </c>
    </row>
    <row r="6011" spans="1:2" x14ac:dyDescent="0.2">
      <c r="A6011">
        <v>6005</v>
      </c>
      <c r="B6011" t="s">
        <v>54</v>
      </c>
    </row>
    <row r="6012" spans="1:2" x14ac:dyDescent="0.2">
      <c r="A6012">
        <v>6006</v>
      </c>
      <c r="B6012" t="s">
        <v>54</v>
      </c>
    </row>
    <row r="6013" spans="1:2" x14ac:dyDescent="0.2">
      <c r="A6013">
        <v>6007</v>
      </c>
      <c r="B6013" t="s">
        <v>54</v>
      </c>
    </row>
    <row r="6014" spans="1:2" x14ac:dyDescent="0.2">
      <c r="A6014">
        <v>6008</v>
      </c>
      <c r="B6014" t="s">
        <v>54</v>
      </c>
    </row>
    <row r="6015" spans="1:2" x14ac:dyDescent="0.2">
      <c r="A6015">
        <v>6009</v>
      </c>
      <c r="B6015" t="s">
        <v>54</v>
      </c>
    </row>
    <row r="6016" spans="1:2" x14ac:dyDescent="0.2">
      <c r="A6016">
        <v>6010</v>
      </c>
      <c r="B6016" t="s">
        <v>54</v>
      </c>
    </row>
    <row r="6017" spans="1:2" x14ac:dyDescent="0.2">
      <c r="A6017">
        <v>6011</v>
      </c>
      <c r="B6017" t="s">
        <v>54</v>
      </c>
    </row>
    <row r="6018" spans="1:2" x14ac:dyDescent="0.2">
      <c r="A6018">
        <v>6012</v>
      </c>
      <c r="B6018" t="s">
        <v>54</v>
      </c>
    </row>
    <row r="6019" spans="1:2" x14ac:dyDescent="0.2">
      <c r="A6019">
        <v>6013</v>
      </c>
      <c r="B6019" t="s">
        <v>54</v>
      </c>
    </row>
    <row r="6020" spans="1:2" x14ac:dyDescent="0.2">
      <c r="A6020">
        <v>6014</v>
      </c>
      <c r="B6020" t="s">
        <v>54</v>
      </c>
    </row>
    <row r="6021" spans="1:2" x14ac:dyDescent="0.2">
      <c r="A6021">
        <v>6015</v>
      </c>
      <c r="B6021" t="s">
        <v>54</v>
      </c>
    </row>
    <row r="6022" spans="1:2" x14ac:dyDescent="0.2">
      <c r="A6022">
        <v>6016</v>
      </c>
      <c r="B6022" t="s">
        <v>54</v>
      </c>
    </row>
    <row r="6023" spans="1:2" x14ac:dyDescent="0.2">
      <c r="A6023">
        <v>6017</v>
      </c>
      <c r="B6023" t="s">
        <v>54</v>
      </c>
    </row>
    <row r="6024" spans="1:2" x14ac:dyDescent="0.2">
      <c r="A6024">
        <v>6018</v>
      </c>
      <c r="B6024" t="s">
        <v>54</v>
      </c>
    </row>
    <row r="6025" spans="1:2" x14ac:dyDescent="0.2">
      <c r="A6025">
        <v>6019</v>
      </c>
      <c r="B6025" t="s">
        <v>54</v>
      </c>
    </row>
    <row r="6026" spans="1:2" x14ac:dyDescent="0.2">
      <c r="A6026">
        <v>6020</v>
      </c>
      <c r="B6026" t="s">
        <v>54</v>
      </c>
    </row>
    <row r="6027" spans="1:2" x14ac:dyDescent="0.2">
      <c r="A6027">
        <v>6021</v>
      </c>
      <c r="B6027" t="s">
        <v>54</v>
      </c>
    </row>
    <row r="6028" spans="1:2" x14ac:dyDescent="0.2">
      <c r="A6028">
        <v>6022</v>
      </c>
      <c r="B6028" t="s">
        <v>54</v>
      </c>
    </row>
    <row r="6029" spans="1:2" x14ac:dyDescent="0.2">
      <c r="A6029">
        <v>6023</v>
      </c>
      <c r="B6029" t="s">
        <v>54</v>
      </c>
    </row>
    <row r="6030" spans="1:2" x14ac:dyDescent="0.2">
      <c r="A6030">
        <v>6024</v>
      </c>
      <c r="B6030" t="s">
        <v>54</v>
      </c>
    </row>
    <row r="6031" spans="1:2" x14ac:dyDescent="0.2">
      <c r="A6031">
        <v>6025</v>
      </c>
      <c r="B6031" t="s">
        <v>54</v>
      </c>
    </row>
    <row r="6032" spans="1:2" x14ac:dyDescent="0.2">
      <c r="A6032">
        <v>6026</v>
      </c>
      <c r="B6032" t="s">
        <v>54</v>
      </c>
    </row>
    <row r="6033" spans="1:2" x14ac:dyDescent="0.2">
      <c r="A6033">
        <v>6027</v>
      </c>
      <c r="B6033" t="s">
        <v>54</v>
      </c>
    </row>
    <row r="6034" spans="1:2" x14ac:dyDescent="0.2">
      <c r="A6034">
        <v>6028</v>
      </c>
      <c r="B6034" t="s">
        <v>54</v>
      </c>
    </row>
    <row r="6035" spans="1:2" x14ac:dyDescent="0.2">
      <c r="A6035">
        <v>6029</v>
      </c>
      <c r="B6035" t="s">
        <v>54</v>
      </c>
    </row>
    <row r="6036" spans="1:2" x14ac:dyDescent="0.2">
      <c r="A6036">
        <v>6030</v>
      </c>
      <c r="B6036" t="s">
        <v>54</v>
      </c>
    </row>
    <row r="6037" spans="1:2" x14ac:dyDescent="0.2">
      <c r="A6037">
        <v>6031</v>
      </c>
      <c r="B6037" t="s">
        <v>54</v>
      </c>
    </row>
    <row r="6038" spans="1:2" x14ac:dyDescent="0.2">
      <c r="A6038">
        <v>6032</v>
      </c>
      <c r="B6038" t="s">
        <v>54</v>
      </c>
    </row>
    <row r="6039" spans="1:2" x14ac:dyDescent="0.2">
      <c r="A6039">
        <v>6033</v>
      </c>
      <c r="B6039" t="s">
        <v>54</v>
      </c>
    </row>
    <row r="6040" spans="1:2" x14ac:dyDescent="0.2">
      <c r="A6040">
        <v>6034</v>
      </c>
      <c r="B6040" t="s">
        <v>54</v>
      </c>
    </row>
    <row r="6041" spans="1:2" x14ac:dyDescent="0.2">
      <c r="A6041">
        <v>6035</v>
      </c>
      <c r="B6041" t="s">
        <v>54</v>
      </c>
    </row>
    <row r="6042" spans="1:2" x14ac:dyDescent="0.2">
      <c r="A6042">
        <v>6036</v>
      </c>
      <c r="B6042" t="s">
        <v>54</v>
      </c>
    </row>
    <row r="6043" spans="1:2" x14ac:dyDescent="0.2">
      <c r="A6043">
        <v>6037</v>
      </c>
      <c r="B6043" t="s">
        <v>54</v>
      </c>
    </row>
    <row r="6044" spans="1:2" x14ac:dyDescent="0.2">
      <c r="A6044">
        <v>6038</v>
      </c>
      <c r="B6044" t="s">
        <v>54</v>
      </c>
    </row>
    <row r="6045" spans="1:2" x14ac:dyDescent="0.2">
      <c r="A6045">
        <v>6039</v>
      </c>
      <c r="B6045" t="s">
        <v>54</v>
      </c>
    </row>
    <row r="6046" spans="1:2" x14ac:dyDescent="0.2">
      <c r="A6046">
        <v>6040</v>
      </c>
      <c r="B6046" t="s">
        <v>54</v>
      </c>
    </row>
    <row r="6047" spans="1:2" x14ac:dyDescent="0.2">
      <c r="A6047">
        <v>6041</v>
      </c>
      <c r="B6047" t="s">
        <v>54</v>
      </c>
    </row>
    <row r="6048" spans="1:2" x14ac:dyDescent="0.2">
      <c r="A6048">
        <v>6042</v>
      </c>
      <c r="B6048" t="s">
        <v>54</v>
      </c>
    </row>
    <row r="6049" spans="1:2" x14ac:dyDescent="0.2">
      <c r="A6049">
        <v>6043</v>
      </c>
      <c r="B6049" t="s">
        <v>54</v>
      </c>
    </row>
    <row r="6050" spans="1:2" x14ac:dyDescent="0.2">
      <c r="A6050">
        <v>6044</v>
      </c>
      <c r="B6050" t="s">
        <v>54</v>
      </c>
    </row>
    <row r="6051" spans="1:2" x14ac:dyDescent="0.2">
      <c r="A6051">
        <v>6045</v>
      </c>
      <c r="B6051" t="s">
        <v>54</v>
      </c>
    </row>
    <row r="6052" spans="1:2" x14ac:dyDescent="0.2">
      <c r="A6052">
        <v>6046</v>
      </c>
      <c r="B6052" t="s">
        <v>54</v>
      </c>
    </row>
    <row r="6053" spans="1:2" x14ac:dyDescent="0.2">
      <c r="A6053">
        <v>6047</v>
      </c>
      <c r="B6053" t="s">
        <v>54</v>
      </c>
    </row>
    <row r="6054" spans="1:2" x14ac:dyDescent="0.2">
      <c r="A6054">
        <v>6048</v>
      </c>
      <c r="B6054" t="s">
        <v>54</v>
      </c>
    </row>
    <row r="6055" spans="1:2" x14ac:dyDescent="0.2">
      <c r="A6055">
        <v>6049</v>
      </c>
      <c r="B6055" t="s">
        <v>54</v>
      </c>
    </row>
    <row r="6056" spans="1:2" x14ac:dyDescent="0.2">
      <c r="A6056">
        <v>6050</v>
      </c>
      <c r="B6056" t="s">
        <v>54</v>
      </c>
    </row>
    <row r="6057" spans="1:2" x14ac:dyDescent="0.2">
      <c r="A6057">
        <v>6051</v>
      </c>
      <c r="B6057" t="s">
        <v>54</v>
      </c>
    </row>
    <row r="6058" spans="1:2" x14ac:dyDescent="0.2">
      <c r="A6058">
        <v>6052</v>
      </c>
      <c r="B6058" t="s">
        <v>54</v>
      </c>
    </row>
    <row r="6059" spans="1:2" x14ac:dyDescent="0.2">
      <c r="A6059">
        <v>6053</v>
      </c>
      <c r="B6059" t="s">
        <v>54</v>
      </c>
    </row>
    <row r="6060" spans="1:2" x14ac:dyDescent="0.2">
      <c r="A6060">
        <v>6054</v>
      </c>
      <c r="B6060" t="s">
        <v>54</v>
      </c>
    </row>
    <row r="6061" spans="1:2" x14ac:dyDescent="0.2">
      <c r="A6061">
        <v>6055</v>
      </c>
      <c r="B6061" t="s">
        <v>54</v>
      </c>
    </row>
    <row r="6062" spans="1:2" x14ac:dyDescent="0.2">
      <c r="A6062">
        <v>6056</v>
      </c>
      <c r="B6062" t="s">
        <v>54</v>
      </c>
    </row>
    <row r="6063" spans="1:2" x14ac:dyDescent="0.2">
      <c r="A6063">
        <v>6057</v>
      </c>
      <c r="B6063" t="s">
        <v>54</v>
      </c>
    </row>
    <row r="6064" spans="1:2" x14ac:dyDescent="0.2">
      <c r="A6064">
        <v>6058</v>
      </c>
      <c r="B6064" t="s">
        <v>54</v>
      </c>
    </row>
    <row r="6065" spans="1:2" x14ac:dyDescent="0.2">
      <c r="A6065">
        <v>6059</v>
      </c>
      <c r="B6065" t="s">
        <v>54</v>
      </c>
    </row>
    <row r="6066" spans="1:2" x14ac:dyDescent="0.2">
      <c r="A6066">
        <v>6060</v>
      </c>
      <c r="B6066" t="s">
        <v>54</v>
      </c>
    </row>
    <row r="6067" spans="1:2" x14ac:dyDescent="0.2">
      <c r="A6067">
        <v>6061</v>
      </c>
      <c r="B6067" t="s">
        <v>54</v>
      </c>
    </row>
    <row r="6068" spans="1:2" x14ac:dyDescent="0.2">
      <c r="A6068">
        <v>6062</v>
      </c>
      <c r="B6068" t="s">
        <v>54</v>
      </c>
    </row>
    <row r="6069" spans="1:2" x14ac:dyDescent="0.2">
      <c r="A6069">
        <v>6063</v>
      </c>
      <c r="B6069" t="s">
        <v>54</v>
      </c>
    </row>
    <row r="6070" spans="1:2" x14ac:dyDescent="0.2">
      <c r="A6070">
        <v>6064</v>
      </c>
      <c r="B6070" t="s">
        <v>54</v>
      </c>
    </row>
    <row r="6071" spans="1:2" x14ac:dyDescent="0.2">
      <c r="A6071">
        <v>6065</v>
      </c>
      <c r="B6071" t="s">
        <v>54</v>
      </c>
    </row>
    <row r="6072" spans="1:2" x14ac:dyDescent="0.2">
      <c r="A6072">
        <v>6066</v>
      </c>
      <c r="B6072" t="s">
        <v>54</v>
      </c>
    </row>
    <row r="6073" spans="1:2" x14ac:dyDescent="0.2">
      <c r="A6073">
        <v>6067</v>
      </c>
      <c r="B6073" t="s">
        <v>54</v>
      </c>
    </row>
    <row r="6074" spans="1:2" x14ac:dyDescent="0.2">
      <c r="A6074">
        <v>6068</v>
      </c>
      <c r="B6074" t="s">
        <v>54</v>
      </c>
    </row>
    <row r="6075" spans="1:2" x14ac:dyDescent="0.2">
      <c r="A6075">
        <v>6069</v>
      </c>
      <c r="B6075" t="s">
        <v>54</v>
      </c>
    </row>
    <row r="6076" spans="1:2" x14ac:dyDescent="0.2">
      <c r="A6076">
        <v>6070</v>
      </c>
      <c r="B6076" t="s">
        <v>54</v>
      </c>
    </row>
    <row r="6077" spans="1:2" x14ac:dyDescent="0.2">
      <c r="A6077">
        <v>6071</v>
      </c>
      <c r="B6077" t="s">
        <v>54</v>
      </c>
    </row>
    <row r="6078" spans="1:2" x14ac:dyDescent="0.2">
      <c r="A6078">
        <v>6072</v>
      </c>
      <c r="B6078" t="s">
        <v>54</v>
      </c>
    </row>
    <row r="6079" spans="1:2" x14ac:dyDescent="0.2">
      <c r="A6079">
        <v>6073</v>
      </c>
      <c r="B6079" t="s">
        <v>54</v>
      </c>
    </row>
    <row r="6080" spans="1:2" x14ac:dyDescent="0.2">
      <c r="A6080">
        <v>6074</v>
      </c>
      <c r="B6080" t="s">
        <v>54</v>
      </c>
    </row>
    <row r="6081" spans="1:2" x14ac:dyDescent="0.2">
      <c r="A6081">
        <v>6075</v>
      </c>
      <c r="B6081" t="s">
        <v>54</v>
      </c>
    </row>
    <row r="6082" spans="1:2" x14ac:dyDescent="0.2">
      <c r="A6082">
        <v>6076</v>
      </c>
      <c r="B6082" t="s">
        <v>54</v>
      </c>
    </row>
    <row r="6083" spans="1:2" x14ac:dyDescent="0.2">
      <c r="A6083">
        <v>6077</v>
      </c>
      <c r="B6083" t="s">
        <v>54</v>
      </c>
    </row>
    <row r="6084" spans="1:2" x14ac:dyDescent="0.2">
      <c r="A6084">
        <v>6078</v>
      </c>
      <c r="B6084" t="s">
        <v>54</v>
      </c>
    </row>
    <row r="6085" spans="1:2" x14ac:dyDescent="0.2">
      <c r="A6085">
        <v>6079</v>
      </c>
      <c r="B6085" t="s">
        <v>54</v>
      </c>
    </row>
    <row r="6086" spans="1:2" x14ac:dyDescent="0.2">
      <c r="A6086">
        <v>6080</v>
      </c>
      <c r="B6086" t="s">
        <v>54</v>
      </c>
    </row>
    <row r="6087" spans="1:2" x14ac:dyDescent="0.2">
      <c r="A6087">
        <v>6081</v>
      </c>
      <c r="B6087" t="s">
        <v>54</v>
      </c>
    </row>
    <row r="6088" spans="1:2" x14ac:dyDescent="0.2">
      <c r="A6088">
        <v>6082</v>
      </c>
      <c r="B6088" t="s">
        <v>54</v>
      </c>
    </row>
    <row r="6089" spans="1:2" x14ac:dyDescent="0.2">
      <c r="A6089">
        <v>6083</v>
      </c>
      <c r="B6089" t="s">
        <v>54</v>
      </c>
    </row>
    <row r="6090" spans="1:2" x14ac:dyDescent="0.2">
      <c r="A6090">
        <v>6084</v>
      </c>
      <c r="B6090" t="s">
        <v>54</v>
      </c>
    </row>
    <row r="6091" spans="1:2" x14ac:dyDescent="0.2">
      <c r="A6091">
        <v>6085</v>
      </c>
      <c r="B6091" t="s">
        <v>54</v>
      </c>
    </row>
    <row r="6092" spans="1:2" x14ac:dyDescent="0.2">
      <c r="A6092">
        <v>6086</v>
      </c>
      <c r="B6092" t="s">
        <v>54</v>
      </c>
    </row>
    <row r="6093" spans="1:2" x14ac:dyDescent="0.2">
      <c r="A6093">
        <v>6087</v>
      </c>
      <c r="B6093" t="s">
        <v>54</v>
      </c>
    </row>
    <row r="6094" spans="1:2" x14ac:dyDescent="0.2">
      <c r="A6094">
        <v>6088</v>
      </c>
      <c r="B6094" t="s">
        <v>54</v>
      </c>
    </row>
    <row r="6095" spans="1:2" x14ac:dyDescent="0.2">
      <c r="A6095">
        <v>6089</v>
      </c>
      <c r="B6095" t="s">
        <v>54</v>
      </c>
    </row>
    <row r="6096" spans="1:2" x14ac:dyDescent="0.2">
      <c r="A6096">
        <v>6090</v>
      </c>
      <c r="B6096" t="s">
        <v>54</v>
      </c>
    </row>
    <row r="6097" spans="1:2" x14ac:dyDescent="0.2">
      <c r="A6097">
        <v>6091</v>
      </c>
      <c r="B6097" t="s">
        <v>54</v>
      </c>
    </row>
    <row r="6098" spans="1:2" x14ac:dyDescent="0.2">
      <c r="A6098">
        <v>6092</v>
      </c>
      <c r="B6098" t="s">
        <v>54</v>
      </c>
    </row>
    <row r="6099" spans="1:2" x14ac:dyDescent="0.2">
      <c r="A6099">
        <v>6093</v>
      </c>
      <c r="B6099" t="s">
        <v>54</v>
      </c>
    </row>
    <row r="6100" spans="1:2" x14ac:dyDescent="0.2">
      <c r="A6100">
        <v>6094</v>
      </c>
      <c r="B6100" t="s">
        <v>54</v>
      </c>
    </row>
    <row r="6101" spans="1:2" x14ac:dyDescent="0.2">
      <c r="A6101">
        <v>6095</v>
      </c>
      <c r="B6101" t="s">
        <v>54</v>
      </c>
    </row>
    <row r="6102" spans="1:2" x14ac:dyDescent="0.2">
      <c r="A6102">
        <v>6096</v>
      </c>
      <c r="B6102" t="s">
        <v>54</v>
      </c>
    </row>
    <row r="6103" spans="1:2" x14ac:dyDescent="0.2">
      <c r="A6103">
        <v>6097</v>
      </c>
      <c r="B6103" t="s">
        <v>54</v>
      </c>
    </row>
    <row r="6104" spans="1:2" x14ac:dyDescent="0.2">
      <c r="A6104">
        <v>6098</v>
      </c>
      <c r="B6104" t="s">
        <v>54</v>
      </c>
    </row>
    <row r="6105" spans="1:2" x14ac:dyDescent="0.2">
      <c r="A6105">
        <v>6099</v>
      </c>
      <c r="B6105" t="s">
        <v>54</v>
      </c>
    </row>
    <row r="6106" spans="1:2" x14ac:dyDescent="0.2">
      <c r="A6106">
        <v>6100</v>
      </c>
      <c r="B6106" t="s">
        <v>54</v>
      </c>
    </row>
    <row r="6107" spans="1:2" x14ac:dyDescent="0.2">
      <c r="A6107">
        <v>6101</v>
      </c>
      <c r="B6107" t="s">
        <v>54</v>
      </c>
    </row>
    <row r="6108" spans="1:2" x14ac:dyDescent="0.2">
      <c r="A6108">
        <v>6102</v>
      </c>
      <c r="B6108" t="s">
        <v>54</v>
      </c>
    </row>
    <row r="6109" spans="1:2" x14ac:dyDescent="0.2">
      <c r="A6109">
        <v>6103</v>
      </c>
      <c r="B6109" t="s">
        <v>54</v>
      </c>
    </row>
    <row r="6110" spans="1:2" x14ac:dyDescent="0.2">
      <c r="A6110">
        <v>6104</v>
      </c>
      <c r="B6110" t="s">
        <v>54</v>
      </c>
    </row>
    <row r="6111" spans="1:2" x14ac:dyDescent="0.2">
      <c r="A6111">
        <v>6105</v>
      </c>
      <c r="B6111" t="s">
        <v>54</v>
      </c>
    </row>
    <row r="6112" spans="1:2" x14ac:dyDescent="0.2">
      <c r="A6112">
        <v>6106</v>
      </c>
      <c r="B6112" t="s">
        <v>54</v>
      </c>
    </row>
    <row r="6113" spans="1:2" x14ac:dyDescent="0.2">
      <c r="A6113">
        <v>6107</v>
      </c>
      <c r="B6113" t="s">
        <v>54</v>
      </c>
    </row>
    <row r="6114" spans="1:2" x14ac:dyDescent="0.2">
      <c r="A6114">
        <v>6108</v>
      </c>
      <c r="B6114" t="s">
        <v>54</v>
      </c>
    </row>
    <row r="6115" spans="1:2" x14ac:dyDescent="0.2">
      <c r="A6115">
        <v>6109</v>
      </c>
      <c r="B6115" t="s">
        <v>54</v>
      </c>
    </row>
    <row r="6116" spans="1:2" x14ac:dyDescent="0.2">
      <c r="A6116">
        <v>6110</v>
      </c>
      <c r="B6116" t="s">
        <v>54</v>
      </c>
    </row>
    <row r="6117" spans="1:2" x14ac:dyDescent="0.2">
      <c r="A6117">
        <v>6111</v>
      </c>
      <c r="B6117" t="s">
        <v>54</v>
      </c>
    </row>
    <row r="6118" spans="1:2" x14ac:dyDescent="0.2">
      <c r="A6118">
        <v>6112</v>
      </c>
      <c r="B6118" t="s">
        <v>54</v>
      </c>
    </row>
    <row r="6119" spans="1:2" x14ac:dyDescent="0.2">
      <c r="A6119">
        <v>6113</v>
      </c>
      <c r="B6119" t="s">
        <v>54</v>
      </c>
    </row>
    <row r="6120" spans="1:2" x14ac:dyDescent="0.2">
      <c r="A6120">
        <v>6114</v>
      </c>
      <c r="B6120" t="s">
        <v>54</v>
      </c>
    </row>
    <row r="6121" spans="1:2" x14ac:dyDescent="0.2">
      <c r="A6121">
        <v>6115</v>
      </c>
      <c r="B6121" t="s">
        <v>54</v>
      </c>
    </row>
    <row r="6122" spans="1:2" x14ac:dyDescent="0.2">
      <c r="A6122">
        <v>6116</v>
      </c>
      <c r="B6122" t="s">
        <v>54</v>
      </c>
    </row>
    <row r="6123" spans="1:2" x14ac:dyDescent="0.2">
      <c r="A6123">
        <v>6117</v>
      </c>
      <c r="B6123" t="s">
        <v>54</v>
      </c>
    </row>
    <row r="6124" spans="1:2" x14ac:dyDescent="0.2">
      <c r="A6124">
        <v>6118</v>
      </c>
      <c r="B6124" t="s">
        <v>54</v>
      </c>
    </row>
    <row r="6125" spans="1:2" x14ac:dyDescent="0.2">
      <c r="A6125">
        <v>6119</v>
      </c>
      <c r="B6125" t="s">
        <v>54</v>
      </c>
    </row>
    <row r="6126" spans="1:2" x14ac:dyDescent="0.2">
      <c r="A6126">
        <v>6120</v>
      </c>
      <c r="B6126" t="s">
        <v>54</v>
      </c>
    </row>
    <row r="6127" spans="1:2" x14ac:dyDescent="0.2">
      <c r="A6127">
        <v>6121</v>
      </c>
      <c r="B6127" t="s">
        <v>54</v>
      </c>
    </row>
    <row r="6128" spans="1:2" x14ac:dyDescent="0.2">
      <c r="A6128">
        <v>6122</v>
      </c>
      <c r="B6128" t="s">
        <v>54</v>
      </c>
    </row>
    <row r="6129" spans="1:2" x14ac:dyDescent="0.2">
      <c r="A6129">
        <v>6123</v>
      </c>
      <c r="B6129" t="s">
        <v>54</v>
      </c>
    </row>
    <row r="6130" spans="1:2" x14ac:dyDescent="0.2">
      <c r="A6130">
        <v>6124</v>
      </c>
      <c r="B6130" t="s">
        <v>54</v>
      </c>
    </row>
    <row r="6131" spans="1:2" x14ac:dyDescent="0.2">
      <c r="A6131">
        <v>6125</v>
      </c>
      <c r="B6131" t="s">
        <v>54</v>
      </c>
    </row>
    <row r="6132" spans="1:2" x14ac:dyDescent="0.2">
      <c r="A6132">
        <v>6126</v>
      </c>
      <c r="B6132" t="s">
        <v>54</v>
      </c>
    </row>
    <row r="6133" spans="1:2" x14ac:dyDescent="0.2">
      <c r="A6133">
        <v>6127</v>
      </c>
      <c r="B6133" t="s">
        <v>54</v>
      </c>
    </row>
    <row r="6134" spans="1:2" x14ac:dyDescent="0.2">
      <c r="A6134">
        <v>6128</v>
      </c>
      <c r="B6134" t="s">
        <v>54</v>
      </c>
    </row>
    <row r="6135" spans="1:2" x14ac:dyDescent="0.2">
      <c r="A6135">
        <v>6129</v>
      </c>
      <c r="B6135" t="s">
        <v>54</v>
      </c>
    </row>
    <row r="6136" spans="1:2" x14ac:dyDescent="0.2">
      <c r="A6136">
        <v>6130</v>
      </c>
      <c r="B6136" t="s">
        <v>54</v>
      </c>
    </row>
    <row r="6137" spans="1:2" x14ac:dyDescent="0.2">
      <c r="A6137">
        <v>6131</v>
      </c>
      <c r="B6137" t="s">
        <v>54</v>
      </c>
    </row>
    <row r="6138" spans="1:2" x14ac:dyDescent="0.2">
      <c r="A6138">
        <v>6132</v>
      </c>
      <c r="B6138" t="s">
        <v>54</v>
      </c>
    </row>
    <row r="6139" spans="1:2" x14ac:dyDescent="0.2">
      <c r="A6139">
        <v>6133</v>
      </c>
      <c r="B6139" t="s">
        <v>54</v>
      </c>
    </row>
    <row r="6140" spans="1:2" x14ac:dyDescent="0.2">
      <c r="A6140">
        <v>6134</v>
      </c>
      <c r="B6140" t="s">
        <v>54</v>
      </c>
    </row>
    <row r="6141" spans="1:2" x14ac:dyDescent="0.2">
      <c r="A6141">
        <v>6135</v>
      </c>
      <c r="B6141" t="s">
        <v>54</v>
      </c>
    </row>
    <row r="6142" spans="1:2" x14ac:dyDescent="0.2">
      <c r="A6142">
        <v>6136</v>
      </c>
      <c r="B6142" t="s">
        <v>54</v>
      </c>
    </row>
    <row r="6143" spans="1:2" x14ac:dyDescent="0.2">
      <c r="A6143">
        <v>6137</v>
      </c>
      <c r="B6143" t="s">
        <v>54</v>
      </c>
    </row>
    <row r="6144" spans="1:2" x14ac:dyDescent="0.2">
      <c r="A6144">
        <v>6138</v>
      </c>
      <c r="B6144" t="s">
        <v>54</v>
      </c>
    </row>
    <row r="6145" spans="1:2" x14ac:dyDescent="0.2">
      <c r="A6145">
        <v>6139</v>
      </c>
      <c r="B6145" t="s">
        <v>54</v>
      </c>
    </row>
    <row r="6146" spans="1:2" x14ac:dyDescent="0.2">
      <c r="A6146">
        <v>6140</v>
      </c>
      <c r="B6146" t="s">
        <v>54</v>
      </c>
    </row>
    <row r="6147" spans="1:2" x14ac:dyDescent="0.2">
      <c r="A6147">
        <v>6141</v>
      </c>
      <c r="B6147" t="s">
        <v>54</v>
      </c>
    </row>
    <row r="6148" spans="1:2" x14ac:dyDescent="0.2">
      <c r="A6148">
        <v>6142</v>
      </c>
      <c r="B6148" t="s">
        <v>54</v>
      </c>
    </row>
    <row r="6149" spans="1:2" x14ac:dyDescent="0.2">
      <c r="A6149">
        <v>6143</v>
      </c>
      <c r="B6149" t="s">
        <v>54</v>
      </c>
    </row>
    <row r="6150" spans="1:2" x14ac:dyDescent="0.2">
      <c r="A6150">
        <v>6144</v>
      </c>
      <c r="B6150" t="s">
        <v>54</v>
      </c>
    </row>
    <row r="6151" spans="1:2" x14ac:dyDescent="0.2">
      <c r="A6151">
        <v>6145</v>
      </c>
      <c r="B6151" t="s">
        <v>54</v>
      </c>
    </row>
    <row r="6152" spans="1:2" x14ac:dyDescent="0.2">
      <c r="A6152">
        <v>6146</v>
      </c>
      <c r="B6152" t="s">
        <v>54</v>
      </c>
    </row>
    <row r="6153" spans="1:2" x14ac:dyDescent="0.2">
      <c r="A6153">
        <v>6147</v>
      </c>
      <c r="B6153" t="s">
        <v>54</v>
      </c>
    </row>
    <row r="6154" spans="1:2" x14ac:dyDescent="0.2">
      <c r="A6154">
        <v>6148</v>
      </c>
      <c r="B6154" t="s">
        <v>54</v>
      </c>
    </row>
    <row r="6155" spans="1:2" x14ac:dyDescent="0.2">
      <c r="A6155">
        <v>6149</v>
      </c>
      <c r="B6155" t="s">
        <v>54</v>
      </c>
    </row>
    <row r="6156" spans="1:2" x14ac:dyDescent="0.2">
      <c r="A6156">
        <v>6150</v>
      </c>
      <c r="B6156" t="s">
        <v>54</v>
      </c>
    </row>
    <row r="6157" spans="1:2" x14ac:dyDescent="0.2">
      <c r="A6157">
        <v>6151</v>
      </c>
      <c r="B6157" t="s">
        <v>54</v>
      </c>
    </row>
    <row r="6158" spans="1:2" x14ac:dyDescent="0.2">
      <c r="A6158">
        <v>6152</v>
      </c>
      <c r="B6158" t="s">
        <v>54</v>
      </c>
    </row>
    <row r="6159" spans="1:2" x14ac:dyDescent="0.2">
      <c r="A6159">
        <v>6153</v>
      </c>
      <c r="B6159" t="s">
        <v>54</v>
      </c>
    </row>
    <row r="6160" spans="1:2" x14ac:dyDescent="0.2">
      <c r="A6160">
        <v>6154</v>
      </c>
      <c r="B6160" t="s">
        <v>54</v>
      </c>
    </row>
    <row r="6161" spans="1:2" x14ac:dyDescent="0.2">
      <c r="A6161">
        <v>6155</v>
      </c>
      <c r="B6161" t="s">
        <v>54</v>
      </c>
    </row>
    <row r="6162" spans="1:2" x14ac:dyDescent="0.2">
      <c r="A6162">
        <v>6156</v>
      </c>
      <c r="B6162" t="s">
        <v>54</v>
      </c>
    </row>
    <row r="6163" spans="1:2" x14ac:dyDescent="0.2">
      <c r="A6163">
        <v>6157</v>
      </c>
      <c r="B6163" t="s">
        <v>54</v>
      </c>
    </row>
    <row r="6164" spans="1:2" x14ac:dyDescent="0.2">
      <c r="A6164">
        <v>6158</v>
      </c>
      <c r="B6164" t="s">
        <v>54</v>
      </c>
    </row>
    <row r="6165" spans="1:2" x14ac:dyDescent="0.2">
      <c r="A6165">
        <v>6159</v>
      </c>
      <c r="B6165" t="s">
        <v>54</v>
      </c>
    </row>
    <row r="6166" spans="1:2" x14ac:dyDescent="0.2">
      <c r="A6166">
        <v>6160</v>
      </c>
      <c r="B6166" t="s">
        <v>54</v>
      </c>
    </row>
    <row r="6167" spans="1:2" x14ac:dyDescent="0.2">
      <c r="A6167">
        <v>6161</v>
      </c>
      <c r="B6167" t="s">
        <v>54</v>
      </c>
    </row>
    <row r="6168" spans="1:2" x14ac:dyDescent="0.2">
      <c r="A6168">
        <v>6162</v>
      </c>
      <c r="B6168" t="s">
        <v>54</v>
      </c>
    </row>
    <row r="6169" spans="1:2" x14ac:dyDescent="0.2">
      <c r="A6169">
        <v>6163</v>
      </c>
      <c r="B6169" t="s">
        <v>54</v>
      </c>
    </row>
    <row r="6170" spans="1:2" x14ac:dyDescent="0.2">
      <c r="A6170">
        <v>6164</v>
      </c>
      <c r="B6170" t="s">
        <v>54</v>
      </c>
    </row>
    <row r="6171" spans="1:2" x14ac:dyDescent="0.2">
      <c r="A6171">
        <v>6165</v>
      </c>
      <c r="B6171" t="s">
        <v>54</v>
      </c>
    </row>
    <row r="6172" spans="1:2" x14ac:dyDescent="0.2">
      <c r="A6172">
        <v>6166</v>
      </c>
      <c r="B6172" t="s">
        <v>54</v>
      </c>
    </row>
    <row r="6173" spans="1:2" x14ac:dyDescent="0.2">
      <c r="A6173">
        <v>6167</v>
      </c>
      <c r="B6173" t="s">
        <v>54</v>
      </c>
    </row>
    <row r="6174" spans="1:2" x14ac:dyDescent="0.2">
      <c r="A6174">
        <v>6168</v>
      </c>
      <c r="B6174" t="s">
        <v>54</v>
      </c>
    </row>
    <row r="6175" spans="1:2" x14ac:dyDescent="0.2">
      <c r="A6175">
        <v>6169</v>
      </c>
      <c r="B6175" t="s">
        <v>54</v>
      </c>
    </row>
    <row r="6176" spans="1:2" x14ac:dyDescent="0.2">
      <c r="A6176">
        <v>6170</v>
      </c>
      <c r="B6176" t="s">
        <v>54</v>
      </c>
    </row>
    <row r="6177" spans="1:2" x14ac:dyDescent="0.2">
      <c r="A6177">
        <v>6171</v>
      </c>
      <c r="B6177" t="s">
        <v>54</v>
      </c>
    </row>
    <row r="6178" spans="1:2" x14ac:dyDescent="0.2">
      <c r="A6178">
        <v>6172</v>
      </c>
      <c r="B6178" t="s">
        <v>54</v>
      </c>
    </row>
    <row r="6179" spans="1:2" x14ac:dyDescent="0.2">
      <c r="A6179">
        <v>6173</v>
      </c>
      <c r="B6179" t="s">
        <v>54</v>
      </c>
    </row>
    <row r="6180" spans="1:2" x14ac:dyDescent="0.2">
      <c r="A6180">
        <v>6174</v>
      </c>
      <c r="B6180" t="s">
        <v>54</v>
      </c>
    </row>
    <row r="6181" spans="1:2" x14ac:dyDescent="0.2">
      <c r="A6181">
        <v>6175</v>
      </c>
      <c r="B6181" t="s">
        <v>54</v>
      </c>
    </row>
    <row r="6182" spans="1:2" x14ac:dyDescent="0.2">
      <c r="A6182">
        <v>6176</v>
      </c>
      <c r="B6182" t="s">
        <v>54</v>
      </c>
    </row>
    <row r="6183" spans="1:2" x14ac:dyDescent="0.2">
      <c r="A6183">
        <v>6177</v>
      </c>
      <c r="B6183" t="s">
        <v>54</v>
      </c>
    </row>
    <row r="6184" spans="1:2" x14ac:dyDescent="0.2">
      <c r="A6184">
        <v>6178</v>
      </c>
      <c r="B6184" t="s">
        <v>54</v>
      </c>
    </row>
    <row r="6185" spans="1:2" x14ac:dyDescent="0.2">
      <c r="A6185">
        <v>6179</v>
      </c>
      <c r="B6185" t="s">
        <v>54</v>
      </c>
    </row>
    <row r="6186" spans="1:2" x14ac:dyDescent="0.2">
      <c r="A6186">
        <v>6180</v>
      </c>
      <c r="B6186" t="s">
        <v>54</v>
      </c>
    </row>
    <row r="6187" spans="1:2" x14ac:dyDescent="0.2">
      <c r="A6187">
        <v>6181</v>
      </c>
      <c r="B6187" t="s">
        <v>54</v>
      </c>
    </row>
    <row r="6188" spans="1:2" x14ac:dyDescent="0.2">
      <c r="A6188">
        <v>6182</v>
      </c>
      <c r="B6188" t="s">
        <v>54</v>
      </c>
    </row>
    <row r="6189" spans="1:2" x14ac:dyDescent="0.2">
      <c r="A6189">
        <v>6183</v>
      </c>
      <c r="B6189" t="s">
        <v>54</v>
      </c>
    </row>
    <row r="6190" spans="1:2" x14ac:dyDescent="0.2">
      <c r="A6190">
        <v>6184</v>
      </c>
      <c r="B6190" t="s">
        <v>54</v>
      </c>
    </row>
    <row r="6191" spans="1:2" x14ac:dyDescent="0.2">
      <c r="A6191">
        <v>6185</v>
      </c>
      <c r="B6191" t="s">
        <v>54</v>
      </c>
    </row>
    <row r="6192" spans="1:2" x14ac:dyDescent="0.2">
      <c r="A6192">
        <v>6186</v>
      </c>
      <c r="B6192" t="s">
        <v>54</v>
      </c>
    </row>
    <row r="6193" spans="1:2" x14ac:dyDescent="0.2">
      <c r="A6193">
        <v>6187</v>
      </c>
      <c r="B6193" t="s">
        <v>54</v>
      </c>
    </row>
    <row r="6194" spans="1:2" x14ac:dyDescent="0.2">
      <c r="A6194">
        <v>6188</v>
      </c>
      <c r="B6194" t="s">
        <v>54</v>
      </c>
    </row>
    <row r="6195" spans="1:2" x14ac:dyDescent="0.2">
      <c r="A6195">
        <v>6189</v>
      </c>
      <c r="B6195" t="s">
        <v>54</v>
      </c>
    </row>
    <row r="6196" spans="1:2" x14ac:dyDescent="0.2">
      <c r="A6196">
        <v>6190</v>
      </c>
      <c r="B6196" t="s">
        <v>54</v>
      </c>
    </row>
    <row r="6197" spans="1:2" x14ac:dyDescent="0.2">
      <c r="A6197">
        <v>6191</v>
      </c>
      <c r="B6197" t="s">
        <v>54</v>
      </c>
    </row>
    <row r="6198" spans="1:2" x14ac:dyDescent="0.2">
      <c r="A6198">
        <v>6192</v>
      </c>
      <c r="B6198" t="s">
        <v>54</v>
      </c>
    </row>
    <row r="6199" spans="1:2" x14ac:dyDescent="0.2">
      <c r="A6199">
        <v>6193</v>
      </c>
      <c r="B6199" t="s">
        <v>54</v>
      </c>
    </row>
    <row r="6200" spans="1:2" x14ac:dyDescent="0.2">
      <c r="A6200">
        <v>6194</v>
      </c>
      <c r="B6200" t="s">
        <v>54</v>
      </c>
    </row>
    <row r="6201" spans="1:2" x14ac:dyDescent="0.2">
      <c r="A6201">
        <v>6195</v>
      </c>
      <c r="B6201" t="s">
        <v>54</v>
      </c>
    </row>
    <row r="6202" spans="1:2" x14ac:dyDescent="0.2">
      <c r="A6202">
        <v>6196</v>
      </c>
      <c r="B6202" t="s">
        <v>54</v>
      </c>
    </row>
    <row r="6203" spans="1:2" x14ac:dyDescent="0.2">
      <c r="A6203">
        <v>6197</v>
      </c>
      <c r="B6203" t="s">
        <v>54</v>
      </c>
    </row>
    <row r="6204" spans="1:2" x14ac:dyDescent="0.2">
      <c r="A6204">
        <v>6198</v>
      </c>
      <c r="B6204" t="s">
        <v>54</v>
      </c>
    </row>
    <row r="6205" spans="1:2" x14ac:dyDescent="0.2">
      <c r="A6205">
        <v>6199</v>
      </c>
      <c r="B6205" t="s">
        <v>54</v>
      </c>
    </row>
    <row r="6206" spans="1:2" x14ac:dyDescent="0.2">
      <c r="A6206">
        <v>6200</v>
      </c>
      <c r="B6206" t="s">
        <v>54</v>
      </c>
    </row>
    <row r="6207" spans="1:2" x14ac:dyDescent="0.2">
      <c r="A6207">
        <v>6201</v>
      </c>
      <c r="B6207" t="s">
        <v>54</v>
      </c>
    </row>
    <row r="6208" spans="1:2" x14ac:dyDescent="0.2">
      <c r="A6208">
        <v>6202</v>
      </c>
      <c r="B6208" t="s">
        <v>54</v>
      </c>
    </row>
    <row r="6209" spans="1:2" x14ac:dyDescent="0.2">
      <c r="A6209">
        <v>6203</v>
      </c>
      <c r="B6209" t="s">
        <v>54</v>
      </c>
    </row>
    <row r="6210" spans="1:2" x14ac:dyDescent="0.2">
      <c r="A6210">
        <v>6204</v>
      </c>
      <c r="B6210" t="s">
        <v>54</v>
      </c>
    </row>
    <row r="6211" spans="1:2" x14ac:dyDescent="0.2">
      <c r="A6211">
        <v>6205</v>
      </c>
      <c r="B6211" t="s">
        <v>54</v>
      </c>
    </row>
    <row r="6212" spans="1:2" x14ac:dyDescent="0.2">
      <c r="A6212">
        <v>6206</v>
      </c>
      <c r="B6212" t="s">
        <v>54</v>
      </c>
    </row>
    <row r="6213" spans="1:2" x14ac:dyDescent="0.2">
      <c r="A6213">
        <v>6207</v>
      </c>
      <c r="B6213" t="s">
        <v>54</v>
      </c>
    </row>
    <row r="6214" spans="1:2" x14ac:dyDescent="0.2">
      <c r="A6214">
        <v>6208</v>
      </c>
      <c r="B6214" t="s">
        <v>54</v>
      </c>
    </row>
    <row r="6215" spans="1:2" x14ac:dyDescent="0.2">
      <c r="A6215">
        <v>6209</v>
      </c>
      <c r="B6215" t="s">
        <v>54</v>
      </c>
    </row>
    <row r="6216" spans="1:2" x14ac:dyDescent="0.2">
      <c r="A6216">
        <v>6210</v>
      </c>
      <c r="B6216" t="s">
        <v>54</v>
      </c>
    </row>
    <row r="6217" spans="1:2" x14ac:dyDescent="0.2">
      <c r="A6217">
        <v>6211</v>
      </c>
      <c r="B6217" t="s">
        <v>54</v>
      </c>
    </row>
    <row r="6218" spans="1:2" x14ac:dyDescent="0.2">
      <c r="A6218">
        <v>6212</v>
      </c>
      <c r="B6218" t="s">
        <v>54</v>
      </c>
    </row>
    <row r="6219" spans="1:2" x14ac:dyDescent="0.2">
      <c r="A6219">
        <v>6213</v>
      </c>
      <c r="B6219" t="s">
        <v>54</v>
      </c>
    </row>
    <row r="6220" spans="1:2" x14ac:dyDescent="0.2">
      <c r="A6220">
        <v>6214</v>
      </c>
      <c r="B6220" t="s">
        <v>54</v>
      </c>
    </row>
    <row r="6221" spans="1:2" x14ac:dyDescent="0.2">
      <c r="A6221">
        <v>6215</v>
      </c>
      <c r="B6221" t="s">
        <v>54</v>
      </c>
    </row>
    <row r="6222" spans="1:2" x14ac:dyDescent="0.2">
      <c r="A6222">
        <v>6216</v>
      </c>
      <c r="B6222" t="s">
        <v>54</v>
      </c>
    </row>
    <row r="6223" spans="1:2" x14ac:dyDescent="0.2">
      <c r="A6223">
        <v>6217</v>
      </c>
      <c r="B6223" t="s">
        <v>54</v>
      </c>
    </row>
    <row r="6224" spans="1:2" x14ac:dyDescent="0.2">
      <c r="A6224">
        <v>6218</v>
      </c>
      <c r="B6224" t="s">
        <v>54</v>
      </c>
    </row>
    <row r="6225" spans="1:2" x14ac:dyDescent="0.2">
      <c r="A6225">
        <v>6219</v>
      </c>
      <c r="B6225" t="s">
        <v>54</v>
      </c>
    </row>
    <row r="6226" spans="1:2" x14ac:dyDescent="0.2">
      <c r="A6226">
        <v>6220</v>
      </c>
      <c r="B6226" t="s">
        <v>54</v>
      </c>
    </row>
    <row r="6227" spans="1:2" x14ac:dyDescent="0.2">
      <c r="A6227">
        <v>6221</v>
      </c>
      <c r="B6227" t="s">
        <v>54</v>
      </c>
    </row>
    <row r="6228" spans="1:2" x14ac:dyDescent="0.2">
      <c r="A6228">
        <v>6222</v>
      </c>
      <c r="B6228" t="s">
        <v>54</v>
      </c>
    </row>
    <row r="6229" spans="1:2" x14ac:dyDescent="0.2">
      <c r="A6229">
        <v>6223</v>
      </c>
      <c r="B6229" t="s">
        <v>54</v>
      </c>
    </row>
    <row r="6230" spans="1:2" x14ac:dyDescent="0.2">
      <c r="A6230">
        <v>6224</v>
      </c>
      <c r="B6230" t="s">
        <v>54</v>
      </c>
    </row>
    <row r="6231" spans="1:2" x14ac:dyDescent="0.2">
      <c r="A6231">
        <v>6225</v>
      </c>
      <c r="B6231" t="s">
        <v>54</v>
      </c>
    </row>
    <row r="6232" spans="1:2" x14ac:dyDescent="0.2">
      <c r="A6232">
        <v>6226</v>
      </c>
      <c r="B6232" t="s">
        <v>54</v>
      </c>
    </row>
    <row r="6233" spans="1:2" x14ac:dyDescent="0.2">
      <c r="A6233">
        <v>6227</v>
      </c>
      <c r="B6233" t="s">
        <v>54</v>
      </c>
    </row>
    <row r="6234" spans="1:2" x14ac:dyDescent="0.2">
      <c r="A6234">
        <v>6228</v>
      </c>
      <c r="B6234" t="s">
        <v>54</v>
      </c>
    </row>
    <row r="6235" spans="1:2" x14ac:dyDescent="0.2">
      <c r="A6235">
        <v>6229</v>
      </c>
      <c r="B6235" t="s">
        <v>54</v>
      </c>
    </row>
    <row r="6236" spans="1:2" x14ac:dyDescent="0.2">
      <c r="A6236">
        <v>6230</v>
      </c>
      <c r="B6236" t="s">
        <v>54</v>
      </c>
    </row>
    <row r="6237" spans="1:2" x14ac:dyDescent="0.2">
      <c r="A6237">
        <v>6231</v>
      </c>
      <c r="B6237" t="s">
        <v>54</v>
      </c>
    </row>
    <row r="6238" spans="1:2" x14ac:dyDescent="0.2">
      <c r="A6238">
        <v>6232</v>
      </c>
      <c r="B6238" t="s">
        <v>54</v>
      </c>
    </row>
    <row r="6239" spans="1:2" x14ac:dyDescent="0.2">
      <c r="A6239">
        <v>6233</v>
      </c>
      <c r="B6239" t="s">
        <v>54</v>
      </c>
    </row>
    <row r="6240" spans="1:2" x14ac:dyDescent="0.2">
      <c r="A6240">
        <v>6234</v>
      </c>
      <c r="B6240" t="s">
        <v>54</v>
      </c>
    </row>
    <row r="6241" spans="1:2" x14ac:dyDescent="0.2">
      <c r="A6241">
        <v>6235</v>
      </c>
      <c r="B6241" t="s">
        <v>54</v>
      </c>
    </row>
    <row r="6242" spans="1:2" x14ac:dyDescent="0.2">
      <c r="A6242">
        <v>6236</v>
      </c>
      <c r="B6242" t="s">
        <v>54</v>
      </c>
    </row>
    <row r="6243" spans="1:2" x14ac:dyDescent="0.2">
      <c r="A6243">
        <v>6237</v>
      </c>
      <c r="B6243" t="s">
        <v>54</v>
      </c>
    </row>
    <row r="6244" spans="1:2" x14ac:dyDescent="0.2">
      <c r="A6244">
        <v>6238</v>
      </c>
      <c r="B6244" t="s">
        <v>54</v>
      </c>
    </row>
    <row r="6245" spans="1:2" x14ac:dyDescent="0.2">
      <c r="A6245">
        <v>6239</v>
      </c>
      <c r="B6245" t="s">
        <v>54</v>
      </c>
    </row>
    <row r="6246" spans="1:2" x14ac:dyDescent="0.2">
      <c r="A6246">
        <v>6240</v>
      </c>
      <c r="B6246" t="s">
        <v>54</v>
      </c>
    </row>
    <row r="6247" spans="1:2" x14ac:dyDescent="0.2">
      <c r="A6247">
        <v>6241</v>
      </c>
      <c r="B6247" t="s">
        <v>54</v>
      </c>
    </row>
    <row r="6248" spans="1:2" x14ac:dyDescent="0.2">
      <c r="A6248">
        <v>6242</v>
      </c>
      <c r="B6248" t="s">
        <v>54</v>
      </c>
    </row>
    <row r="6249" spans="1:2" x14ac:dyDescent="0.2">
      <c r="A6249">
        <v>6243</v>
      </c>
      <c r="B6249" t="s">
        <v>54</v>
      </c>
    </row>
    <row r="6250" spans="1:2" x14ac:dyDescent="0.2">
      <c r="A6250">
        <v>6244</v>
      </c>
      <c r="B6250" t="s">
        <v>54</v>
      </c>
    </row>
    <row r="6251" spans="1:2" x14ac:dyDescent="0.2">
      <c r="A6251">
        <v>6245</v>
      </c>
      <c r="B6251" t="s">
        <v>54</v>
      </c>
    </row>
    <row r="6252" spans="1:2" x14ac:dyDescent="0.2">
      <c r="A6252">
        <v>6246</v>
      </c>
      <c r="B6252" t="s">
        <v>54</v>
      </c>
    </row>
    <row r="6253" spans="1:2" x14ac:dyDescent="0.2">
      <c r="A6253">
        <v>6247</v>
      </c>
      <c r="B6253" t="s">
        <v>54</v>
      </c>
    </row>
    <row r="6254" spans="1:2" x14ac:dyDescent="0.2">
      <c r="A6254">
        <v>6248</v>
      </c>
      <c r="B6254" t="s">
        <v>54</v>
      </c>
    </row>
    <row r="6255" spans="1:2" x14ac:dyDescent="0.2">
      <c r="A6255">
        <v>6249</v>
      </c>
      <c r="B6255" t="s">
        <v>54</v>
      </c>
    </row>
    <row r="6256" spans="1:2" x14ac:dyDescent="0.2">
      <c r="A6256">
        <v>6250</v>
      </c>
      <c r="B6256" t="s">
        <v>54</v>
      </c>
    </row>
    <row r="6257" spans="1:2" x14ac:dyDescent="0.2">
      <c r="A6257">
        <v>6251</v>
      </c>
      <c r="B6257" t="s">
        <v>54</v>
      </c>
    </row>
    <row r="6258" spans="1:2" x14ac:dyDescent="0.2">
      <c r="A6258">
        <v>6252</v>
      </c>
      <c r="B6258" t="s">
        <v>54</v>
      </c>
    </row>
    <row r="6259" spans="1:2" x14ac:dyDescent="0.2">
      <c r="A6259">
        <v>6253</v>
      </c>
      <c r="B6259" t="s">
        <v>54</v>
      </c>
    </row>
    <row r="6260" spans="1:2" x14ac:dyDescent="0.2">
      <c r="A6260">
        <v>6254</v>
      </c>
      <c r="B6260" t="s">
        <v>54</v>
      </c>
    </row>
    <row r="6261" spans="1:2" x14ac:dyDescent="0.2">
      <c r="A6261">
        <v>6255</v>
      </c>
      <c r="B6261" t="s">
        <v>54</v>
      </c>
    </row>
    <row r="6262" spans="1:2" x14ac:dyDescent="0.2">
      <c r="A6262">
        <v>6256</v>
      </c>
      <c r="B6262" t="s">
        <v>54</v>
      </c>
    </row>
    <row r="6263" spans="1:2" x14ac:dyDescent="0.2">
      <c r="A6263">
        <v>6257</v>
      </c>
      <c r="B6263" t="s">
        <v>54</v>
      </c>
    </row>
    <row r="6264" spans="1:2" x14ac:dyDescent="0.2">
      <c r="A6264">
        <v>6258</v>
      </c>
      <c r="B6264" t="s">
        <v>54</v>
      </c>
    </row>
    <row r="6265" spans="1:2" x14ac:dyDescent="0.2">
      <c r="A6265">
        <v>6259</v>
      </c>
      <c r="B6265" t="s">
        <v>54</v>
      </c>
    </row>
    <row r="6266" spans="1:2" x14ac:dyDescent="0.2">
      <c r="A6266">
        <v>6260</v>
      </c>
      <c r="B6266" t="s">
        <v>54</v>
      </c>
    </row>
    <row r="6267" spans="1:2" x14ac:dyDescent="0.2">
      <c r="A6267">
        <v>6261</v>
      </c>
      <c r="B6267" t="s">
        <v>54</v>
      </c>
    </row>
    <row r="6268" spans="1:2" x14ac:dyDescent="0.2">
      <c r="A6268">
        <v>6262</v>
      </c>
      <c r="B6268" t="s">
        <v>54</v>
      </c>
    </row>
    <row r="6269" spans="1:2" x14ac:dyDescent="0.2">
      <c r="A6269">
        <v>6263</v>
      </c>
      <c r="B6269" t="s">
        <v>54</v>
      </c>
    </row>
    <row r="6270" spans="1:2" x14ac:dyDescent="0.2">
      <c r="A6270">
        <v>6264</v>
      </c>
      <c r="B6270" t="s">
        <v>54</v>
      </c>
    </row>
    <row r="6271" spans="1:2" x14ac:dyDescent="0.2">
      <c r="A6271">
        <v>6265</v>
      </c>
      <c r="B6271" t="s">
        <v>54</v>
      </c>
    </row>
    <row r="6272" spans="1:2" x14ac:dyDescent="0.2">
      <c r="A6272">
        <v>6266</v>
      </c>
      <c r="B6272" t="s">
        <v>54</v>
      </c>
    </row>
    <row r="6273" spans="1:2" x14ac:dyDescent="0.2">
      <c r="A6273">
        <v>6267</v>
      </c>
      <c r="B6273" t="s">
        <v>54</v>
      </c>
    </row>
    <row r="6274" spans="1:2" x14ac:dyDescent="0.2">
      <c r="A6274">
        <v>6268</v>
      </c>
      <c r="B6274" t="s">
        <v>54</v>
      </c>
    </row>
    <row r="6275" spans="1:2" x14ac:dyDescent="0.2">
      <c r="A6275">
        <v>6269</v>
      </c>
      <c r="B6275" t="s">
        <v>54</v>
      </c>
    </row>
    <row r="6276" spans="1:2" x14ac:dyDescent="0.2">
      <c r="A6276">
        <v>6270</v>
      </c>
      <c r="B6276" t="s">
        <v>54</v>
      </c>
    </row>
    <row r="6277" spans="1:2" x14ac:dyDescent="0.2">
      <c r="A6277">
        <v>6271</v>
      </c>
      <c r="B6277" t="s">
        <v>54</v>
      </c>
    </row>
    <row r="6278" spans="1:2" x14ac:dyDescent="0.2">
      <c r="A6278">
        <v>6272</v>
      </c>
      <c r="B6278" t="s">
        <v>54</v>
      </c>
    </row>
    <row r="6279" spans="1:2" x14ac:dyDescent="0.2">
      <c r="A6279">
        <v>6273</v>
      </c>
      <c r="B6279" t="s">
        <v>54</v>
      </c>
    </row>
    <row r="6280" spans="1:2" x14ac:dyDescent="0.2">
      <c r="A6280">
        <v>6274</v>
      </c>
      <c r="B6280" t="s">
        <v>54</v>
      </c>
    </row>
    <row r="6281" spans="1:2" x14ac:dyDescent="0.2">
      <c r="A6281">
        <v>6275</v>
      </c>
      <c r="B6281" t="s">
        <v>54</v>
      </c>
    </row>
    <row r="6282" spans="1:2" x14ac:dyDescent="0.2">
      <c r="A6282">
        <v>6276</v>
      </c>
      <c r="B6282" t="s">
        <v>54</v>
      </c>
    </row>
    <row r="6283" spans="1:2" x14ac:dyDescent="0.2">
      <c r="A6283">
        <v>6277</v>
      </c>
      <c r="B6283" t="s">
        <v>54</v>
      </c>
    </row>
    <row r="6284" spans="1:2" x14ac:dyDescent="0.2">
      <c r="A6284">
        <v>6278</v>
      </c>
      <c r="B6284" t="s">
        <v>54</v>
      </c>
    </row>
    <row r="6285" spans="1:2" x14ac:dyDescent="0.2">
      <c r="A6285">
        <v>6279</v>
      </c>
      <c r="B6285" t="s">
        <v>54</v>
      </c>
    </row>
    <row r="6286" spans="1:2" x14ac:dyDescent="0.2">
      <c r="A6286">
        <v>6280</v>
      </c>
      <c r="B6286" t="s">
        <v>54</v>
      </c>
    </row>
    <row r="6287" spans="1:2" x14ac:dyDescent="0.2">
      <c r="A6287">
        <v>6281</v>
      </c>
      <c r="B6287" t="s">
        <v>54</v>
      </c>
    </row>
    <row r="6288" spans="1:2" x14ac:dyDescent="0.2">
      <c r="A6288">
        <v>6282</v>
      </c>
      <c r="B6288" t="s">
        <v>54</v>
      </c>
    </row>
    <row r="6289" spans="1:2" x14ac:dyDescent="0.2">
      <c r="A6289">
        <v>6283</v>
      </c>
      <c r="B6289" t="s">
        <v>54</v>
      </c>
    </row>
    <row r="6290" spans="1:2" x14ac:dyDescent="0.2">
      <c r="A6290">
        <v>6284</v>
      </c>
      <c r="B6290" t="s">
        <v>54</v>
      </c>
    </row>
    <row r="6291" spans="1:2" x14ac:dyDescent="0.2">
      <c r="A6291">
        <v>6285</v>
      </c>
      <c r="B6291" t="s">
        <v>54</v>
      </c>
    </row>
    <row r="6292" spans="1:2" x14ac:dyDescent="0.2">
      <c r="A6292">
        <v>6286</v>
      </c>
      <c r="B6292" t="s">
        <v>54</v>
      </c>
    </row>
    <row r="6293" spans="1:2" x14ac:dyDescent="0.2">
      <c r="A6293">
        <v>6287</v>
      </c>
      <c r="B6293" t="s">
        <v>54</v>
      </c>
    </row>
    <row r="6294" spans="1:2" x14ac:dyDescent="0.2">
      <c r="A6294">
        <v>6288</v>
      </c>
      <c r="B6294" t="s">
        <v>54</v>
      </c>
    </row>
    <row r="6295" spans="1:2" x14ac:dyDescent="0.2">
      <c r="A6295">
        <v>6289</v>
      </c>
      <c r="B6295" t="s">
        <v>54</v>
      </c>
    </row>
    <row r="6296" spans="1:2" x14ac:dyDescent="0.2">
      <c r="A6296">
        <v>6290</v>
      </c>
      <c r="B6296" t="s">
        <v>54</v>
      </c>
    </row>
    <row r="6297" spans="1:2" x14ac:dyDescent="0.2">
      <c r="A6297">
        <v>6291</v>
      </c>
      <c r="B6297" t="s">
        <v>54</v>
      </c>
    </row>
    <row r="6298" spans="1:2" x14ac:dyDescent="0.2">
      <c r="A6298">
        <v>6292</v>
      </c>
      <c r="B6298" t="s">
        <v>54</v>
      </c>
    </row>
    <row r="6299" spans="1:2" x14ac:dyDescent="0.2">
      <c r="A6299">
        <v>6293</v>
      </c>
      <c r="B6299" t="s">
        <v>54</v>
      </c>
    </row>
    <row r="6300" spans="1:2" x14ac:dyDescent="0.2">
      <c r="A6300">
        <v>6294</v>
      </c>
      <c r="B6300" t="s">
        <v>54</v>
      </c>
    </row>
    <row r="6301" spans="1:2" x14ac:dyDescent="0.2">
      <c r="A6301">
        <v>6295</v>
      </c>
      <c r="B6301" t="s">
        <v>54</v>
      </c>
    </row>
    <row r="6302" spans="1:2" x14ac:dyDescent="0.2">
      <c r="A6302">
        <v>6296</v>
      </c>
      <c r="B6302" t="s">
        <v>54</v>
      </c>
    </row>
    <row r="6303" spans="1:2" x14ac:dyDescent="0.2">
      <c r="A6303">
        <v>6297</v>
      </c>
      <c r="B6303" t="s">
        <v>54</v>
      </c>
    </row>
    <row r="6304" spans="1:2" x14ac:dyDescent="0.2">
      <c r="A6304">
        <v>6298</v>
      </c>
      <c r="B6304" t="s">
        <v>54</v>
      </c>
    </row>
    <row r="6305" spans="1:2" x14ac:dyDescent="0.2">
      <c r="A6305">
        <v>6299</v>
      </c>
      <c r="B6305" t="s">
        <v>54</v>
      </c>
    </row>
    <row r="6306" spans="1:2" x14ac:dyDescent="0.2">
      <c r="A6306">
        <v>6300</v>
      </c>
      <c r="B6306" t="s">
        <v>54</v>
      </c>
    </row>
    <row r="6307" spans="1:2" x14ac:dyDescent="0.2">
      <c r="A6307">
        <v>6301</v>
      </c>
      <c r="B6307" t="s">
        <v>54</v>
      </c>
    </row>
    <row r="6308" spans="1:2" x14ac:dyDescent="0.2">
      <c r="A6308">
        <v>6302</v>
      </c>
      <c r="B6308" t="s">
        <v>54</v>
      </c>
    </row>
    <row r="6309" spans="1:2" x14ac:dyDescent="0.2">
      <c r="A6309">
        <v>6303</v>
      </c>
      <c r="B6309" t="s">
        <v>54</v>
      </c>
    </row>
    <row r="6310" spans="1:2" x14ac:dyDescent="0.2">
      <c r="A6310">
        <v>6304</v>
      </c>
      <c r="B6310" t="s">
        <v>54</v>
      </c>
    </row>
    <row r="6311" spans="1:2" x14ac:dyDescent="0.2">
      <c r="A6311">
        <v>6305</v>
      </c>
      <c r="B6311" t="s">
        <v>54</v>
      </c>
    </row>
    <row r="6312" spans="1:2" x14ac:dyDescent="0.2">
      <c r="A6312">
        <v>6306</v>
      </c>
      <c r="B6312" t="s">
        <v>54</v>
      </c>
    </row>
    <row r="6313" spans="1:2" x14ac:dyDescent="0.2">
      <c r="A6313">
        <v>6307</v>
      </c>
      <c r="B6313" t="s">
        <v>54</v>
      </c>
    </row>
    <row r="6314" spans="1:2" x14ac:dyDescent="0.2">
      <c r="A6314">
        <v>6308</v>
      </c>
      <c r="B6314" t="s">
        <v>54</v>
      </c>
    </row>
    <row r="6315" spans="1:2" x14ac:dyDescent="0.2">
      <c r="A6315">
        <v>6309</v>
      </c>
      <c r="B6315" t="s">
        <v>54</v>
      </c>
    </row>
    <row r="6316" spans="1:2" x14ac:dyDescent="0.2">
      <c r="A6316">
        <v>6310</v>
      </c>
      <c r="B6316" t="s">
        <v>54</v>
      </c>
    </row>
    <row r="6317" spans="1:2" x14ac:dyDescent="0.2">
      <c r="A6317">
        <v>6311</v>
      </c>
      <c r="B6317" t="s">
        <v>54</v>
      </c>
    </row>
    <row r="6318" spans="1:2" x14ac:dyDescent="0.2">
      <c r="A6318">
        <v>6312</v>
      </c>
      <c r="B6318" t="s">
        <v>54</v>
      </c>
    </row>
    <row r="6319" spans="1:2" x14ac:dyDescent="0.2">
      <c r="A6319">
        <v>6313</v>
      </c>
      <c r="B6319" t="s">
        <v>54</v>
      </c>
    </row>
    <row r="6320" spans="1:2" x14ac:dyDescent="0.2">
      <c r="A6320">
        <v>6314</v>
      </c>
      <c r="B6320" t="s">
        <v>54</v>
      </c>
    </row>
    <row r="6321" spans="1:2" x14ac:dyDescent="0.2">
      <c r="A6321">
        <v>6315</v>
      </c>
      <c r="B6321" t="s">
        <v>54</v>
      </c>
    </row>
    <row r="6322" spans="1:2" x14ac:dyDescent="0.2">
      <c r="A6322">
        <v>6316</v>
      </c>
      <c r="B6322" t="s">
        <v>54</v>
      </c>
    </row>
    <row r="6323" spans="1:2" x14ac:dyDescent="0.2">
      <c r="A6323">
        <v>6317</v>
      </c>
      <c r="B6323" t="s">
        <v>54</v>
      </c>
    </row>
    <row r="6324" spans="1:2" x14ac:dyDescent="0.2">
      <c r="A6324">
        <v>6318</v>
      </c>
      <c r="B6324" t="s">
        <v>54</v>
      </c>
    </row>
    <row r="6325" spans="1:2" x14ac:dyDescent="0.2">
      <c r="A6325">
        <v>6319</v>
      </c>
      <c r="B6325" t="s">
        <v>54</v>
      </c>
    </row>
    <row r="6326" spans="1:2" x14ac:dyDescent="0.2">
      <c r="A6326">
        <v>6320</v>
      </c>
      <c r="B6326" t="s">
        <v>54</v>
      </c>
    </row>
    <row r="6327" spans="1:2" x14ac:dyDescent="0.2">
      <c r="A6327">
        <v>6321</v>
      </c>
      <c r="B6327" t="s">
        <v>54</v>
      </c>
    </row>
    <row r="6328" spans="1:2" x14ac:dyDescent="0.2">
      <c r="A6328">
        <v>6322</v>
      </c>
      <c r="B6328" t="s">
        <v>54</v>
      </c>
    </row>
    <row r="6329" spans="1:2" x14ac:dyDescent="0.2">
      <c r="A6329">
        <v>6323</v>
      </c>
      <c r="B6329" t="s">
        <v>54</v>
      </c>
    </row>
    <row r="6330" spans="1:2" x14ac:dyDescent="0.2">
      <c r="A6330">
        <v>6324</v>
      </c>
      <c r="B6330" t="s">
        <v>54</v>
      </c>
    </row>
    <row r="6331" spans="1:2" x14ac:dyDescent="0.2">
      <c r="A6331">
        <v>6325</v>
      </c>
      <c r="B6331" t="s">
        <v>54</v>
      </c>
    </row>
    <row r="6332" spans="1:2" x14ac:dyDescent="0.2">
      <c r="A6332">
        <v>6326</v>
      </c>
      <c r="B6332" t="s">
        <v>54</v>
      </c>
    </row>
    <row r="6333" spans="1:2" x14ac:dyDescent="0.2">
      <c r="A6333">
        <v>6327</v>
      </c>
      <c r="B6333" t="s">
        <v>54</v>
      </c>
    </row>
    <row r="6334" spans="1:2" x14ac:dyDescent="0.2">
      <c r="A6334">
        <v>6328</v>
      </c>
      <c r="B6334" t="s">
        <v>54</v>
      </c>
    </row>
    <row r="6335" spans="1:2" x14ac:dyDescent="0.2">
      <c r="A6335">
        <v>6329</v>
      </c>
      <c r="B6335" t="s">
        <v>54</v>
      </c>
    </row>
    <row r="6336" spans="1:2" x14ac:dyDescent="0.2">
      <c r="A6336">
        <v>6330</v>
      </c>
      <c r="B6336" t="s">
        <v>54</v>
      </c>
    </row>
    <row r="6337" spans="1:2" x14ac:dyDescent="0.2">
      <c r="A6337">
        <v>6331</v>
      </c>
      <c r="B6337" t="s">
        <v>54</v>
      </c>
    </row>
    <row r="6338" spans="1:2" x14ac:dyDescent="0.2">
      <c r="A6338">
        <v>6332</v>
      </c>
      <c r="B6338" t="s">
        <v>54</v>
      </c>
    </row>
    <row r="6339" spans="1:2" x14ac:dyDescent="0.2">
      <c r="A6339">
        <v>6333</v>
      </c>
      <c r="B6339" t="s">
        <v>54</v>
      </c>
    </row>
    <row r="6340" spans="1:2" x14ac:dyDescent="0.2">
      <c r="A6340">
        <v>6334</v>
      </c>
      <c r="B6340" t="s">
        <v>54</v>
      </c>
    </row>
    <row r="6341" spans="1:2" x14ac:dyDescent="0.2">
      <c r="A6341">
        <v>6335</v>
      </c>
      <c r="B6341" t="s">
        <v>54</v>
      </c>
    </row>
    <row r="6342" spans="1:2" x14ac:dyDescent="0.2">
      <c r="A6342">
        <v>6336</v>
      </c>
      <c r="B6342" t="s">
        <v>54</v>
      </c>
    </row>
    <row r="6343" spans="1:2" x14ac:dyDescent="0.2">
      <c r="A6343">
        <v>6337</v>
      </c>
      <c r="B6343" t="s">
        <v>54</v>
      </c>
    </row>
    <row r="6344" spans="1:2" x14ac:dyDescent="0.2">
      <c r="A6344">
        <v>6338</v>
      </c>
      <c r="B6344" t="s">
        <v>54</v>
      </c>
    </row>
    <row r="6345" spans="1:2" x14ac:dyDescent="0.2">
      <c r="A6345">
        <v>6339</v>
      </c>
      <c r="B6345" t="s">
        <v>54</v>
      </c>
    </row>
    <row r="6346" spans="1:2" x14ac:dyDescent="0.2">
      <c r="A6346">
        <v>6340</v>
      </c>
      <c r="B6346" t="s">
        <v>54</v>
      </c>
    </row>
    <row r="6347" spans="1:2" x14ac:dyDescent="0.2">
      <c r="A6347">
        <v>6341</v>
      </c>
      <c r="B6347" t="s">
        <v>54</v>
      </c>
    </row>
    <row r="6348" spans="1:2" x14ac:dyDescent="0.2">
      <c r="A6348">
        <v>6342</v>
      </c>
      <c r="B6348" t="s">
        <v>54</v>
      </c>
    </row>
    <row r="6349" spans="1:2" x14ac:dyDescent="0.2">
      <c r="A6349">
        <v>6343</v>
      </c>
      <c r="B6349" t="s">
        <v>54</v>
      </c>
    </row>
    <row r="6350" spans="1:2" x14ac:dyDescent="0.2">
      <c r="A6350">
        <v>6344</v>
      </c>
      <c r="B6350" t="s">
        <v>54</v>
      </c>
    </row>
    <row r="6351" spans="1:2" x14ac:dyDescent="0.2">
      <c r="A6351">
        <v>6345</v>
      </c>
      <c r="B6351" t="s">
        <v>54</v>
      </c>
    </row>
    <row r="6352" spans="1:2" x14ac:dyDescent="0.2">
      <c r="A6352">
        <v>6346</v>
      </c>
      <c r="B6352" t="s">
        <v>54</v>
      </c>
    </row>
    <row r="6353" spans="1:2" x14ac:dyDescent="0.2">
      <c r="A6353">
        <v>6347</v>
      </c>
      <c r="B6353" t="s">
        <v>54</v>
      </c>
    </row>
    <row r="6354" spans="1:2" x14ac:dyDescent="0.2">
      <c r="A6354">
        <v>6348</v>
      </c>
      <c r="B6354" t="s">
        <v>54</v>
      </c>
    </row>
    <row r="6355" spans="1:2" x14ac:dyDescent="0.2">
      <c r="A6355">
        <v>6349</v>
      </c>
      <c r="B6355" t="s">
        <v>54</v>
      </c>
    </row>
    <row r="6356" spans="1:2" x14ac:dyDescent="0.2">
      <c r="A6356">
        <v>6350</v>
      </c>
      <c r="B6356" t="s">
        <v>54</v>
      </c>
    </row>
    <row r="6357" spans="1:2" x14ac:dyDescent="0.2">
      <c r="A6357">
        <v>6351</v>
      </c>
      <c r="B6357" t="s">
        <v>54</v>
      </c>
    </row>
    <row r="6358" spans="1:2" x14ac:dyDescent="0.2">
      <c r="A6358">
        <v>6352</v>
      </c>
      <c r="B6358" t="s">
        <v>54</v>
      </c>
    </row>
    <row r="6359" spans="1:2" x14ac:dyDescent="0.2">
      <c r="A6359">
        <v>6353</v>
      </c>
      <c r="B6359" t="s">
        <v>54</v>
      </c>
    </row>
    <row r="6360" spans="1:2" x14ac:dyDescent="0.2">
      <c r="A6360">
        <v>6354</v>
      </c>
      <c r="B6360" t="s">
        <v>54</v>
      </c>
    </row>
    <row r="6361" spans="1:2" x14ac:dyDescent="0.2">
      <c r="A6361">
        <v>6355</v>
      </c>
      <c r="B6361" t="s">
        <v>54</v>
      </c>
    </row>
    <row r="6362" spans="1:2" x14ac:dyDescent="0.2">
      <c r="A6362">
        <v>6356</v>
      </c>
      <c r="B6362" t="s">
        <v>54</v>
      </c>
    </row>
    <row r="6363" spans="1:2" x14ac:dyDescent="0.2">
      <c r="A6363">
        <v>6357</v>
      </c>
      <c r="B6363" t="s">
        <v>54</v>
      </c>
    </row>
    <row r="6364" spans="1:2" x14ac:dyDescent="0.2">
      <c r="A6364">
        <v>6358</v>
      </c>
      <c r="B6364" t="s">
        <v>54</v>
      </c>
    </row>
    <row r="6365" spans="1:2" x14ac:dyDescent="0.2">
      <c r="A6365">
        <v>6359</v>
      </c>
      <c r="B6365" t="s">
        <v>54</v>
      </c>
    </row>
    <row r="6366" spans="1:2" x14ac:dyDescent="0.2">
      <c r="A6366">
        <v>6360</v>
      </c>
      <c r="B6366" t="s">
        <v>54</v>
      </c>
    </row>
    <row r="6367" spans="1:2" x14ac:dyDescent="0.2">
      <c r="A6367">
        <v>6361</v>
      </c>
      <c r="B6367" t="s">
        <v>54</v>
      </c>
    </row>
    <row r="6368" spans="1:2" x14ac:dyDescent="0.2">
      <c r="A6368">
        <v>6362</v>
      </c>
      <c r="B6368" t="s">
        <v>54</v>
      </c>
    </row>
    <row r="6369" spans="1:2" x14ac:dyDescent="0.2">
      <c r="A6369">
        <v>6363</v>
      </c>
      <c r="B6369" t="s">
        <v>54</v>
      </c>
    </row>
    <row r="6370" spans="1:2" x14ac:dyDescent="0.2">
      <c r="A6370">
        <v>6364</v>
      </c>
      <c r="B6370" t="s">
        <v>54</v>
      </c>
    </row>
    <row r="6371" spans="1:2" x14ac:dyDescent="0.2">
      <c r="A6371">
        <v>6365</v>
      </c>
      <c r="B6371" t="s">
        <v>54</v>
      </c>
    </row>
    <row r="6372" spans="1:2" x14ac:dyDescent="0.2">
      <c r="A6372">
        <v>6366</v>
      </c>
      <c r="B6372" t="s">
        <v>54</v>
      </c>
    </row>
    <row r="6373" spans="1:2" x14ac:dyDescent="0.2">
      <c r="A6373">
        <v>6367</v>
      </c>
      <c r="B6373" t="s">
        <v>54</v>
      </c>
    </row>
    <row r="6374" spans="1:2" x14ac:dyDescent="0.2">
      <c r="A6374">
        <v>6368</v>
      </c>
      <c r="B6374" t="s">
        <v>54</v>
      </c>
    </row>
    <row r="6375" spans="1:2" x14ac:dyDescent="0.2">
      <c r="A6375">
        <v>6369</v>
      </c>
      <c r="B6375" t="s">
        <v>54</v>
      </c>
    </row>
    <row r="6376" spans="1:2" x14ac:dyDescent="0.2">
      <c r="A6376">
        <v>6370</v>
      </c>
      <c r="B6376" t="s">
        <v>54</v>
      </c>
    </row>
    <row r="6377" spans="1:2" x14ac:dyDescent="0.2">
      <c r="A6377">
        <v>6371</v>
      </c>
      <c r="B6377" t="s">
        <v>54</v>
      </c>
    </row>
    <row r="6378" spans="1:2" x14ac:dyDescent="0.2">
      <c r="A6378">
        <v>6372</v>
      </c>
      <c r="B6378" t="s">
        <v>54</v>
      </c>
    </row>
    <row r="6379" spans="1:2" x14ac:dyDescent="0.2">
      <c r="A6379">
        <v>6373</v>
      </c>
      <c r="B6379" t="s">
        <v>54</v>
      </c>
    </row>
    <row r="6380" spans="1:2" x14ac:dyDescent="0.2">
      <c r="A6380">
        <v>6374</v>
      </c>
      <c r="B6380" t="s">
        <v>54</v>
      </c>
    </row>
    <row r="6381" spans="1:2" x14ac:dyDescent="0.2">
      <c r="A6381">
        <v>6375</v>
      </c>
      <c r="B6381" t="s">
        <v>54</v>
      </c>
    </row>
    <row r="6382" spans="1:2" x14ac:dyDescent="0.2">
      <c r="A6382">
        <v>6376</v>
      </c>
      <c r="B6382" t="s">
        <v>54</v>
      </c>
    </row>
    <row r="6383" spans="1:2" x14ac:dyDescent="0.2">
      <c r="A6383">
        <v>6377</v>
      </c>
      <c r="B6383" t="s">
        <v>54</v>
      </c>
    </row>
    <row r="6384" spans="1:2" x14ac:dyDescent="0.2">
      <c r="A6384">
        <v>6378</v>
      </c>
      <c r="B6384" t="s">
        <v>54</v>
      </c>
    </row>
    <row r="6385" spans="1:2" x14ac:dyDescent="0.2">
      <c r="A6385">
        <v>6379</v>
      </c>
      <c r="B6385" t="s">
        <v>54</v>
      </c>
    </row>
    <row r="6386" spans="1:2" x14ac:dyDescent="0.2">
      <c r="A6386">
        <v>6380</v>
      </c>
      <c r="B6386" t="s">
        <v>54</v>
      </c>
    </row>
    <row r="6387" spans="1:2" x14ac:dyDescent="0.2">
      <c r="A6387">
        <v>6381</v>
      </c>
      <c r="B6387" t="s">
        <v>54</v>
      </c>
    </row>
    <row r="6388" spans="1:2" x14ac:dyDescent="0.2">
      <c r="A6388">
        <v>6382</v>
      </c>
      <c r="B6388" t="s">
        <v>54</v>
      </c>
    </row>
    <row r="6389" spans="1:2" x14ac:dyDescent="0.2">
      <c r="A6389">
        <v>6383</v>
      </c>
      <c r="B6389" t="s">
        <v>54</v>
      </c>
    </row>
    <row r="6390" spans="1:2" x14ac:dyDescent="0.2">
      <c r="A6390">
        <v>6384</v>
      </c>
      <c r="B6390" t="s">
        <v>54</v>
      </c>
    </row>
    <row r="6391" spans="1:2" x14ac:dyDescent="0.2">
      <c r="A6391">
        <v>6385</v>
      </c>
      <c r="B6391" t="s">
        <v>54</v>
      </c>
    </row>
    <row r="6392" spans="1:2" x14ac:dyDescent="0.2">
      <c r="A6392">
        <v>6386</v>
      </c>
      <c r="B6392" t="s">
        <v>54</v>
      </c>
    </row>
    <row r="6393" spans="1:2" x14ac:dyDescent="0.2">
      <c r="A6393">
        <v>6387</v>
      </c>
      <c r="B6393" t="s">
        <v>54</v>
      </c>
    </row>
    <row r="6394" spans="1:2" x14ac:dyDescent="0.2">
      <c r="A6394">
        <v>6388</v>
      </c>
      <c r="B6394" t="s">
        <v>54</v>
      </c>
    </row>
    <row r="6395" spans="1:2" x14ac:dyDescent="0.2">
      <c r="A6395">
        <v>6389</v>
      </c>
      <c r="B6395" t="s">
        <v>54</v>
      </c>
    </row>
    <row r="6396" spans="1:2" x14ac:dyDescent="0.2">
      <c r="A6396">
        <v>6390</v>
      </c>
      <c r="B6396" t="s">
        <v>54</v>
      </c>
    </row>
    <row r="6397" spans="1:2" x14ac:dyDescent="0.2">
      <c r="A6397">
        <v>6391</v>
      </c>
      <c r="B6397" t="s">
        <v>54</v>
      </c>
    </row>
    <row r="6398" spans="1:2" x14ac:dyDescent="0.2">
      <c r="A6398">
        <v>6392</v>
      </c>
      <c r="B6398" t="s">
        <v>54</v>
      </c>
    </row>
    <row r="6399" spans="1:2" x14ac:dyDescent="0.2">
      <c r="A6399">
        <v>6393</v>
      </c>
      <c r="B6399" t="s">
        <v>54</v>
      </c>
    </row>
    <row r="6400" spans="1:2" x14ac:dyDescent="0.2">
      <c r="A6400">
        <v>6394</v>
      </c>
      <c r="B6400" t="s">
        <v>54</v>
      </c>
    </row>
    <row r="6401" spans="1:2" x14ac:dyDescent="0.2">
      <c r="A6401">
        <v>6395</v>
      </c>
      <c r="B6401" t="s">
        <v>54</v>
      </c>
    </row>
    <row r="6402" spans="1:2" x14ac:dyDescent="0.2">
      <c r="A6402">
        <v>6396</v>
      </c>
      <c r="B6402" t="s">
        <v>54</v>
      </c>
    </row>
    <row r="6403" spans="1:2" x14ac:dyDescent="0.2">
      <c r="A6403">
        <v>6397</v>
      </c>
      <c r="B6403" t="s">
        <v>54</v>
      </c>
    </row>
    <row r="6404" spans="1:2" x14ac:dyDescent="0.2">
      <c r="A6404">
        <v>6398</v>
      </c>
      <c r="B6404" t="s">
        <v>54</v>
      </c>
    </row>
    <row r="6405" spans="1:2" x14ac:dyDescent="0.2">
      <c r="A6405">
        <v>6399</v>
      </c>
      <c r="B6405" t="s">
        <v>54</v>
      </c>
    </row>
    <row r="6406" spans="1:2" x14ac:dyDescent="0.2">
      <c r="A6406">
        <v>6400</v>
      </c>
      <c r="B6406" t="s">
        <v>54</v>
      </c>
    </row>
    <row r="6407" spans="1:2" x14ac:dyDescent="0.2">
      <c r="A6407">
        <v>6401</v>
      </c>
      <c r="B6407" t="s">
        <v>54</v>
      </c>
    </row>
    <row r="6408" spans="1:2" x14ac:dyDescent="0.2">
      <c r="A6408">
        <v>6402</v>
      </c>
      <c r="B6408" t="s">
        <v>54</v>
      </c>
    </row>
    <row r="6409" spans="1:2" x14ac:dyDescent="0.2">
      <c r="A6409">
        <v>6403</v>
      </c>
      <c r="B6409" t="s">
        <v>54</v>
      </c>
    </row>
    <row r="6410" spans="1:2" x14ac:dyDescent="0.2">
      <c r="A6410">
        <v>6404</v>
      </c>
      <c r="B6410" t="s">
        <v>54</v>
      </c>
    </row>
    <row r="6411" spans="1:2" x14ac:dyDescent="0.2">
      <c r="A6411">
        <v>6405</v>
      </c>
      <c r="B6411" t="s">
        <v>54</v>
      </c>
    </row>
    <row r="6412" spans="1:2" x14ac:dyDescent="0.2">
      <c r="A6412">
        <v>6406</v>
      </c>
      <c r="B6412" t="s">
        <v>54</v>
      </c>
    </row>
    <row r="6413" spans="1:2" x14ac:dyDescent="0.2">
      <c r="A6413">
        <v>6407</v>
      </c>
      <c r="B6413" t="s">
        <v>54</v>
      </c>
    </row>
    <row r="6414" spans="1:2" x14ac:dyDescent="0.2">
      <c r="A6414">
        <v>6408</v>
      </c>
      <c r="B6414" t="s">
        <v>54</v>
      </c>
    </row>
    <row r="6415" spans="1:2" x14ac:dyDescent="0.2">
      <c r="A6415">
        <v>6409</v>
      </c>
      <c r="B6415" t="s">
        <v>54</v>
      </c>
    </row>
    <row r="6416" spans="1:2" x14ac:dyDescent="0.2">
      <c r="A6416">
        <v>6410</v>
      </c>
      <c r="B6416" t="s">
        <v>54</v>
      </c>
    </row>
    <row r="6417" spans="1:2" x14ac:dyDescent="0.2">
      <c r="A6417">
        <v>6411</v>
      </c>
      <c r="B6417" t="s">
        <v>54</v>
      </c>
    </row>
    <row r="6418" spans="1:2" x14ac:dyDescent="0.2">
      <c r="A6418">
        <v>6412</v>
      </c>
      <c r="B6418" t="s">
        <v>54</v>
      </c>
    </row>
    <row r="6419" spans="1:2" x14ac:dyDescent="0.2">
      <c r="A6419">
        <v>6413</v>
      </c>
      <c r="B6419" t="s">
        <v>54</v>
      </c>
    </row>
    <row r="6420" spans="1:2" x14ac:dyDescent="0.2">
      <c r="A6420">
        <v>6414</v>
      </c>
      <c r="B6420" t="s">
        <v>54</v>
      </c>
    </row>
    <row r="6421" spans="1:2" x14ac:dyDescent="0.2">
      <c r="A6421">
        <v>6415</v>
      </c>
      <c r="B6421" t="s">
        <v>54</v>
      </c>
    </row>
    <row r="6422" spans="1:2" x14ac:dyDescent="0.2">
      <c r="A6422">
        <v>6416</v>
      </c>
      <c r="B6422" t="s">
        <v>54</v>
      </c>
    </row>
    <row r="6423" spans="1:2" x14ac:dyDescent="0.2">
      <c r="A6423">
        <v>6417</v>
      </c>
      <c r="B6423" t="s">
        <v>54</v>
      </c>
    </row>
    <row r="6424" spans="1:2" x14ac:dyDescent="0.2">
      <c r="A6424">
        <v>6418</v>
      </c>
      <c r="B6424" t="s">
        <v>54</v>
      </c>
    </row>
    <row r="6425" spans="1:2" x14ac:dyDescent="0.2">
      <c r="A6425">
        <v>6419</v>
      </c>
      <c r="B6425" t="s">
        <v>54</v>
      </c>
    </row>
    <row r="6426" spans="1:2" x14ac:dyDescent="0.2">
      <c r="A6426">
        <v>6420</v>
      </c>
      <c r="B6426" t="s">
        <v>54</v>
      </c>
    </row>
    <row r="6427" spans="1:2" x14ac:dyDescent="0.2">
      <c r="A6427">
        <v>6421</v>
      </c>
      <c r="B6427" t="s">
        <v>54</v>
      </c>
    </row>
    <row r="6428" spans="1:2" x14ac:dyDescent="0.2">
      <c r="A6428">
        <v>6422</v>
      </c>
      <c r="B6428" t="s">
        <v>54</v>
      </c>
    </row>
    <row r="6429" spans="1:2" x14ac:dyDescent="0.2">
      <c r="A6429">
        <v>6423</v>
      </c>
      <c r="B6429" t="s">
        <v>54</v>
      </c>
    </row>
    <row r="6430" spans="1:2" x14ac:dyDescent="0.2">
      <c r="A6430">
        <v>6424</v>
      </c>
      <c r="B6430" t="s">
        <v>54</v>
      </c>
    </row>
    <row r="6431" spans="1:2" x14ac:dyDescent="0.2">
      <c r="A6431">
        <v>6425</v>
      </c>
      <c r="B6431" t="s">
        <v>54</v>
      </c>
    </row>
    <row r="6432" spans="1:2" x14ac:dyDescent="0.2">
      <c r="A6432">
        <v>6426</v>
      </c>
      <c r="B6432" t="s">
        <v>54</v>
      </c>
    </row>
    <row r="6433" spans="1:2" x14ac:dyDescent="0.2">
      <c r="A6433">
        <v>6427</v>
      </c>
      <c r="B6433" t="s">
        <v>54</v>
      </c>
    </row>
    <row r="6434" spans="1:2" x14ac:dyDescent="0.2">
      <c r="A6434">
        <v>6428</v>
      </c>
      <c r="B6434" t="s">
        <v>54</v>
      </c>
    </row>
    <row r="6435" spans="1:2" x14ac:dyDescent="0.2">
      <c r="A6435">
        <v>6429</v>
      </c>
      <c r="B6435" t="s">
        <v>54</v>
      </c>
    </row>
    <row r="6436" spans="1:2" x14ac:dyDescent="0.2">
      <c r="A6436">
        <v>6430</v>
      </c>
      <c r="B6436" t="s">
        <v>54</v>
      </c>
    </row>
    <row r="6437" spans="1:2" x14ac:dyDescent="0.2">
      <c r="A6437">
        <v>6431</v>
      </c>
      <c r="B6437" t="s">
        <v>54</v>
      </c>
    </row>
    <row r="6438" spans="1:2" x14ac:dyDescent="0.2">
      <c r="A6438">
        <v>6432</v>
      </c>
      <c r="B6438" t="s">
        <v>54</v>
      </c>
    </row>
    <row r="6439" spans="1:2" x14ac:dyDescent="0.2">
      <c r="A6439">
        <v>6433</v>
      </c>
      <c r="B6439" t="s">
        <v>54</v>
      </c>
    </row>
    <row r="6440" spans="1:2" x14ac:dyDescent="0.2">
      <c r="A6440">
        <v>6434</v>
      </c>
      <c r="B6440" t="s">
        <v>54</v>
      </c>
    </row>
    <row r="6441" spans="1:2" x14ac:dyDescent="0.2">
      <c r="A6441">
        <v>6435</v>
      </c>
      <c r="B6441" t="s">
        <v>54</v>
      </c>
    </row>
    <row r="6442" spans="1:2" x14ac:dyDescent="0.2">
      <c r="A6442">
        <v>6436</v>
      </c>
      <c r="B6442" t="s">
        <v>54</v>
      </c>
    </row>
    <row r="6443" spans="1:2" x14ac:dyDescent="0.2">
      <c r="A6443">
        <v>6437</v>
      </c>
      <c r="B6443" t="s">
        <v>54</v>
      </c>
    </row>
    <row r="6444" spans="1:2" x14ac:dyDescent="0.2">
      <c r="A6444">
        <v>6438</v>
      </c>
      <c r="B6444" t="s">
        <v>54</v>
      </c>
    </row>
    <row r="6445" spans="1:2" x14ac:dyDescent="0.2">
      <c r="A6445">
        <v>6439</v>
      </c>
      <c r="B6445" t="s">
        <v>54</v>
      </c>
    </row>
    <row r="6446" spans="1:2" x14ac:dyDescent="0.2">
      <c r="A6446">
        <v>6440</v>
      </c>
      <c r="B6446" t="s">
        <v>54</v>
      </c>
    </row>
    <row r="6447" spans="1:2" x14ac:dyDescent="0.2">
      <c r="A6447">
        <v>6441</v>
      </c>
      <c r="B6447" t="s">
        <v>54</v>
      </c>
    </row>
    <row r="6448" spans="1:2" x14ac:dyDescent="0.2">
      <c r="A6448">
        <v>6442</v>
      </c>
      <c r="B6448" t="s">
        <v>54</v>
      </c>
    </row>
    <row r="6449" spans="1:2" x14ac:dyDescent="0.2">
      <c r="A6449">
        <v>6443</v>
      </c>
      <c r="B6449" t="s">
        <v>54</v>
      </c>
    </row>
    <row r="6450" spans="1:2" x14ac:dyDescent="0.2">
      <c r="A6450">
        <v>6444</v>
      </c>
      <c r="B6450" t="s">
        <v>54</v>
      </c>
    </row>
    <row r="6451" spans="1:2" x14ac:dyDescent="0.2">
      <c r="A6451">
        <v>6445</v>
      </c>
      <c r="B6451" t="s">
        <v>54</v>
      </c>
    </row>
    <row r="6452" spans="1:2" x14ac:dyDescent="0.2">
      <c r="A6452">
        <v>6446</v>
      </c>
      <c r="B6452" t="s">
        <v>54</v>
      </c>
    </row>
    <row r="6453" spans="1:2" x14ac:dyDescent="0.2">
      <c r="A6453">
        <v>6447</v>
      </c>
      <c r="B6453" t="s">
        <v>54</v>
      </c>
    </row>
    <row r="6454" spans="1:2" x14ac:dyDescent="0.2">
      <c r="A6454">
        <v>6448</v>
      </c>
      <c r="B6454" t="s">
        <v>54</v>
      </c>
    </row>
    <row r="6455" spans="1:2" x14ac:dyDescent="0.2">
      <c r="A6455">
        <v>6449</v>
      </c>
      <c r="B6455" t="s">
        <v>54</v>
      </c>
    </row>
    <row r="6456" spans="1:2" x14ac:dyDescent="0.2">
      <c r="A6456">
        <v>6450</v>
      </c>
      <c r="B6456" t="s">
        <v>54</v>
      </c>
    </row>
    <row r="6457" spans="1:2" x14ac:dyDescent="0.2">
      <c r="A6457">
        <v>6451</v>
      </c>
      <c r="B6457" t="s">
        <v>54</v>
      </c>
    </row>
    <row r="6458" spans="1:2" x14ac:dyDescent="0.2">
      <c r="A6458">
        <v>6452</v>
      </c>
      <c r="B6458" t="s">
        <v>54</v>
      </c>
    </row>
    <row r="6459" spans="1:2" x14ac:dyDescent="0.2">
      <c r="A6459">
        <v>6453</v>
      </c>
      <c r="B6459" t="s">
        <v>54</v>
      </c>
    </row>
    <row r="6460" spans="1:2" x14ac:dyDescent="0.2">
      <c r="A6460">
        <v>6454</v>
      </c>
      <c r="B6460" t="s">
        <v>54</v>
      </c>
    </row>
    <row r="6461" spans="1:2" x14ac:dyDescent="0.2">
      <c r="A6461">
        <v>6455</v>
      </c>
      <c r="B6461" t="s">
        <v>54</v>
      </c>
    </row>
    <row r="6462" spans="1:2" x14ac:dyDescent="0.2">
      <c r="A6462">
        <v>6456</v>
      </c>
      <c r="B6462" t="s">
        <v>54</v>
      </c>
    </row>
    <row r="6463" spans="1:2" x14ac:dyDescent="0.2">
      <c r="A6463">
        <v>6457</v>
      </c>
      <c r="B6463" t="s">
        <v>54</v>
      </c>
    </row>
    <row r="6464" spans="1:2" x14ac:dyDescent="0.2">
      <c r="A6464">
        <v>6458</v>
      </c>
      <c r="B6464" t="s">
        <v>54</v>
      </c>
    </row>
    <row r="6465" spans="1:2" x14ac:dyDescent="0.2">
      <c r="A6465">
        <v>6459</v>
      </c>
      <c r="B6465" t="s">
        <v>54</v>
      </c>
    </row>
    <row r="6466" spans="1:2" x14ac:dyDescent="0.2">
      <c r="A6466">
        <v>6460</v>
      </c>
      <c r="B6466" t="s">
        <v>54</v>
      </c>
    </row>
    <row r="6467" spans="1:2" x14ac:dyDescent="0.2">
      <c r="A6467">
        <v>6461</v>
      </c>
      <c r="B6467" t="s">
        <v>54</v>
      </c>
    </row>
    <row r="6468" spans="1:2" x14ac:dyDescent="0.2">
      <c r="A6468">
        <v>6462</v>
      </c>
      <c r="B6468" t="s">
        <v>54</v>
      </c>
    </row>
    <row r="6469" spans="1:2" x14ac:dyDescent="0.2">
      <c r="A6469">
        <v>6463</v>
      </c>
      <c r="B6469" t="s">
        <v>54</v>
      </c>
    </row>
    <row r="6470" spans="1:2" x14ac:dyDescent="0.2">
      <c r="A6470">
        <v>6464</v>
      </c>
      <c r="B6470" t="s">
        <v>54</v>
      </c>
    </row>
    <row r="6471" spans="1:2" x14ac:dyDescent="0.2">
      <c r="A6471">
        <v>6465</v>
      </c>
      <c r="B6471" t="s">
        <v>54</v>
      </c>
    </row>
    <row r="6472" spans="1:2" x14ac:dyDescent="0.2">
      <c r="A6472">
        <v>6466</v>
      </c>
      <c r="B6472" t="s">
        <v>54</v>
      </c>
    </row>
    <row r="6473" spans="1:2" x14ac:dyDescent="0.2">
      <c r="A6473">
        <v>6467</v>
      </c>
      <c r="B6473" t="s">
        <v>54</v>
      </c>
    </row>
    <row r="6474" spans="1:2" x14ac:dyDescent="0.2">
      <c r="A6474">
        <v>6468</v>
      </c>
      <c r="B6474" t="s">
        <v>54</v>
      </c>
    </row>
    <row r="6475" spans="1:2" x14ac:dyDescent="0.2">
      <c r="A6475">
        <v>6469</v>
      </c>
      <c r="B6475" t="s">
        <v>54</v>
      </c>
    </row>
    <row r="6476" spans="1:2" x14ac:dyDescent="0.2">
      <c r="A6476">
        <v>6470</v>
      </c>
      <c r="B6476" t="s">
        <v>54</v>
      </c>
    </row>
    <row r="6477" spans="1:2" x14ac:dyDescent="0.2">
      <c r="A6477">
        <v>6471</v>
      </c>
      <c r="B6477" t="s">
        <v>54</v>
      </c>
    </row>
    <row r="6478" spans="1:2" x14ac:dyDescent="0.2">
      <c r="A6478">
        <v>6472</v>
      </c>
      <c r="B6478" t="s">
        <v>54</v>
      </c>
    </row>
    <row r="6479" spans="1:2" x14ac:dyDescent="0.2">
      <c r="A6479">
        <v>6473</v>
      </c>
      <c r="B6479" t="s">
        <v>54</v>
      </c>
    </row>
    <row r="6480" spans="1:2" x14ac:dyDescent="0.2">
      <c r="A6480">
        <v>6474</v>
      </c>
      <c r="B6480" t="s">
        <v>54</v>
      </c>
    </row>
    <row r="6481" spans="1:2" x14ac:dyDescent="0.2">
      <c r="A6481">
        <v>6475</v>
      </c>
      <c r="B6481" t="s">
        <v>54</v>
      </c>
    </row>
    <row r="6482" spans="1:2" x14ac:dyDescent="0.2">
      <c r="A6482">
        <v>6476</v>
      </c>
      <c r="B6482" t="s">
        <v>54</v>
      </c>
    </row>
    <row r="6483" spans="1:2" x14ac:dyDescent="0.2">
      <c r="A6483">
        <v>6477</v>
      </c>
      <c r="B6483" t="s">
        <v>54</v>
      </c>
    </row>
    <row r="6484" spans="1:2" x14ac:dyDescent="0.2">
      <c r="A6484">
        <v>6478</v>
      </c>
      <c r="B6484" t="s">
        <v>54</v>
      </c>
    </row>
    <row r="6485" spans="1:2" x14ac:dyDescent="0.2">
      <c r="A6485">
        <v>6479</v>
      </c>
      <c r="B6485" t="s">
        <v>54</v>
      </c>
    </row>
    <row r="6486" spans="1:2" x14ac:dyDescent="0.2">
      <c r="A6486">
        <v>6480</v>
      </c>
      <c r="B6486" t="s">
        <v>54</v>
      </c>
    </row>
    <row r="6487" spans="1:2" x14ac:dyDescent="0.2">
      <c r="A6487">
        <v>6481</v>
      </c>
      <c r="B6487" t="s">
        <v>54</v>
      </c>
    </row>
    <row r="6488" spans="1:2" x14ac:dyDescent="0.2">
      <c r="A6488">
        <v>6482</v>
      </c>
      <c r="B6488" t="s">
        <v>54</v>
      </c>
    </row>
    <row r="6489" spans="1:2" x14ac:dyDescent="0.2">
      <c r="A6489">
        <v>6483</v>
      </c>
      <c r="B6489" t="s">
        <v>54</v>
      </c>
    </row>
    <row r="6490" spans="1:2" x14ac:dyDescent="0.2">
      <c r="A6490">
        <v>6484</v>
      </c>
      <c r="B6490" t="s">
        <v>54</v>
      </c>
    </row>
    <row r="6491" spans="1:2" x14ac:dyDescent="0.2">
      <c r="A6491">
        <v>6485</v>
      </c>
      <c r="B6491" t="s">
        <v>54</v>
      </c>
    </row>
    <row r="6492" spans="1:2" x14ac:dyDescent="0.2">
      <c r="A6492">
        <v>6486</v>
      </c>
      <c r="B6492" t="s">
        <v>54</v>
      </c>
    </row>
    <row r="6493" spans="1:2" x14ac:dyDescent="0.2">
      <c r="A6493">
        <v>6487</v>
      </c>
      <c r="B6493" t="s">
        <v>54</v>
      </c>
    </row>
    <row r="6494" spans="1:2" x14ac:dyDescent="0.2">
      <c r="A6494">
        <v>6488</v>
      </c>
      <c r="B6494" t="s">
        <v>54</v>
      </c>
    </row>
    <row r="6495" spans="1:2" x14ac:dyDescent="0.2">
      <c r="A6495">
        <v>6489</v>
      </c>
      <c r="B6495" t="s">
        <v>54</v>
      </c>
    </row>
    <row r="6496" spans="1:2" x14ac:dyDescent="0.2">
      <c r="A6496">
        <v>6490</v>
      </c>
      <c r="B6496" t="s">
        <v>54</v>
      </c>
    </row>
    <row r="6497" spans="1:2" x14ac:dyDescent="0.2">
      <c r="A6497">
        <v>6491</v>
      </c>
      <c r="B6497" t="s">
        <v>54</v>
      </c>
    </row>
    <row r="6498" spans="1:2" x14ac:dyDescent="0.2">
      <c r="A6498">
        <v>6492</v>
      </c>
      <c r="B6498" t="s">
        <v>54</v>
      </c>
    </row>
    <row r="6499" spans="1:2" x14ac:dyDescent="0.2">
      <c r="A6499">
        <v>6493</v>
      </c>
      <c r="B6499" t="s">
        <v>54</v>
      </c>
    </row>
    <row r="6500" spans="1:2" x14ac:dyDescent="0.2">
      <c r="A6500">
        <v>6494</v>
      </c>
      <c r="B6500" t="s">
        <v>54</v>
      </c>
    </row>
    <row r="6501" spans="1:2" x14ac:dyDescent="0.2">
      <c r="A6501">
        <v>6495</v>
      </c>
      <c r="B6501" t="s">
        <v>54</v>
      </c>
    </row>
    <row r="6502" spans="1:2" x14ac:dyDescent="0.2">
      <c r="A6502">
        <v>6496</v>
      </c>
      <c r="B6502" t="s">
        <v>54</v>
      </c>
    </row>
    <row r="6503" spans="1:2" x14ac:dyDescent="0.2">
      <c r="A6503">
        <v>6497</v>
      </c>
      <c r="B6503" t="s">
        <v>54</v>
      </c>
    </row>
    <row r="6504" spans="1:2" x14ac:dyDescent="0.2">
      <c r="A6504">
        <v>6498</v>
      </c>
      <c r="B6504" t="s">
        <v>54</v>
      </c>
    </row>
    <row r="6505" spans="1:2" x14ac:dyDescent="0.2">
      <c r="A6505">
        <v>6499</v>
      </c>
      <c r="B6505" t="s">
        <v>54</v>
      </c>
    </row>
    <row r="6506" spans="1:2" x14ac:dyDescent="0.2">
      <c r="A6506">
        <v>6500</v>
      </c>
      <c r="B6506" t="s">
        <v>54</v>
      </c>
    </row>
    <row r="6507" spans="1:2" x14ac:dyDescent="0.2">
      <c r="A6507">
        <v>6501</v>
      </c>
      <c r="B6507" t="s">
        <v>54</v>
      </c>
    </row>
    <row r="6508" spans="1:2" x14ac:dyDescent="0.2">
      <c r="A6508">
        <v>6502</v>
      </c>
      <c r="B6508" t="s">
        <v>54</v>
      </c>
    </row>
    <row r="6509" spans="1:2" x14ac:dyDescent="0.2">
      <c r="A6509">
        <v>6503</v>
      </c>
      <c r="B6509" t="s">
        <v>54</v>
      </c>
    </row>
    <row r="6510" spans="1:2" x14ac:dyDescent="0.2">
      <c r="A6510">
        <v>6504</v>
      </c>
      <c r="B6510" t="s">
        <v>54</v>
      </c>
    </row>
    <row r="6511" spans="1:2" x14ac:dyDescent="0.2">
      <c r="A6511">
        <v>6505</v>
      </c>
      <c r="B6511" t="s">
        <v>54</v>
      </c>
    </row>
    <row r="6512" spans="1:2" x14ac:dyDescent="0.2">
      <c r="A6512">
        <v>6506</v>
      </c>
      <c r="B6512" t="s">
        <v>54</v>
      </c>
    </row>
    <row r="6513" spans="1:2" x14ac:dyDescent="0.2">
      <c r="A6513">
        <v>6507</v>
      </c>
      <c r="B6513" t="s">
        <v>54</v>
      </c>
    </row>
    <row r="6514" spans="1:2" x14ac:dyDescent="0.2">
      <c r="A6514">
        <v>6508</v>
      </c>
      <c r="B6514" t="s">
        <v>54</v>
      </c>
    </row>
    <row r="6515" spans="1:2" x14ac:dyDescent="0.2">
      <c r="A6515">
        <v>6509</v>
      </c>
      <c r="B6515" t="s">
        <v>54</v>
      </c>
    </row>
    <row r="6516" spans="1:2" x14ac:dyDescent="0.2">
      <c r="A6516">
        <v>6510</v>
      </c>
      <c r="B6516" t="s">
        <v>54</v>
      </c>
    </row>
    <row r="6517" spans="1:2" x14ac:dyDescent="0.2">
      <c r="A6517">
        <v>6511</v>
      </c>
      <c r="B6517" t="s">
        <v>54</v>
      </c>
    </row>
    <row r="6518" spans="1:2" x14ac:dyDescent="0.2">
      <c r="A6518">
        <v>6512</v>
      </c>
      <c r="B6518" t="s">
        <v>54</v>
      </c>
    </row>
    <row r="6519" spans="1:2" x14ac:dyDescent="0.2">
      <c r="A6519">
        <v>6513</v>
      </c>
      <c r="B6519" t="s">
        <v>54</v>
      </c>
    </row>
    <row r="6520" spans="1:2" x14ac:dyDescent="0.2">
      <c r="A6520">
        <v>6514</v>
      </c>
      <c r="B6520" t="s">
        <v>54</v>
      </c>
    </row>
    <row r="6521" spans="1:2" x14ac:dyDescent="0.2">
      <c r="A6521">
        <v>6515</v>
      </c>
      <c r="B6521" t="s">
        <v>54</v>
      </c>
    </row>
    <row r="6522" spans="1:2" x14ac:dyDescent="0.2">
      <c r="A6522">
        <v>6516</v>
      </c>
      <c r="B6522" t="s">
        <v>54</v>
      </c>
    </row>
    <row r="6523" spans="1:2" x14ac:dyDescent="0.2">
      <c r="A6523">
        <v>6517</v>
      </c>
      <c r="B6523" t="s">
        <v>54</v>
      </c>
    </row>
    <row r="6524" spans="1:2" x14ac:dyDescent="0.2">
      <c r="A6524">
        <v>6518</v>
      </c>
      <c r="B6524" t="s">
        <v>54</v>
      </c>
    </row>
    <row r="6525" spans="1:2" x14ac:dyDescent="0.2">
      <c r="A6525">
        <v>6519</v>
      </c>
      <c r="B6525" t="s">
        <v>54</v>
      </c>
    </row>
    <row r="6526" spans="1:2" x14ac:dyDescent="0.2">
      <c r="A6526">
        <v>6520</v>
      </c>
      <c r="B6526" t="s">
        <v>54</v>
      </c>
    </row>
    <row r="6527" spans="1:2" x14ac:dyDescent="0.2">
      <c r="A6527">
        <v>6521</v>
      </c>
      <c r="B6527" t="s">
        <v>54</v>
      </c>
    </row>
    <row r="6528" spans="1:2" x14ac:dyDescent="0.2">
      <c r="A6528">
        <v>6522</v>
      </c>
      <c r="B6528" t="s">
        <v>54</v>
      </c>
    </row>
    <row r="6529" spans="1:2" x14ac:dyDescent="0.2">
      <c r="A6529">
        <v>6523</v>
      </c>
      <c r="B6529" t="s">
        <v>54</v>
      </c>
    </row>
    <row r="6530" spans="1:2" x14ac:dyDescent="0.2">
      <c r="A6530">
        <v>6524</v>
      </c>
      <c r="B6530" t="s">
        <v>54</v>
      </c>
    </row>
    <row r="6531" spans="1:2" x14ac:dyDescent="0.2">
      <c r="A6531">
        <v>6525</v>
      </c>
      <c r="B6531" t="s">
        <v>54</v>
      </c>
    </row>
    <row r="6532" spans="1:2" x14ac:dyDescent="0.2">
      <c r="A6532">
        <v>6526</v>
      </c>
      <c r="B6532" t="s">
        <v>54</v>
      </c>
    </row>
    <row r="6533" spans="1:2" x14ac:dyDescent="0.2">
      <c r="A6533">
        <v>6527</v>
      </c>
      <c r="B6533" t="s">
        <v>54</v>
      </c>
    </row>
    <row r="6534" spans="1:2" x14ac:dyDescent="0.2">
      <c r="A6534">
        <v>6528</v>
      </c>
      <c r="B6534" t="s">
        <v>54</v>
      </c>
    </row>
    <row r="6535" spans="1:2" x14ac:dyDescent="0.2">
      <c r="A6535">
        <v>6529</v>
      </c>
      <c r="B6535" t="s">
        <v>54</v>
      </c>
    </row>
    <row r="6536" spans="1:2" x14ac:dyDescent="0.2">
      <c r="A6536">
        <v>6530</v>
      </c>
      <c r="B6536" t="s">
        <v>54</v>
      </c>
    </row>
    <row r="6537" spans="1:2" x14ac:dyDescent="0.2">
      <c r="A6537">
        <v>6531</v>
      </c>
      <c r="B6537" t="s">
        <v>54</v>
      </c>
    </row>
    <row r="6538" spans="1:2" x14ac:dyDescent="0.2">
      <c r="A6538">
        <v>6532</v>
      </c>
      <c r="B6538" t="s">
        <v>54</v>
      </c>
    </row>
    <row r="6539" spans="1:2" x14ac:dyDescent="0.2">
      <c r="A6539">
        <v>6533</v>
      </c>
      <c r="B6539" t="s">
        <v>54</v>
      </c>
    </row>
    <row r="6540" spans="1:2" x14ac:dyDescent="0.2">
      <c r="A6540">
        <v>6534</v>
      </c>
      <c r="B6540" t="s">
        <v>54</v>
      </c>
    </row>
    <row r="6541" spans="1:2" x14ac:dyDescent="0.2">
      <c r="A6541">
        <v>6535</v>
      </c>
      <c r="B6541" t="s">
        <v>54</v>
      </c>
    </row>
    <row r="6542" spans="1:2" x14ac:dyDescent="0.2">
      <c r="A6542">
        <v>6536</v>
      </c>
      <c r="B6542" t="s">
        <v>54</v>
      </c>
    </row>
    <row r="6543" spans="1:2" x14ac:dyDescent="0.2">
      <c r="A6543">
        <v>6537</v>
      </c>
      <c r="B6543" t="s">
        <v>54</v>
      </c>
    </row>
    <row r="6544" spans="1:2" x14ac:dyDescent="0.2">
      <c r="A6544">
        <v>6538</v>
      </c>
      <c r="B6544" t="s">
        <v>54</v>
      </c>
    </row>
    <row r="6545" spans="1:2" x14ac:dyDescent="0.2">
      <c r="A6545">
        <v>6539</v>
      </c>
      <c r="B6545" t="s">
        <v>54</v>
      </c>
    </row>
    <row r="6546" spans="1:2" x14ac:dyDescent="0.2">
      <c r="A6546">
        <v>6540</v>
      </c>
      <c r="B6546" t="s">
        <v>54</v>
      </c>
    </row>
    <row r="6547" spans="1:2" x14ac:dyDescent="0.2">
      <c r="A6547">
        <v>6541</v>
      </c>
      <c r="B6547" t="s">
        <v>54</v>
      </c>
    </row>
    <row r="6548" spans="1:2" x14ac:dyDescent="0.2">
      <c r="A6548">
        <v>6542</v>
      </c>
      <c r="B6548" t="s">
        <v>54</v>
      </c>
    </row>
    <row r="6549" spans="1:2" x14ac:dyDescent="0.2">
      <c r="A6549">
        <v>6543</v>
      </c>
      <c r="B6549" t="s">
        <v>54</v>
      </c>
    </row>
    <row r="6550" spans="1:2" x14ac:dyDescent="0.2">
      <c r="A6550">
        <v>6544</v>
      </c>
      <c r="B6550" t="s">
        <v>54</v>
      </c>
    </row>
    <row r="6551" spans="1:2" x14ac:dyDescent="0.2">
      <c r="A6551">
        <v>6545</v>
      </c>
      <c r="B6551" t="s">
        <v>54</v>
      </c>
    </row>
    <row r="6552" spans="1:2" x14ac:dyDescent="0.2">
      <c r="A6552">
        <v>6546</v>
      </c>
      <c r="B6552" t="s">
        <v>54</v>
      </c>
    </row>
    <row r="6553" spans="1:2" x14ac:dyDescent="0.2">
      <c r="A6553">
        <v>6547</v>
      </c>
      <c r="B6553" t="s">
        <v>54</v>
      </c>
    </row>
    <row r="6554" spans="1:2" x14ac:dyDescent="0.2">
      <c r="A6554">
        <v>6548</v>
      </c>
      <c r="B6554" t="s">
        <v>54</v>
      </c>
    </row>
    <row r="6555" spans="1:2" x14ac:dyDescent="0.2">
      <c r="A6555">
        <v>6549</v>
      </c>
      <c r="B6555" t="s">
        <v>54</v>
      </c>
    </row>
    <row r="6556" spans="1:2" x14ac:dyDescent="0.2">
      <c r="A6556">
        <v>6550</v>
      </c>
      <c r="B6556" t="s">
        <v>54</v>
      </c>
    </row>
    <row r="6557" spans="1:2" x14ac:dyDescent="0.2">
      <c r="A6557">
        <v>6551</v>
      </c>
      <c r="B6557" t="s">
        <v>54</v>
      </c>
    </row>
    <row r="6558" spans="1:2" x14ac:dyDescent="0.2">
      <c r="A6558">
        <v>6552</v>
      </c>
      <c r="B6558" t="s">
        <v>54</v>
      </c>
    </row>
    <row r="6559" spans="1:2" x14ac:dyDescent="0.2">
      <c r="A6559">
        <v>6553</v>
      </c>
      <c r="B6559" t="s">
        <v>54</v>
      </c>
    </row>
    <row r="6560" spans="1:2" x14ac:dyDescent="0.2">
      <c r="A6560">
        <v>6554</v>
      </c>
      <c r="B6560" t="s">
        <v>54</v>
      </c>
    </row>
    <row r="6561" spans="1:2" x14ac:dyDescent="0.2">
      <c r="A6561">
        <v>6555</v>
      </c>
      <c r="B6561" t="s">
        <v>54</v>
      </c>
    </row>
    <row r="6562" spans="1:2" x14ac:dyDescent="0.2">
      <c r="A6562">
        <v>6556</v>
      </c>
      <c r="B6562" t="s">
        <v>54</v>
      </c>
    </row>
    <row r="6563" spans="1:2" x14ac:dyDescent="0.2">
      <c r="A6563">
        <v>6557</v>
      </c>
      <c r="B6563" t="s">
        <v>54</v>
      </c>
    </row>
    <row r="6564" spans="1:2" x14ac:dyDescent="0.2">
      <c r="A6564">
        <v>6558</v>
      </c>
      <c r="B6564" t="s">
        <v>54</v>
      </c>
    </row>
    <row r="6565" spans="1:2" x14ac:dyDescent="0.2">
      <c r="A6565">
        <v>6559</v>
      </c>
      <c r="B6565" t="s">
        <v>54</v>
      </c>
    </row>
    <row r="6566" spans="1:2" x14ac:dyDescent="0.2">
      <c r="A6566">
        <v>6560</v>
      </c>
      <c r="B6566" t="s">
        <v>54</v>
      </c>
    </row>
    <row r="6567" spans="1:2" x14ac:dyDescent="0.2">
      <c r="A6567">
        <v>6561</v>
      </c>
      <c r="B6567" t="s">
        <v>54</v>
      </c>
    </row>
    <row r="6568" spans="1:2" x14ac:dyDescent="0.2">
      <c r="A6568">
        <v>6562</v>
      </c>
      <c r="B6568" t="s">
        <v>54</v>
      </c>
    </row>
    <row r="6569" spans="1:2" x14ac:dyDescent="0.2">
      <c r="A6569">
        <v>6563</v>
      </c>
      <c r="B6569" t="s">
        <v>54</v>
      </c>
    </row>
    <row r="6570" spans="1:2" x14ac:dyDescent="0.2">
      <c r="A6570">
        <v>6564</v>
      </c>
      <c r="B6570" t="s">
        <v>54</v>
      </c>
    </row>
    <row r="6571" spans="1:2" x14ac:dyDescent="0.2">
      <c r="A6571">
        <v>6565</v>
      </c>
      <c r="B6571" t="s">
        <v>54</v>
      </c>
    </row>
    <row r="6572" spans="1:2" x14ac:dyDescent="0.2">
      <c r="A6572">
        <v>6566</v>
      </c>
      <c r="B6572" t="s">
        <v>54</v>
      </c>
    </row>
    <row r="6573" spans="1:2" x14ac:dyDescent="0.2">
      <c r="A6573">
        <v>6567</v>
      </c>
      <c r="B6573" t="s">
        <v>54</v>
      </c>
    </row>
    <row r="6574" spans="1:2" x14ac:dyDescent="0.2">
      <c r="A6574">
        <v>6568</v>
      </c>
      <c r="B6574" t="s">
        <v>54</v>
      </c>
    </row>
    <row r="6575" spans="1:2" x14ac:dyDescent="0.2">
      <c r="A6575">
        <v>6569</v>
      </c>
      <c r="B6575" t="s">
        <v>54</v>
      </c>
    </row>
    <row r="6576" spans="1:2" x14ac:dyDescent="0.2">
      <c r="A6576">
        <v>6570</v>
      </c>
      <c r="B6576" t="s">
        <v>54</v>
      </c>
    </row>
    <row r="6577" spans="1:2" x14ac:dyDescent="0.2">
      <c r="A6577">
        <v>6571</v>
      </c>
      <c r="B6577" t="s">
        <v>54</v>
      </c>
    </row>
    <row r="6578" spans="1:2" x14ac:dyDescent="0.2">
      <c r="A6578">
        <v>6572</v>
      </c>
      <c r="B6578" t="s">
        <v>54</v>
      </c>
    </row>
    <row r="6579" spans="1:2" x14ac:dyDescent="0.2">
      <c r="A6579">
        <v>6573</v>
      </c>
      <c r="B6579" t="s">
        <v>54</v>
      </c>
    </row>
    <row r="6580" spans="1:2" x14ac:dyDescent="0.2">
      <c r="A6580">
        <v>6574</v>
      </c>
      <c r="B6580" t="s">
        <v>54</v>
      </c>
    </row>
    <row r="6581" spans="1:2" x14ac:dyDescent="0.2">
      <c r="A6581">
        <v>6575</v>
      </c>
      <c r="B6581" t="s">
        <v>54</v>
      </c>
    </row>
    <row r="6582" spans="1:2" x14ac:dyDescent="0.2">
      <c r="A6582">
        <v>6576</v>
      </c>
      <c r="B6582" t="s">
        <v>54</v>
      </c>
    </row>
    <row r="6583" spans="1:2" x14ac:dyDescent="0.2">
      <c r="A6583">
        <v>6577</v>
      </c>
      <c r="B6583" t="s">
        <v>54</v>
      </c>
    </row>
    <row r="6584" spans="1:2" x14ac:dyDescent="0.2">
      <c r="A6584">
        <v>6578</v>
      </c>
      <c r="B6584" t="s">
        <v>54</v>
      </c>
    </row>
    <row r="6585" spans="1:2" x14ac:dyDescent="0.2">
      <c r="A6585">
        <v>6579</v>
      </c>
      <c r="B6585" t="s">
        <v>54</v>
      </c>
    </row>
    <row r="6586" spans="1:2" x14ac:dyDescent="0.2">
      <c r="A6586">
        <v>6580</v>
      </c>
      <c r="B6586" t="s">
        <v>54</v>
      </c>
    </row>
    <row r="6587" spans="1:2" x14ac:dyDescent="0.2">
      <c r="A6587">
        <v>6581</v>
      </c>
      <c r="B6587" t="s">
        <v>54</v>
      </c>
    </row>
    <row r="6588" spans="1:2" x14ac:dyDescent="0.2">
      <c r="A6588">
        <v>6582</v>
      </c>
      <c r="B6588" t="s">
        <v>54</v>
      </c>
    </row>
    <row r="6589" spans="1:2" x14ac:dyDescent="0.2">
      <c r="A6589">
        <v>6583</v>
      </c>
      <c r="B6589" t="s">
        <v>54</v>
      </c>
    </row>
    <row r="6590" spans="1:2" x14ac:dyDescent="0.2">
      <c r="A6590">
        <v>6584</v>
      </c>
      <c r="B6590" t="s">
        <v>54</v>
      </c>
    </row>
    <row r="6591" spans="1:2" x14ac:dyDescent="0.2">
      <c r="A6591">
        <v>6585</v>
      </c>
      <c r="B6591" t="s">
        <v>54</v>
      </c>
    </row>
    <row r="6592" spans="1:2" x14ac:dyDescent="0.2">
      <c r="A6592">
        <v>6586</v>
      </c>
      <c r="B6592" t="s">
        <v>54</v>
      </c>
    </row>
    <row r="6593" spans="1:2" x14ac:dyDescent="0.2">
      <c r="A6593">
        <v>6587</v>
      </c>
      <c r="B6593" t="s">
        <v>54</v>
      </c>
    </row>
    <row r="6594" spans="1:2" x14ac:dyDescent="0.2">
      <c r="A6594">
        <v>6588</v>
      </c>
      <c r="B6594" t="s">
        <v>54</v>
      </c>
    </row>
    <row r="6595" spans="1:2" x14ac:dyDescent="0.2">
      <c r="A6595">
        <v>6589</v>
      </c>
      <c r="B6595" t="s">
        <v>54</v>
      </c>
    </row>
    <row r="6596" spans="1:2" x14ac:dyDescent="0.2">
      <c r="A6596">
        <v>6590</v>
      </c>
      <c r="B6596" t="s">
        <v>54</v>
      </c>
    </row>
    <row r="6597" spans="1:2" x14ac:dyDescent="0.2">
      <c r="A6597">
        <v>6591</v>
      </c>
      <c r="B6597" t="s">
        <v>54</v>
      </c>
    </row>
    <row r="6598" spans="1:2" x14ac:dyDescent="0.2">
      <c r="A6598">
        <v>6592</v>
      </c>
      <c r="B6598" t="s">
        <v>54</v>
      </c>
    </row>
    <row r="6599" spans="1:2" x14ac:dyDescent="0.2">
      <c r="A6599">
        <v>6593</v>
      </c>
      <c r="B6599" t="s">
        <v>54</v>
      </c>
    </row>
    <row r="6600" spans="1:2" x14ac:dyDescent="0.2">
      <c r="A6600">
        <v>6594</v>
      </c>
      <c r="B6600" t="s">
        <v>54</v>
      </c>
    </row>
    <row r="6601" spans="1:2" x14ac:dyDescent="0.2">
      <c r="A6601">
        <v>6595</v>
      </c>
      <c r="B6601" t="s">
        <v>54</v>
      </c>
    </row>
    <row r="6602" spans="1:2" x14ac:dyDescent="0.2">
      <c r="A6602">
        <v>6596</v>
      </c>
      <c r="B6602" t="s">
        <v>54</v>
      </c>
    </row>
    <row r="6603" spans="1:2" x14ac:dyDescent="0.2">
      <c r="A6603">
        <v>6597</v>
      </c>
      <c r="B6603" t="s">
        <v>54</v>
      </c>
    </row>
    <row r="6604" spans="1:2" x14ac:dyDescent="0.2">
      <c r="A6604">
        <v>6598</v>
      </c>
      <c r="B6604" t="s">
        <v>54</v>
      </c>
    </row>
    <row r="6605" spans="1:2" x14ac:dyDescent="0.2">
      <c r="A6605">
        <v>6599</v>
      </c>
      <c r="B6605" t="s">
        <v>54</v>
      </c>
    </row>
    <row r="6606" spans="1:2" x14ac:dyDescent="0.2">
      <c r="A6606">
        <v>6600</v>
      </c>
      <c r="B6606" t="s">
        <v>54</v>
      </c>
    </row>
    <row r="6607" spans="1:2" x14ac:dyDescent="0.2">
      <c r="A6607">
        <v>6601</v>
      </c>
      <c r="B6607" t="s">
        <v>54</v>
      </c>
    </row>
    <row r="6608" spans="1:2" x14ac:dyDescent="0.2">
      <c r="A6608">
        <v>6602</v>
      </c>
      <c r="B6608" t="s">
        <v>54</v>
      </c>
    </row>
    <row r="6609" spans="1:2" x14ac:dyDescent="0.2">
      <c r="A6609">
        <v>6603</v>
      </c>
      <c r="B6609" t="s">
        <v>54</v>
      </c>
    </row>
    <row r="6610" spans="1:2" x14ac:dyDescent="0.2">
      <c r="A6610">
        <v>6604</v>
      </c>
      <c r="B6610" t="s">
        <v>54</v>
      </c>
    </row>
    <row r="6611" spans="1:2" x14ac:dyDescent="0.2">
      <c r="A6611">
        <v>6605</v>
      </c>
      <c r="B6611" t="s">
        <v>54</v>
      </c>
    </row>
    <row r="6612" spans="1:2" x14ac:dyDescent="0.2">
      <c r="A6612">
        <v>6606</v>
      </c>
      <c r="B6612" t="s">
        <v>54</v>
      </c>
    </row>
    <row r="6613" spans="1:2" x14ac:dyDescent="0.2">
      <c r="A6613">
        <v>6607</v>
      </c>
      <c r="B6613" t="s">
        <v>54</v>
      </c>
    </row>
    <row r="6614" spans="1:2" x14ac:dyDescent="0.2">
      <c r="A6614">
        <v>6608</v>
      </c>
      <c r="B6614" t="s">
        <v>54</v>
      </c>
    </row>
    <row r="6615" spans="1:2" x14ac:dyDescent="0.2">
      <c r="A6615">
        <v>6609</v>
      </c>
      <c r="B6615" t="s">
        <v>54</v>
      </c>
    </row>
    <row r="6616" spans="1:2" x14ac:dyDescent="0.2">
      <c r="A6616">
        <v>6610</v>
      </c>
      <c r="B6616" t="s">
        <v>54</v>
      </c>
    </row>
    <row r="6617" spans="1:2" x14ac:dyDescent="0.2">
      <c r="A6617">
        <v>6611</v>
      </c>
      <c r="B6617" t="s">
        <v>54</v>
      </c>
    </row>
    <row r="6618" spans="1:2" x14ac:dyDescent="0.2">
      <c r="A6618">
        <v>6612</v>
      </c>
      <c r="B6618" t="s">
        <v>54</v>
      </c>
    </row>
    <row r="6619" spans="1:2" x14ac:dyDescent="0.2">
      <c r="A6619">
        <v>6613</v>
      </c>
      <c r="B6619" t="s">
        <v>54</v>
      </c>
    </row>
    <row r="6620" spans="1:2" x14ac:dyDescent="0.2">
      <c r="A6620">
        <v>6614</v>
      </c>
      <c r="B6620" t="s">
        <v>54</v>
      </c>
    </row>
    <row r="6621" spans="1:2" x14ac:dyDescent="0.2">
      <c r="A6621">
        <v>6615</v>
      </c>
      <c r="B6621" t="s">
        <v>54</v>
      </c>
    </row>
    <row r="6622" spans="1:2" x14ac:dyDescent="0.2">
      <c r="A6622">
        <v>6616</v>
      </c>
      <c r="B6622" t="s">
        <v>54</v>
      </c>
    </row>
    <row r="6623" spans="1:2" x14ac:dyDescent="0.2">
      <c r="A6623">
        <v>6617</v>
      </c>
      <c r="B6623" t="s">
        <v>54</v>
      </c>
    </row>
    <row r="6624" spans="1:2" x14ac:dyDescent="0.2">
      <c r="A6624">
        <v>6618</v>
      </c>
      <c r="B6624" t="s">
        <v>54</v>
      </c>
    </row>
    <row r="6625" spans="1:2" x14ac:dyDescent="0.2">
      <c r="A6625">
        <v>6619</v>
      </c>
      <c r="B6625" t="s">
        <v>54</v>
      </c>
    </row>
    <row r="6626" spans="1:2" x14ac:dyDescent="0.2">
      <c r="A6626">
        <v>6620</v>
      </c>
      <c r="B6626" t="s">
        <v>54</v>
      </c>
    </row>
    <row r="6627" spans="1:2" x14ac:dyDescent="0.2">
      <c r="A6627">
        <v>6621</v>
      </c>
      <c r="B6627" t="s">
        <v>54</v>
      </c>
    </row>
    <row r="6628" spans="1:2" x14ac:dyDescent="0.2">
      <c r="A6628">
        <v>6622</v>
      </c>
      <c r="B6628" t="s">
        <v>54</v>
      </c>
    </row>
    <row r="6629" spans="1:2" x14ac:dyDescent="0.2">
      <c r="A6629">
        <v>6623</v>
      </c>
      <c r="B6629" t="s">
        <v>54</v>
      </c>
    </row>
    <row r="6630" spans="1:2" x14ac:dyDescent="0.2">
      <c r="A6630">
        <v>6624</v>
      </c>
      <c r="B6630" t="s">
        <v>54</v>
      </c>
    </row>
    <row r="6631" spans="1:2" x14ac:dyDescent="0.2">
      <c r="A6631">
        <v>6625</v>
      </c>
      <c r="B6631" t="s">
        <v>54</v>
      </c>
    </row>
    <row r="6632" spans="1:2" x14ac:dyDescent="0.2">
      <c r="A6632">
        <v>6626</v>
      </c>
      <c r="B6632" t="s">
        <v>54</v>
      </c>
    </row>
    <row r="6633" spans="1:2" x14ac:dyDescent="0.2">
      <c r="A6633">
        <v>6627</v>
      </c>
      <c r="B6633" t="s">
        <v>54</v>
      </c>
    </row>
    <row r="6634" spans="1:2" x14ac:dyDescent="0.2">
      <c r="A6634">
        <v>6628</v>
      </c>
      <c r="B6634" t="s">
        <v>54</v>
      </c>
    </row>
    <row r="6635" spans="1:2" x14ac:dyDescent="0.2">
      <c r="A6635">
        <v>6629</v>
      </c>
      <c r="B6635" t="s">
        <v>54</v>
      </c>
    </row>
    <row r="6636" spans="1:2" x14ac:dyDescent="0.2">
      <c r="A6636">
        <v>6630</v>
      </c>
      <c r="B6636" t="s">
        <v>54</v>
      </c>
    </row>
    <row r="6637" spans="1:2" x14ac:dyDescent="0.2">
      <c r="A6637">
        <v>6631</v>
      </c>
      <c r="B6637" t="s">
        <v>54</v>
      </c>
    </row>
    <row r="6638" spans="1:2" x14ac:dyDescent="0.2">
      <c r="A6638">
        <v>6632</v>
      </c>
      <c r="B6638" t="s">
        <v>54</v>
      </c>
    </row>
    <row r="6639" spans="1:2" x14ac:dyDescent="0.2">
      <c r="A6639">
        <v>6633</v>
      </c>
      <c r="B6639" t="s">
        <v>54</v>
      </c>
    </row>
    <row r="6640" spans="1:2" x14ac:dyDescent="0.2">
      <c r="A6640">
        <v>6634</v>
      </c>
      <c r="B6640" t="s">
        <v>54</v>
      </c>
    </row>
    <row r="6641" spans="1:2" x14ac:dyDescent="0.2">
      <c r="A6641">
        <v>6635</v>
      </c>
      <c r="B6641" t="s">
        <v>54</v>
      </c>
    </row>
    <row r="6642" spans="1:2" x14ac:dyDescent="0.2">
      <c r="A6642">
        <v>6636</v>
      </c>
      <c r="B6642" t="s">
        <v>54</v>
      </c>
    </row>
    <row r="6643" spans="1:2" x14ac:dyDescent="0.2">
      <c r="A6643">
        <v>6637</v>
      </c>
      <c r="B6643" t="s">
        <v>54</v>
      </c>
    </row>
    <row r="6644" spans="1:2" x14ac:dyDescent="0.2">
      <c r="A6644">
        <v>6638</v>
      </c>
      <c r="B6644" t="s">
        <v>54</v>
      </c>
    </row>
    <row r="6645" spans="1:2" x14ac:dyDescent="0.2">
      <c r="A6645">
        <v>6639</v>
      </c>
      <c r="B6645" t="s">
        <v>54</v>
      </c>
    </row>
    <row r="6646" spans="1:2" x14ac:dyDescent="0.2">
      <c r="A6646">
        <v>6640</v>
      </c>
      <c r="B6646" t="s">
        <v>54</v>
      </c>
    </row>
    <row r="6647" spans="1:2" x14ac:dyDescent="0.2">
      <c r="A6647">
        <v>6641</v>
      </c>
      <c r="B6647" t="s">
        <v>54</v>
      </c>
    </row>
    <row r="6648" spans="1:2" x14ac:dyDescent="0.2">
      <c r="A6648">
        <v>6642</v>
      </c>
      <c r="B6648" t="s">
        <v>54</v>
      </c>
    </row>
    <row r="6649" spans="1:2" x14ac:dyDescent="0.2">
      <c r="A6649">
        <v>6643</v>
      </c>
      <c r="B6649" t="s">
        <v>54</v>
      </c>
    </row>
    <row r="6650" spans="1:2" x14ac:dyDescent="0.2">
      <c r="A6650">
        <v>6644</v>
      </c>
      <c r="B6650" t="s">
        <v>54</v>
      </c>
    </row>
    <row r="6651" spans="1:2" x14ac:dyDescent="0.2">
      <c r="A6651">
        <v>6645</v>
      </c>
      <c r="B6651" t="s">
        <v>54</v>
      </c>
    </row>
    <row r="6652" spans="1:2" x14ac:dyDescent="0.2">
      <c r="A6652">
        <v>6646</v>
      </c>
      <c r="B6652" t="s">
        <v>54</v>
      </c>
    </row>
    <row r="6653" spans="1:2" x14ac:dyDescent="0.2">
      <c r="A6653">
        <v>6647</v>
      </c>
      <c r="B6653" t="s">
        <v>54</v>
      </c>
    </row>
    <row r="6654" spans="1:2" x14ac:dyDescent="0.2">
      <c r="A6654">
        <v>6648</v>
      </c>
      <c r="B6654" t="s">
        <v>54</v>
      </c>
    </row>
    <row r="6655" spans="1:2" x14ac:dyDescent="0.2">
      <c r="A6655">
        <v>6649</v>
      </c>
      <c r="B6655" t="s">
        <v>54</v>
      </c>
    </row>
    <row r="6656" spans="1:2" x14ac:dyDescent="0.2">
      <c r="A6656">
        <v>6650</v>
      </c>
      <c r="B6656" t="s">
        <v>54</v>
      </c>
    </row>
    <row r="6657" spans="1:2" x14ac:dyDescent="0.2">
      <c r="A6657">
        <v>6651</v>
      </c>
      <c r="B6657" t="s">
        <v>54</v>
      </c>
    </row>
    <row r="6658" spans="1:2" x14ac:dyDescent="0.2">
      <c r="A6658">
        <v>6652</v>
      </c>
      <c r="B6658" t="s">
        <v>54</v>
      </c>
    </row>
    <row r="6659" spans="1:2" x14ac:dyDescent="0.2">
      <c r="A6659">
        <v>6653</v>
      </c>
      <c r="B6659" t="s">
        <v>54</v>
      </c>
    </row>
    <row r="6660" spans="1:2" x14ac:dyDescent="0.2">
      <c r="A6660">
        <v>6654</v>
      </c>
      <c r="B6660" t="s">
        <v>54</v>
      </c>
    </row>
    <row r="6661" spans="1:2" x14ac:dyDescent="0.2">
      <c r="A6661">
        <v>6655</v>
      </c>
      <c r="B6661" t="s">
        <v>54</v>
      </c>
    </row>
    <row r="6662" spans="1:2" x14ac:dyDescent="0.2">
      <c r="A6662">
        <v>6656</v>
      </c>
      <c r="B6662" t="s">
        <v>54</v>
      </c>
    </row>
    <row r="6663" spans="1:2" x14ac:dyDescent="0.2">
      <c r="A6663">
        <v>6657</v>
      </c>
      <c r="B6663" t="s">
        <v>54</v>
      </c>
    </row>
    <row r="6664" spans="1:2" x14ac:dyDescent="0.2">
      <c r="A6664">
        <v>6658</v>
      </c>
      <c r="B6664" t="s">
        <v>54</v>
      </c>
    </row>
    <row r="6665" spans="1:2" x14ac:dyDescent="0.2">
      <c r="A6665">
        <v>6659</v>
      </c>
      <c r="B6665" t="s">
        <v>54</v>
      </c>
    </row>
    <row r="6666" spans="1:2" x14ac:dyDescent="0.2">
      <c r="A6666">
        <v>6660</v>
      </c>
      <c r="B6666" t="s">
        <v>54</v>
      </c>
    </row>
    <row r="6667" spans="1:2" x14ac:dyDescent="0.2">
      <c r="A6667">
        <v>6661</v>
      </c>
      <c r="B6667" t="s">
        <v>54</v>
      </c>
    </row>
    <row r="6668" spans="1:2" x14ac:dyDescent="0.2">
      <c r="A6668">
        <v>6662</v>
      </c>
      <c r="B6668" t="s">
        <v>54</v>
      </c>
    </row>
    <row r="6669" spans="1:2" x14ac:dyDescent="0.2">
      <c r="A6669">
        <v>6663</v>
      </c>
      <c r="B6669" t="s">
        <v>54</v>
      </c>
    </row>
    <row r="6670" spans="1:2" x14ac:dyDescent="0.2">
      <c r="A6670">
        <v>6664</v>
      </c>
      <c r="B6670" t="s">
        <v>54</v>
      </c>
    </row>
    <row r="6671" spans="1:2" x14ac:dyDescent="0.2">
      <c r="A6671">
        <v>6665</v>
      </c>
      <c r="B6671" t="s">
        <v>54</v>
      </c>
    </row>
    <row r="6672" spans="1:2" x14ac:dyDescent="0.2">
      <c r="A6672">
        <v>6666</v>
      </c>
      <c r="B6672" t="s">
        <v>54</v>
      </c>
    </row>
    <row r="6673" spans="1:2" x14ac:dyDescent="0.2">
      <c r="A6673">
        <v>6667</v>
      </c>
      <c r="B6673" t="s">
        <v>54</v>
      </c>
    </row>
    <row r="6674" spans="1:2" x14ac:dyDescent="0.2">
      <c r="A6674">
        <v>6668</v>
      </c>
      <c r="B6674" t="s">
        <v>54</v>
      </c>
    </row>
    <row r="6675" spans="1:2" x14ac:dyDescent="0.2">
      <c r="A6675">
        <v>6669</v>
      </c>
      <c r="B6675" t="s">
        <v>54</v>
      </c>
    </row>
    <row r="6676" spans="1:2" x14ac:dyDescent="0.2">
      <c r="A6676">
        <v>6670</v>
      </c>
      <c r="B6676" t="s">
        <v>54</v>
      </c>
    </row>
    <row r="6677" spans="1:2" x14ac:dyDescent="0.2">
      <c r="A6677">
        <v>6671</v>
      </c>
      <c r="B6677" t="s">
        <v>54</v>
      </c>
    </row>
    <row r="6678" spans="1:2" x14ac:dyDescent="0.2">
      <c r="A6678">
        <v>6672</v>
      </c>
      <c r="B6678" t="s">
        <v>54</v>
      </c>
    </row>
    <row r="6679" spans="1:2" x14ac:dyDescent="0.2">
      <c r="A6679">
        <v>6673</v>
      </c>
      <c r="B6679" t="s">
        <v>54</v>
      </c>
    </row>
    <row r="6680" spans="1:2" x14ac:dyDescent="0.2">
      <c r="A6680">
        <v>6674</v>
      </c>
      <c r="B6680" t="s">
        <v>54</v>
      </c>
    </row>
    <row r="6681" spans="1:2" x14ac:dyDescent="0.2">
      <c r="A6681">
        <v>6675</v>
      </c>
      <c r="B6681" t="s">
        <v>54</v>
      </c>
    </row>
    <row r="6682" spans="1:2" x14ac:dyDescent="0.2">
      <c r="A6682">
        <v>6676</v>
      </c>
      <c r="B6682" t="s">
        <v>54</v>
      </c>
    </row>
    <row r="6683" spans="1:2" x14ac:dyDescent="0.2">
      <c r="A6683">
        <v>6677</v>
      </c>
      <c r="B6683" t="s">
        <v>54</v>
      </c>
    </row>
    <row r="6684" spans="1:2" x14ac:dyDescent="0.2">
      <c r="A6684">
        <v>6678</v>
      </c>
      <c r="B6684" t="s">
        <v>54</v>
      </c>
    </row>
    <row r="6685" spans="1:2" x14ac:dyDescent="0.2">
      <c r="A6685">
        <v>6679</v>
      </c>
      <c r="B6685" t="s">
        <v>54</v>
      </c>
    </row>
    <row r="6686" spans="1:2" x14ac:dyDescent="0.2">
      <c r="A6686">
        <v>6680</v>
      </c>
      <c r="B6686" t="s">
        <v>54</v>
      </c>
    </row>
    <row r="6687" spans="1:2" x14ac:dyDescent="0.2">
      <c r="A6687">
        <v>6681</v>
      </c>
      <c r="B6687" t="s">
        <v>54</v>
      </c>
    </row>
    <row r="6688" spans="1:2" x14ac:dyDescent="0.2">
      <c r="A6688">
        <v>6682</v>
      </c>
      <c r="B6688" t="s">
        <v>54</v>
      </c>
    </row>
    <row r="6689" spans="1:2" x14ac:dyDescent="0.2">
      <c r="A6689">
        <v>6683</v>
      </c>
      <c r="B6689" t="s">
        <v>54</v>
      </c>
    </row>
    <row r="6690" spans="1:2" x14ac:dyDescent="0.2">
      <c r="A6690">
        <v>6684</v>
      </c>
      <c r="B6690" t="s">
        <v>54</v>
      </c>
    </row>
    <row r="6691" spans="1:2" x14ac:dyDescent="0.2">
      <c r="A6691">
        <v>6685</v>
      </c>
      <c r="B6691" t="s">
        <v>54</v>
      </c>
    </row>
    <row r="6692" spans="1:2" x14ac:dyDescent="0.2">
      <c r="A6692">
        <v>6686</v>
      </c>
      <c r="B6692" t="s">
        <v>54</v>
      </c>
    </row>
    <row r="6693" spans="1:2" x14ac:dyDescent="0.2">
      <c r="A6693">
        <v>6687</v>
      </c>
      <c r="B6693" t="s">
        <v>54</v>
      </c>
    </row>
    <row r="6694" spans="1:2" x14ac:dyDescent="0.2">
      <c r="A6694">
        <v>6688</v>
      </c>
      <c r="B6694" t="s">
        <v>54</v>
      </c>
    </row>
    <row r="6695" spans="1:2" x14ac:dyDescent="0.2">
      <c r="A6695">
        <v>6689</v>
      </c>
      <c r="B6695" t="s">
        <v>54</v>
      </c>
    </row>
    <row r="6696" spans="1:2" x14ac:dyDescent="0.2">
      <c r="A6696">
        <v>6690</v>
      </c>
      <c r="B6696" t="s">
        <v>54</v>
      </c>
    </row>
    <row r="6697" spans="1:2" x14ac:dyDescent="0.2">
      <c r="A6697">
        <v>6691</v>
      </c>
      <c r="B6697" t="s">
        <v>54</v>
      </c>
    </row>
    <row r="6698" spans="1:2" x14ac:dyDescent="0.2">
      <c r="A6698">
        <v>6692</v>
      </c>
      <c r="B6698" t="s">
        <v>54</v>
      </c>
    </row>
    <row r="6699" spans="1:2" x14ac:dyDescent="0.2">
      <c r="A6699">
        <v>6693</v>
      </c>
      <c r="B6699" t="s">
        <v>54</v>
      </c>
    </row>
    <row r="6700" spans="1:2" x14ac:dyDescent="0.2">
      <c r="A6700">
        <v>6694</v>
      </c>
      <c r="B6700" t="s">
        <v>54</v>
      </c>
    </row>
    <row r="6701" spans="1:2" x14ac:dyDescent="0.2">
      <c r="A6701">
        <v>6695</v>
      </c>
      <c r="B6701" t="s">
        <v>54</v>
      </c>
    </row>
    <row r="6702" spans="1:2" x14ac:dyDescent="0.2">
      <c r="A6702">
        <v>6696</v>
      </c>
      <c r="B6702" t="s">
        <v>54</v>
      </c>
    </row>
    <row r="6703" spans="1:2" x14ac:dyDescent="0.2">
      <c r="A6703">
        <v>6697</v>
      </c>
      <c r="B6703" t="s">
        <v>54</v>
      </c>
    </row>
    <row r="6704" spans="1:2" x14ac:dyDescent="0.2">
      <c r="A6704">
        <v>6698</v>
      </c>
      <c r="B6704" t="s">
        <v>54</v>
      </c>
    </row>
    <row r="6705" spans="1:2" x14ac:dyDescent="0.2">
      <c r="A6705">
        <v>6699</v>
      </c>
      <c r="B6705" t="s">
        <v>54</v>
      </c>
    </row>
    <row r="6706" spans="1:2" x14ac:dyDescent="0.2">
      <c r="A6706">
        <v>6700</v>
      </c>
      <c r="B6706" t="s">
        <v>54</v>
      </c>
    </row>
    <row r="6707" spans="1:2" x14ac:dyDescent="0.2">
      <c r="A6707">
        <v>6701</v>
      </c>
      <c r="B6707" t="s">
        <v>54</v>
      </c>
    </row>
    <row r="6708" spans="1:2" x14ac:dyDescent="0.2">
      <c r="A6708">
        <v>6702</v>
      </c>
      <c r="B6708" t="s">
        <v>54</v>
      </c>
    </row>
    <row r="6709" spans="1:2" x14ac:dyDescent="0.2">
      <c r="A6709">
        <v>6703</v>
      </c>
      <c r="B6709" t="s">
        <v>54</v>
      </c>
    </row>
    <row r="6710" spans="1:2" x14ac:dyDescent="0.2">
      <c r="A6710">
        <v>6704</v>
      </c>
      <c r="B6710" t="s">
        <v>54</v>
      </c>
    </row>
    <row r="6711" spans="1:2" x14ac:dyDescent="0.2">
      <c r="A6711">
        <v>6705</v>
      </c>
      <c r="B6711" t="s">
        <v>54</v>
      </c>
    </row>
    <row r="6712" spans="1:2" x14ac:dyDescent="0.2">
      <c r="A6712">
        <v>6706</v>
      </c>
      <c r="B6712" t="s">
        <v>54</v>
      </c>
    </row>
    <row r="6713" spans="1:2" x14ac:dyDescent="0.2">
      <c r="A6713">
        <v>6707</v>
      </c>
      <c r="B6713" t="s">
        <v>54</v>
      </c>
    </row>
    <row r="6714" spans="1:2" x14ac:dyDescent="0.2">
      <c r="A6714">
        <v>6708</v>
      </c>
      <c r="B6714" t="s">
        <v>54</v>
      </c>
    </row>
    <row r="6715" spans="1:2" x14ac:dyDescent="0.2">
      <c r="A6715">
        <v>6709</v>
      </c>
      <c r="B6715" t="s">
        <v>54</v>
      </c>
    </row>
    <row r="6716" spans="1:2" x14ac:dyDescent="0.2">
      <c r="A6716">
        <v>6710</v>
      </c>
      <c r="B6716" t="s">
        <v>54</v>
      </c>
    </row>
    <row r="6717" spans="1:2" x14ac:dyDescent="0.2">
      <c r="A6717">
        <v>6711</v>
      </c>
      <c r="B6717" t="s">
        <v>54</v>
      </c>
    </row>
    <row r="6718" spans="1:2" x14ac:dyDescent="0.2">
      <c r="A6718">
        <v>6712</v>
      </c>
      <c r="B6718" t="s">
        <v>54</v>
      </c>
    </row>
    <row r="6719" spans="1:2" x14ac:dyDescent="0.2">
      <c r="A6719">
        <v>6713</v>
      </c>
      <c r="B6719" t="s">
        <v>54</v>
      </c>
    </row>
    <row r="6720" spans="1:2" x14ac:dyDescent="0.2">
      <c r="A6720">
        <v>6714</v>
      </c>
      <c r="B6720" t="s">
        <v>54</v>
      </c>
    </row>
    <row r="6721" spans="1:2" x14ac:dyDescent="0.2">
      <c r="A6721">
        <v>6715</v>
      </c>
      <c r="B6721" t="s">
        <v>54</v>
      </c>
    </row>
    <row r="6722" spans="1:2" x14ac:dyDescent="0.2">
      <c r="A6722">
        <v>6716</v>
      </c>
      <c r="B6722" t="s">
        <v>54</v>
      </c>
    </row>
    <row r="6723" spans="1:2" x14ac:dyDescent="0.2">
      <c r="A6723">
        <v>6717</v>
      </c>
      <c r="B6723" t="s">
        <v>54</v>
      </c>
    </row>
    <row r="6724" spans="1:2" x14ac:dyDescent="0.2">
      <c r="A6724">
        <v>6718</v>
      </c>
      <c r="B6724" t="s">
        <v>54</v>
      </c>
    </row>
    <row r="6725" spans="1:2" x14ac:dyDescent="0.2">
      <c r="A6725">
        <v>6719</v>
      </c>
      <c r="B6725" t="s">
        <v>54</v>
      </c>
    </row>
    <row r="6726" spans="1:2" x14ac:dyDescent="0.2">
      <c r="A6726">
        <v>6720</v>
      </c>
      <c r="B6726" t="s">
        <v>54</v>
      </c>
    </row>
    <row r="6727" spans="1:2" x14ac:dyDescent="0.2">
      <c r="A6727">
        <v>6721</v>
      </c>
      <c r="B6727" t="s">
        <v>54</v>
      </c>
    </row>
    <row r="6728" spans="1:2" x14ac:dyDescent="0.2">
      <c r="A6728">
        <v>6722</v>
      </c>
      <c r="B6728" t="s">
        <v>54</v>
      </c>
    </row>
    <row r="6729" spans="1:2" x14ac:dyDescent="0.2">
      <c r="A6729">
        <v>6723</v>
      </c>
      <c r="B6729" t="s">
        <v>54</v>
      </c>
    </row>
    <row r="6730" spans="1:2" x14ac:dyDescent="0.2">
      <c r="A6730">
        <v>6724</v>
      </c>
      <c r="B6730" t="s">
        <v>54</v>
      </c>
    </row>
    <row r="6731" spans="1:2" x14ac:dyDescent="0.2">
      <c r="A6731">
        <v>6725</v>
      </c>
      <c r="B6731" t="s">
        <v>54</v>
      </c>
    </row>
    <row r="6732" spans="1:2" x14ac:dyDescent="0.2">
      <c r="A6732">
        <v>6726</v>
      </c>
      <c r="B6732" t="s">
        <v>54</v>
      </c>
    </row>
    <row r="6733" spans="1:2" x14ac:dyDescent="0.2">
      <c r="A6733">
        <v>6727</v>
      </c>
      <c r="B6733" t="s">
        <v>54</v>
      </c>
    </row>
    <row r="6734" spans="1:2" x14ac:dyDescent="0.2">
      <c r="A6734">
        <v>6728</v>
      </c>
      <c r="B6734" t="s">
        <v>54</v>
      </c>
    </row>
    <row r="6735" spans="1:2" x14ac:dyDescent="0.2">
      <c r="A6735">
        <v>6729</v>
      </c>
      <c r="B6735" t="s">
        <v>54</v>
      </c>
    </row>
    <row r="6736" spans="1:2" x14ac:dyDescent="0.2">
      <c r="A6736">
        <v>6730</v>
      </c>
      <c r="B6736" t="s">
        <v>54</v>
      </c>
    </row>
    <row r="6737" spans="1:2" x14ac:dyDescent="0.2">
      <c r="A6737">
        <v>6731</v>
      </c>
      <c r="B6737" t="s">
        <v>54</v>
      </c>
    </row>
    <row r="6738" spans="1:2" x14ac:dyDescent="0.2">
      <c r="A6738">
        <v>6732</v>
      </c>
      <c r="B6738" t="s">
        <v>54</v>
      </c>
    </row>
    <row r="6739" spans="1:2" x14ac:dyDescent="0.2">
      <c r="A6739">
        <v>6733</v>
      </c>
      <c r="B6739" t="s">
        <v>54</v>
      </c>
    </row>
    <row r="6740" spans="1:2" x14ac:dyDescent="0.2">
      <c r="A6740">
        <v>6734</v>
      </c>
      <c r="B6740" t="s">
        <v>54</v>
      </c>
    </row>
    <row r="6741" spans="1:2" x14ac:dyDescent="0.2">
      <c r="A6741">
        <v>6735</v>
      </c>
      <c r="B6741" t="s">
        <v>54</v>
      </c>
    </row>
    <row r="6742" spans="1:2" x14ac:dyDescent="0.2">
      <c r="A6742">
        <v>6736</v>
      </c>
      <c r="B6742" t="s">
        <v>54</v>
      </c>
    </row>
    <row r="6743" spans="1:2" x14ac:dyDescent="0.2">
      <c r="A6743">
        <v>6737</v>
      </c>
      <c r="B6743" t="s">
        <v>54</v>
      </c>
    </row>
    <row r="6744" spans="1:2" x14ac:dyDescent="0.2">
      <c r="A6744">
        <v>6738</v>
      </c>
      <c r="B6744" t="s">
        <v>54</v>
      </c>
    </row>
    <row r="6745" spans="1:2" x14ac:dyDescent="0.2">
      <c r="A6745">
        <v>6739</v>
      </c>
      <c r="B6745" t="s">
        <v>54</v>
      </c>
    </row>
    <row r="6746" spans="1:2" x14ac:dyDescent="0.2">
      <c r="A6746">
        <v>6740</v>
      </c>
      <c r="B6746" t="s">
        <v>54</v>
      </c>
    </row>
    <row r="6747" spans="1:2" x14ac:dyDescent="0.2">
      <c r="A6747">
        <v>6741</v>
      </c>
      <c r="B6747" t="s">
        <v>54</v>
      </c>
    </row>
    <row r="6748" spans="1:2" x14ac:dyDescent="0.2">
      <c r="A6748">
        <v>6742</v>
      </c>
      <c r="B6748" t="s">
        <v>54</v>
      </c>
    </row>
    <row r="6749" spans="1:2" x14ac:dyDescent="0.2">
      <c r="A6749">
        <v>6743</v>
      </c>
      <c r="B6749" t="s">
        <v>54</v>
      </c>
    </row>
    <row r="6750" spans="1:2" x14ac:dyDescent="0.2">
      <c r="A6750">
        <v>6744</v>
      </c>
      <c r="B6750" t="s">
        <v>54</v>
      </c>
    </row>
    <row r="6751" spans="1:2" x14ac:dyDescent="0.2">
      <c r="A6751">
        <v>6745</v>
      </c>
      <c r="B6751" t="s">
        <v>54</v>
      </c>
    </row>
    <row r="6752" spans="1:2" x14ac:dyDescent="0.2">
      <c r="A6752">
        <v>6746</v>
      </c>
      <c r="B6752" t="s">
        <v>54</v>
      </c>
    </row>
    <row r="6753" spans="1:2" x14ac:dyDescent="0.2">
      <c r="A6753">
        <v>6747</v>
      </c>
      <c r="B6753" t="s">
        <v>54</v>
      </c>
    </row>
    <row r="6754" spans="1:2" x14ac:dyDescent="0.2">
      <c r="A6754">
        <v>6748</v>
      </c>
      <c r="B6754" t="s">
        <v>54</v>
      </c>
    </row>
    <row r="6755" spans="1:2" x14ac:dyDescent="0.2">
      <c r="A6755">
        <v>6749</v>
      </c>
      <c r="B6755" t="s">
        <v>54</v>
      </c>
    </row>
    <row r="6756" spans="1:2" x14ac:dyDescent="0.2">
      <c r="A6756">
        <v>6750</v>
      </c>
      <c r="B6756" t="s">
        <v>54</v>
      </c>
    </row>
    <row r="6757" spans="1:2" x14ac:dyDescent="0.2">
      <c r="A6757">
        <v>6751</v>
      </c>
      <c r="B6757" t="s">
        <v>54</v>
      </c>
    </row>
    <row r="6758" spans="1:2" x14ac:dyDescent="0.2">
      <c r="A6758">
        <v>6752</v>
      </c>
      <c r="B6758" t="s">
        <v>54</v>
      </c>
    </row>
    <row r="6759" spans="1:2" x14ac:dyDescent="0.2">
      <c r="A6759">
        <v>6753</v>
      </c>
      <c r="B6759" t="s">
        <v>54</v>
      </c>
    </row>
    <row r="6760" spans="1:2" x14ac:dyDescent="0.2">
      <c r="A6760">
        <v>6754</v>
      </c>
      <c r="B6760" t="s">
        <v>54</v>
      </c>
    </row>
    <row r="6761" spans="1:2" x14ac:dyDescent="0.2">
      <c r="A6761">
        <v>6755</v>
      </c>
      <c r="B6761" t="s">
        <v>54</v>
      </c>
    </row>
    <row r="6762" spans="1:2" x14ac:dyDescent="0.2">
      <c r="A6762">
        <v>6756</v>
      </c>
      <c r="B6762" t="s">
        <v>54</v>
      </c>
    </row>
    <row r="6763" spans="1:2" x14ac:dyDescent="0.2">
      <c r="A6763">
        <v>6757</v>
      </c>
      <c r="B6763" t="s">
        <v>54</v>
      </c>
    </row>
    <row r="6764" spans="1:2" x14ac:dyDescent="0.2">
      <c r="A6764">
        <v>6758</v>
      </c>
      <c r="B6764" t="s">
        <v>54</v>
      </c>
    </row>
    <row r="6765" spans="1:2" x14ac:dyDescent="0.2">
      <c r="A6765">
        <v>6759</v>
      </c>
      <c r="B6765" t="s">
        <v>54</v>
      </c>
    </row>
    <row r="6766" spans="1:2" x14ac:dyDescent="0.2">
      <c r="A6766">
        <v>6760</v>
      </c>
      <c r="B6766" t="s">
        <v>54</v>
      </c>
    </row>
    <row r="6767" spans="1:2" x14ac:dyDescent="0.2">
      <c r="A6767">
        <v>6761</v>
      </c>
      <c r="B6767" t="s">
        <v>54</v>
      </c>
    </row>
    <row r="6768" spans="1:2" x14ac:dyDescent="0.2">
      <c r="A6768">
        <v>6762</v>
      </c>
      <c r="B6768" t="s">
        <v>54</v>
      </c>
    </row>
    <row r="6769" spans="1:2" x14ac:dyDescent="0.2">
      <c r="A6769">
        <v>6763</v>
      </c>
      <c r="B6769" t="s">
        <v>54</v>
      </c>
    </row>
    <row r="6770" spans="1:2" x14ac:dyDescent="0.2">
      <c r="A6770">
        <v>6764</v>
      </c>
      <c r="B6770" t="s">
        <v>54</v>
      </c>
    </row>
    <row r="6771" spans="1:2" x14ac:dyDescent="0.2">
      <c r="A6771">
        <v>6765</v>
      </c>
      <c r="B6771" t="s">
        <v>54</v>
      </c>
    </row>
    <row r="6772" spans="1:2" x14ac:dyDescent="0.2">
      <c r="A6772">
        <v>6766</v>
      </c>
      <c r="B6772" t="s">
        <v>54</v>
      </c>
    </row>
    <row r="6773" spans="1:2" x14ac:dyDescent="0.2">
      <c r="A6773">
        <v>6767</v>
      </c>
      <c r="B6773" t="s">
        <v>54</v>
      </c>
    </row>
    <row r="6774" spans="1:2" x14ac:dyDescent="0.2">
      <c r="A6774">
        <v>6768</v>
      </c>
      <c r="B6774" t="s">
        <v>54</v>
      </c>
    </row>
    <row r="6775" spans="1:2" x14ac:dyDescent="0.2">
      <c r="A6775">
        <v>6769</v>
      </c>
      <c r="B6775" t="s">
        <v>54</v>
      </c>
    </row>
    <row r="6776" spans="1:2" x14ac:dyDescent="0.2">
      <c r="A6776">
        <v>6770</v>
      </c>
      <c r="B6776" t="s">
        <v>54</v>
      </c>
    </row>
    <row r="6777" spans="1:2" x14ac:dyDescent="0.2">
      <c r="A6777">
        <v>6771</v>
      </c>
      <c r="B6777" t="s">
        <v>54</v>
      </c>
    </row>
    <row r="6778" spans="1:2" x14ac:dyDescent="0.2">
      <c r="A6778">
        <v>6772</v>
      </c>
      <c r="B6778" t="s">
        <v>54</v>
      </c>
    </row>
    <row r="6779" spans="1:2" x14ac:dyDescent="0.2">
      <c r="A6779">
        <v>6773</v>
      </c>
      <c r="B6779" t="s">
        <v>54</v>
      </c>
    </row>
    <row r="6780" spans="1:2" x14ac:dyDescent="0.2">
      <c r="A6780">
        <v>6774</v>
      </c>
      <c r="B6780" t="s">
        <v>54</v>
      </c>
    </row>
    <row r="6781" spans="1:2" x14ac:dyDescent="0.2">
      <c r="A6781">
        <v>6775</v>
      </c>
      <c r="B6781" t="s">
        <v>54</v>
      </c>
    </row>
    <row r="6782" spans="1:2" x14ac:dyDescent="0.2">
      <c r="A6782">
        <v>6776</v>
      </c>
      <c r="B6782" t="s">
        <v>54</v>
      </c>
    </row>
    <row r="6783" spans="1:2" x14ac:dyDescent="0.2">
      <c r="A6783">
        <v>6777</v>
      </c>
      <c r="B6783" t="s">
        <v>54</v>
      </c>
    </row>
    <row r="6784" spans="1:2" x14ac:dyDescent="0.2">
      <c r="A6784">
        <v>6778</v>
      </c>
      <c r="B6784" t="s">
        <v>54</v>
      </c>
    </row>
    <row r="6785" spans="1:2" x14ac:dyDescent="0.2">
      <c r="A6785">
        <v>6779</v>
      </c>
      <c r="B6785" t="s">
        <v>54</v>
      </c>
    </row>
    <row r="6786" spans="1:2" x14ac:dyDescent="0.2">
      <c r="A6786">
        <v>6780</v>
      </c>
      <c r="B6786" t="s">
        <v>54</v>
      </c>
    </row>
    <row r="6787" spans="1:2" x14ac:dyDescent="0.2">
      <c r="A6787">
        <v>6781</v>
      </c>
      <c r="B6787" t="s">
        <v>54</v>
      </c>
    </row>
    <row r="6788" spans="1:2" x14ac:dyDescent="0.2">
      <c r="A6788">
        <v>6782</v>
      </c>
      <c r="B6788" t="s">
        <v>54</v>
      </c>
    </row>
    <row r="6789" spans="1:2" x14ac:dyDescent="0.2">
      <c r="A6789">
        <v>6783</v>
      </c>
      <c r="B6789" t="s">
        <v>54</v>
      </c>
    </row>
    <row r="6790" spans="1:2" x14ac:dyDescent="0.2">
      <c r="A6790">
        <v>6784</v>
      </c>
      <c r="B6790" t="s">
        <v>54</v>
      </c>
    </row>
    <row r="6791" spans="1:2" x14ac:dyDescent="0.2">
      <c r="A6791">
        <v>6785</v>
      </c>
      <c r="B6791" t="s">
        <v>54</v>
      </c>
    </row>
    <row r="6792" spans="1:2" x14ac:dyDescent="0.2">
      <c r="A6792">
        <v>6786</v>
      </c>
      <c r="B6792" t="s">
        <v>54</v>
      </c>
    </row>
    <row r="6793" spans="1:2" x14ac:dyDescent="0.2">
      <c r="A6793">
        <v>6787</v>
      </c>
      <c r="B6793" t="s">
        <v>54</v>
      </c>
    </row>
    <row r="6794" spans="1:2" x14ac:dyDescent="0.2">
      <c r="A6794">
        <v>6788</v>
      </c>
      <c r="B6794" t="s">
        <v>54</v>
      </c>
    </row>
    <row r="6795" spans="1:2" x14ac:dyDescent="0.2">
      <c r="A6795">
        <v>6789</v>
      </c>
      <c r="B6795" t="s">
        <v>54</v>
      </c>
    </row>
    <row r="6796" spans="1:2" x14ac:dyDescent="0.2">
      <c r="A6796">
        <v>6790</v>
      </c>
      <c r="B6796" t="s">
        <v>54</v>
      </c>
    </row>
    <row r="6797" spans="1:2" x14ac:dyDescent="0.2">
      <c r="A6797">
        <v>6791</v>
      </c>
      <c r="B6797" t="s">
        <v>54</v>
      </c>
    </row>
    <row r="6798" spans="1:2" x14ac:dyDescent="0.2">
      <c r="A6798">
        <v>6792</v>
      </c>
      <c r="B6798" t="s">
        <v>54</v>
      </c>
    </row>
    <row r="6799" spans="1:2" x14ac:dyDescent="0.2">
      <c r="A6799">
        <v>6793</v>
      </c>
      <c r="B6799" t="s">
        <v>54</v>
      </c>
    </row>
    <row r="6800" spans="1:2" x14ac:dyDescent="0.2">
      <c r="A6800">
        <v>6794</v>
      </c>
      <c r="B6800" t="s">
        <v>54</v>
      </c>
    </row>
    <row r="6801" spans="1:2" x14ac:dyDescent="0.2">
      <c r="A6801">
        <v>6795</v>
      </c>
      <c r="B6801" t="s">
        <v>54</v>
      </c>
    </row>
    <row r="6802" spans="1:2" x14ac:dyDescent="0.2">
      <c r="A6802">
        <v>6796</v>
      </c>
      <c r="B6802" t="s">
        <v>54</v>
      </c>
    </row>
    <row r="6803" spans="1:2" x14ac:dyDescent="0.2">
      <c r="A6803">
        <v>6797</v>
      </c>
      <c r="B6803" t="s">
        <v>54</v>
      </c>
    </row>
    <row r="6804" spans="1:2" x14ac:dyDescent="0.2">
      <c r="A6804">
        <v>6798</v>
      </c>
      <c r="B6804" t="s">
        <v>54</v>
      </c>
    </row>
    <row r="6805" spans="1:2" x14ac:dyDescent="0.2">
      <c r="A6805">
        <v>6799</v>
      </c>
      <c r="B6805" t="s">
        <v>54</v>
      </c>
    </row>
    <row r="6806" spans="1:2" x14ac:dyDescent="0.2">
      <c r="A6806">
        <v>6800</v>
      </c>
      <c r="B6806" t="s">
        <v>54</v>
      </c>
    </row>
    <row r="6807" spans="1:2" x14ac:dyDescent="0.2">
      <c r="A6807">
        <v>6801</v>
      </c>
      <c r="B6807" t="s">
        <v>54</v>
      </c>
    </row>
    <row r="6808" spans="1:2" x14ac:dyDescent="0.2">
      <c r="A6808">
        <v>6802</v>
      </c>
      <c r="B6808" t="s">
        <v>54</v>
      </c>
    </row>
    <row r="6809" spans="1:2" x14ac:dyDescent="0.2">
      <c r="A6809">
        <v>6803</v>
      </c>
      <c r="B6809" t="s">
        <v>54</v>
      </c>
    </row>
    <row r="6810" spans="1:2" x14ac:dyDescent="0.2">
      <c r="A6810">
        <v>6804</v>
      </c>
      <c r="B6810" t="s">
        <v>54</v>
      </c>
    </row>
    <row r="6811" spans="1:2" x14ac:dyDescent="0.2">
      <c r="A6811">
        <v>6805</v>
      </c>
      <c r="B6811" t="s">
        <v>54</v>
      </c>
    </row>
    <row r="6812" spans="1:2" x14ac:dyDescent="0.2">
      <c r="A6812">
        <v>6806</v>
      </c>
      <c r="B6812" t="s">
        <v>54</v>
      </c>
    </row>
    <row r="6813" spans="1:2" x14ac:dyDescent="0.2">
      <c r="A6813">
        <v>6807</v>
      </c>
      <c r="B6813" t="s">
        <v>54</v>
      </c>
    </row>
    <row r="6814" spans="1:2" x14ac:dyDescent="0.2">
      <c r="A6814">
        <v>6808</v>
      </c>
      <c r="B6814" t="s">
        <v>54</v>
      </c>
    </row>
    <row r="6815" spans="1:2" x14ac:dyDescent="0.2">
      <c r="A6815">
        <v>6809</v>
      </c>
      <c r="B6815" t="s">
        <v>54</v>
      </c>
    </row>
    <row r="6816" spans="1:2" x14ac:dyDescent="0.2">
      <c r="A6816">
        <v>6810</v>
      </c>
      <c r="B6816" t="s">
        <v>54</v>
      </c>
    </row>
    <row r="6817" spans="1:2" x14ac:dyDescent="0.2">
      <c r="A6817">
        <v>6811</v>
      </c>
      <c r="B6817" t="s">
        <v>54</v>
      </c>
    </row>
    <row r="6818" spans="1:2" x14ac:dyDescent="0.2">
      <c r="A6818">
        <v>6812</v>
      </c>
      <c r="B6818" t="s">
        <v>54</v>
      </c>
    </row>
    <row r="6819" spans="1:2" x14ac:dyDescent="0.2">
      <c r="A6819">
        <v>6813</v>
      </c>
      <c r="B6819" t="s">
        <v>54</v>
      </c>
    </row>
    <row r="6820" spans="1:2" x14ac:dyDescent="0.2">
      <c r="A6820">
        <v>6814</v>
      </c>
      <c r="B6820" t="s">
        <v>54</v>
      </c>
    </row>
    <row r="6821" spans="1:2" x14ac:dyDescent="0.2">
      <c r="A6821">
        <v>6815</v>
      </c>
      <c r="B6821" t="s">
        <v>54</v>
      </c>
    </row>
    <row r="6822" spans="1:2" x14ac:dyDescent="0.2">
      <c r="A6822">
        <v>6816</v>
      </c>
      <c r="B6822" t="s">
        <v>54</v>
      </c>
    </row>
    <row r="6823" spans="1:2" x14ac:dyDescent="0.2">
      <c r="A6823">
        <v>6817</v>
      </c>
      <c r="B6823" t="s">
        <v>54</v>
      </c>
    </row>
    <row r="6824" spans="1:2" x14ac:dyDescent="0.2">
      <c r="A6824">
        <v>6818</v>
      </c>
      <c r="B6824" t="s">
        <v>54</v>
      </c>
    </row>
    <row r="6825" spans="1:2" x14ac:dyDescent="0.2">
      <c r="A6825">
        <v>6819</v>
      </c>
      <c r="B6825" t="s">
        <v>54</v>
      </c>
    </row>
    <row r="6826" spans="1:2" x14ac:dyDescent="0.2">
      <c r="A6826">
        <v>6820</v>
      </c>
      <c r="B6826" t="s">
        <v>54</v>
      </c>
    </row>
    <row r="6827" spans="1:2" x14ac:dyDescent="0.2">
      <c r="A6827">
        <v>6821</v>
      </c>
      <c r="B6827" t="s">
        <v>54</v>
      </c>
    </row>
    <row r="6828" spans="1:2" x14ac:dyDescent="0.2">
      <c r="A6828">
        <v>6822</v>
      </c>
      <c r="B6828" t="s">
        <v>54</v>
      </c>
    </row>
    <row r="6829" spans="1:2" x14ac:dyDescent="0.2">
      <c r="A6829">
        <v>6823</v>
      </c>
      <c r="B6829" t="s">
        <v>54</v>
      </c>
    </row>
    <row r="6830" spans="1:2" x14ac:dyDescent="0.2">
      <c r="A6830">
        <v>6824</v>
      </c>
      <c r="B6830" t="s">
        <v>54</v>
      </c>
    </row>
    <row r="6831" spans="1:2" x14ac:dyDescent="0.2">
      <c r="A6831">
        <v>6825</v>
      </c>
      <c r="B6831" t="s">
        <v>54</v>
      </c>
    </row>
    <row r="6832" spans="1:2" x14ac:dyDescent="0.2">
      <c r="A6832">
        <v>6826</v>
      </c>
      <c r="B6832" t="s">
        <v>54</v>
      </c>
    </row>
    <row r="6833" spans="1:2" x14ac:dyDescent="0.2">
      <c r="A6833">
        <v>6827</v>
      </c>
      <c r="B6833" t="s">
        <v>54</v>
      </c>
    </row>
    <row r="6834" spans="1:2" x14ac:dyDescent="0.2">
      <c r="A6834">
        <v>6828</v>
      </c>
      <c r="B6834" t="s">
        <v>54</v>
      </c>
    </row>
    <row r="6835" spans="1:2" x14ac:dyDescent="0.2">
      <c r="A6835">
        <v>6829</v>
      </c>
      <c r="B6835" t="s">
        <v>54</v>
      </c>
    </row>
    <row r="6836" spans="1:2" x14ac:dyDescent="0.2">
      <c r="A6836">
        <v>6830</v>
      </c>
      <c r="B6836" t="s">
        <v>54</v>
      </c>
    </row>
    <row r="6837" spans="1:2" x14ac:dyDescent="0.2">
      <c r="A6837">
        <v>6831</v>
      </c>
      <c r="B6837" t="s">
        <v>54</v>
      </c>
    </row>
    <row r="6838" spans="1:2" x14ac:dyDescent="0.2">
      <c r="A6838">
        <v>6832</v>
      </c>
      <c r="B6838" t="s">
        <v>54</v>
      </c>
    </row>
    <row r="6839" spans="1:2" x14ac:dyDescent="0.2">
      <c r="A6839">
        <v>6833</v>
      </c>
      <c r="B6839" t="s">
        <v>54</v>
      </c>
    </row>
    <row r="6840" spans="1:2" x14ac:dyDescent="0.2">
      <c r="A6840">
        <v>6834</v>
      </c>
      <c r="B6840" t="s">
        <v>54</v>
      </c>
    </row>
    <row r="6841" spans="1:2" x14ac:dyDescent="0.2">
      <c r="A6841">
        <v>6835</v>
      </c>
      <c r="B6841" t="s">
        <v>54</v>
      </c>
    </row>
    <row r="6842" spans="1:2" x14ac:dyDescent="0.2">
      <c r="A6842">
        <v>6836</v>
      </c>
      <c r="B6842" t="s">
        <v>54</v>
      </c>
    </row>
    <row r="6843" spans="1:2" x14ac:dyDescent="0.2">
      <c r="A6843">
        <v>6837</v>
      </c>
      <c r="B6843" t="s">
        <v>54</v>
      </c>
    </row>
    <row r="6844" spans="1:2" x14ac:dyDescent="0.2">
      <c r="A6844">
        <v>6838</v>
      </c>
      <c r="B6844" t="s">
        <v>54</v>
      </c>
    </row>
    <row r="6845" spans="1:2" x14ac:dyDescent="0.2">
      <c r="A6845">
        <v>6839</v>
      </c>
      <c r="B6845" t="s">
        <v>54</v>
      </c>
    </row>
    <row r="6846" spans="1:2" x14ac:dyDescent="0.2">
      <c r="A6846">
        <v>6840</v>
      </c>
      <c r="B6846" t="s">
        <v>54</v>
      </c>
    </row>
    <row r="6847" spans="1:2" x14ac:dyDescent="0.2">
      <c r="A6847">
        <v>6841</v>
      </c>
      <c r="B6847" t="s">
        <v>54</v>
      </c>
    </row>
    <row r="6848" spans="1:2" x14ac:dyDescent="0.2">
      <c r="A6848">
        <v>6842</v>
      </c>
      <c r="B6848" t="s">
        <v>54</v>
      </c>
    </row>
    <row r="6849" spans="1:2" x14ac:dyDescent="0.2">
      <c r="A6849">
        <v>6843</v>
      </c>
      <c r="B6849" t="s">
        <v>54</v>
      </c>
    </row>
    <row r="6850" spans="1:2" x14ac:dyDescent="0.2">
      <c r="A6850">
        <v>6844</v>
      </c>
      <c r="B6850" t="s">
        <v>54</v>
      </c>
    </row>
    <row r="6851" spans="1:2" x14ac:dyDescent="0.2">
      <c r="A6851">
        <v>6845</v>
      </c>
      <c r="B6851" t="s">
        <v>54</v>
      </c>
    </row>
    <row r="6852" spans="1:2" x14ac:dyDescent="0.2">
      <c r="A6852">
        <v>6846</v>
      </c>
      <c r="B6852" t="s">
        <v>54</v>
      </c>
    </row>
    <row r="6853" spans="1:2" x14ac:dyDescent="0.2">
      <c r="A6853">
        <v>6847</v>
      </c>
      <c r="B6853" t="s">
        <v>54</v>
      </c>
    </row>
    <row r="6854" spans="1:2" x14ac:dyDescent="0.2">
      <c r="A6854">
        <v>6848</v>
      </c>
      <c r="B6854" t="s">
        <v>54</v>
      </c>
    </row>
    <row r="6855" spans="1:2" x14ac:dyDescent="0.2">
      <c r="A6855">
        <v>6849</v>
      </c>
      <c r="B6855" t="s">
        <v>54</v>
      </c>
    </row>
    <row r="6856" spans="1:2" x14ac:dyDescent="0.2">
      <c r="A6856">
        <v>6850</v>
      </c>
      <c r="B6856" t="s">
        <v>54</v>
      </c>
    </row>
    <row r="6857" spans="1:2" x14ac:dyDescent="0.2">
      <c r="A6857">
        <v>6851</v>
      </c>
      <c r="B6857" t="s">
        <v>54</v>
      </c>
    </row>
    <row r="6858" spans="1:2" x14ac:dyDescent="0.2">
      <c r="A6858">
        <v>6852</v>
      </c>
      <c r="B6858" t="s">
        <v>54</v>
      </c>
    </row>
    <row r="6859" spans="1:2" x14ac:dyDescent="0.2">
      <c r="A6859">
        <v>6853</v>
      </c>
      <c r="B6859" t="s">
        <v>54</v>
      </c>
    </row>
    <row r="6860" spans="1:2" x14ac:dyDescent="0.2">
      <c r="A6860">
        <v>6854</v>
      </c>
      <c r="B6860" t="s">
        <v>54</v>
      </c>
    </row>
    <row r="6861" spans="1:2" x14ac:dyDescent="0.2">
      <c r="A6861">
        <v>6855</v>
      </c>
      <c r="B6861" t="s">
        <v>54</v>
      </c>
    </row>
    <row r="6862" spans="1:2" x14ac:dyDescent="0.2">
      <c r="A6862">
        <v>6856</v>
      </c>
      <c r="B6862" t="s">
        <v>54</v>
      </c>
    </row>
    <row r="6863" spans="1:2" x14ac:dyDescent="0.2">
      <c r="A6863">
        <v>6857</v>
      </c>
      <c r="B6863" t="s">
        <v>54</v>
      </c>
    </row>
    <row r="6864" spans="1:2" x14ac:dyDescent="0.2">
      <c r="A6864">
        <v>6858</v>
      </c>
      <c r="B6864" t="s">
        <v>54</v>
      </c>
    </row>
    <row r="6865" spans="1:2" x14ac:dyDescent="0.2">
      <c r="A6865">
        <v>6859</v>
      </c>
      <c r="B6865" t="s">
        <v>54</v>
      </c>
    </row>
    <row r="6866" spans="1:2" x14ac:dyDescent="0.2">
      <c r="A6866">
        <v>6860</v>
      </c>
      <c r="B6866" t="s">
        <v>54</v>
      </c>
    </row>
    <row r="6867" spans="1:2" x14ac:dyDescent="0.2">
      <c r="A6867">
        <v>6861</v>
      </c>
      <c r="B6867" t="s">
        <v>54</v>
      </c>
    </row>
    <row r="6868" spans="1:2" x14ac:dyDescent="0.2">
      <c r="A6868">
        <v>6862</v>
      </c>
      <c r="B6868" t="s">
        <v>54</v>
      </c>
    </row>
    <row r="6869" spans="1:2" x14ac:dyDescent="0.2">
      <c r="A6869">
        <v>6863</v>
      </c>
      <c r="B6869" t="s">
        <v>54</v>
      </c>
    </row>
    <row r="6870" spans="1:2" x14ac:dyDescent="0.2">
      <c r="A6870">
        <v>6864</v>
      </c>
      <c r="B6870" t="s">
        <v>54</v>
      </c>
    </row>
    <row r="6871" spans="1:2" x14ac:dyDescent="0.2">
      <c r="A6871">
        <v>6865</v>
      </c>
      <c r="B6871" t="s">
        <v>54</v>
      </c>
    </row>
    <row r="6872" spans="1:2" x14ac:dyDescent="0.2">
      <c r="A6872">
        <v>6866</v>
      </c>
      <c r="B6872" t="s">
        <v>54</v>
      </c>
    </row>
    <row r="6873" spans="1:2" x14ac:dyDescent="0.2">
      <c r="A6873">
        <v>6867</v>
      </c>
      <c r="B6873" t="s">
        <v>54</v>
      </c>
    </row>
    <row r="6874" spans="1:2" x14ac:dyDescent="0.2">
      <c r="A6874">
        <v>6868</v>
      </c>
      <c r="B6874" t="s">
        <v>54</v>
      </c>
    </row>
    <row r="6875" spans="1:2" x14ac:dyDescent="0.2">
      <c r="A6875">
        <v>6869</v>
      </c>
      <c r="B6875" t="s">
        <v>54</v>
      </c>
    </row>
    <row r="6876" spans="1:2" x14ac:dyDescent="0.2">
      <c r="A6876">
        <v>6870</v>
      </c>
      <c r="B6876" t="s">
        <v>54</v>
      </c>
    </row>
    <row r="6877" spans="1:2" x14ac:dyDescent="0.2">
      <c r="A6877">
        <v>6871</v>
      </c>
      <c r="B6877" t="s">
        <v>54</v>
      </c>
    </row>
    <row r="6878" spans="1:2" x14ac:dyDescent="0.2">
      <c r="A6878">
        <v>6872</v>
      </c>
      <c r="B6878" t="s">
        <v>54</v>
      </c>
    </row>
    <row r="6879" spans="1:2" x14ac:dyDescent="0.2">
      <c r="A6879">
        <v>6873</v>
      </c>
      <c r="B6879" t="s">
        <v>54</v>
      </c>
    </row>
    <row r="6880" spans="1:2" x14ac:dyDescent="0.2">
      <c r="A6880">
        <v>6874</v>
      </c>
      <c r="B6880" t="s">
        <v>54</v>
      </c>
    </row>
    <row r="6881" spans="1:2" x14ac:dyDescent="0.2">
      <c r="A6881">
        <v>6875</v>
      </c>
      <c r="B6881" t="s">
        <v>54</v>
      </c>
    </row>
    <row r="6882" spans="1:2" x14ac:dyDescent="0.2">
      <c r="A6882">
        <v>6876</v>
      </c>
      <c r="B6882" t="s">
        <v>54</v>
      </c>
    </row>
    <row r="6883" spans="1:2" x14ac:dyDescent="0.2">
      <c r="A6883">
        <v>6877</v>
      </c>
      <c r="B6883" t="s">
        <v>54</v>
      </c>
    </row>
    <row r="6884" spans="1:2" x14ac:dyDescent="0.2">
      <c r="A6884">
        <v>6878</v>
      </c>
      <c r="B6884" t="s">
        <v>54</v>
      </c>
    </row>
    <row r="6885" spans="1:2" x14ac:dyDescent="0.2">
      <c r="A6885">
        <v>6879</v>
      </c>
      <c r="B6885" t="s">
        <v>54</v>
      </c>
    </row>
    <row r="6886" spans="1:2" x14ac:dyDescent="0.2">
      <c r="A6886">
        <v>6880</v>
      </c>
      <c r="B6886" t="s">
        <v>54</v>
      </c>
    </row>
    <row r="6887" spans="1:2" x14ac:dyDescent="0.2">
      <c r="A6887">
        <v>6881</v>
      </c>
      <c r="B6887" t="s">
        <v>54</v>
      </c>
    </row>
    <row r="6888" spans="1:2" x14ac:dyDescent="0.2">
      <c r="A6888">
        <v>6882</v>
      </c>
      <c r="B6888" t="s">
        <v>54</v>
      </c>
    </row>
    <row r="6889" spans="1:2" x14ac:dyDescent="0.2">
      <c r="A6889">
        <v>6883</v>
      </c>
      <c r="B6889" t="s">
        <v>54</v>
      </c>
    </row>
    <row r="6890" spans="1:2" x14ac:dyDescent="0.2">
      <c r="A6890">
        <v>6884</v>
      </c>
      <c r="B6890" t="s">
        <v>54</v>
      </c>
    </row>
    <row r="6891" spans="1:2" x14ac:dyDescent="0.2">
      <c r="A6891">
        <v>6885</v>
      </c>
      <c r="B6891" t="s">
        <v>54</v>
      </c>
    </row>
    <row r="6892" spans="1:2" x14ac:dyDescent="0.2">
      <c r="A6892">
        <v>6886</v>
      </c>
      <c r="B6892" t="s">
        <v>54</v>
      </c>
    </row>
    <row r="6893" spans="1:2" x14ac:dyDescent="0.2">
      <c r="A6893">
        <v>6887</v>
      </c>
      <c r="B6893" t="s">
        <v>54</v>
      </c>
    </row>
    <row r="6894" spans="1:2" x14ac:dyDescent="0.2">
      <c r="A6894">
        <v>6888</v>
      </c>
      <c r="B6894" t="s">
        <v>54</v>
      </c>
    </row>
    <row r="6895" spans="1:2" x14ac:dyDescent="0.2">
      <c r="A6895">
        <v>6889</v>
      </c>
      <c r="B6895" t="s">
        <v>54</v>
      </c>
    </row>
    <row r="6896" spans="1:2" x14ac:dyDescent="0.2">
      <c r="A6896">
        <v>6890</v>
      </c>
      <c r="B6896" t="s">
        <v>54</v>
      </c>
    </row>
    <row r="6897" spans="1:2" x14ac:dyDescent="0.2">
      <c r="A6897">
        <v>6891</v>
      </c>
      <c r="B6897" t="s">
        <v>54</v>
      </c>
    </row>
    <row r="6898" spans="1:2" x14ac:dyDescent="0.2">
      <c r="A6898">
        <v>6892</v>
      </c>
      <c r="B6898" t="s">
        <v>54</v>
      </c>
    </row>
    <row r="6899" spans="1:2" x14ac:dyDescent="0.2">
      <c r="A6899">
        <v>6893</v>
      </c>
      <c r="B6899" t="s">
        <v>54</v>
      </c>
    </row>
    <row r="6900" spans="1:2" x14ac:dyDescent="0.2">
      <c r="A6900">
        <v>6894</v>
      </c>
      <c r="B6900" t="s">
        <v>54</v>
      </c>
    </row>
    <row r="6901" spans="1:2" x14ac:dyDescent="0.2">
      <c r="A6901">
        <v>6895</v>
      </c>
      <c r="B6901" t="s">
        <v>54</v>
      </c>
    </row>
    <row r="6902" spans="1:2" x14ac:dyDescent="0.2">
      <c r="A6902">
        <v>6896</v>
      </c>
      <c r="B6902" t="s">
        <v>54</v>
      </c>
    </row>
    <row r="6903" spans="1:2" x14ac:dyDescent="0.2">
      <c r="A6903">
        <v>6897</v>
      </c>
      <c r="B6903" t="s">
        <v>54</v>
      </c>
    </row>
    <row r="6904" spans="1:2" x14ac:dyDescent="0.2">
      <c r="A6904">
        <v>6898</v>
      </c>
      <c r="B6904" t="s">
        <v>54</v>
      </c>
    </row>
    <row r="6905" spans="1:2" x14ac:dyDescent="0.2">
      <c r="A6905">
        <v>6899</v>
      </c>
      <c r="B6905" t="s">
        <v>54</v>
      </c>
    </row>
    <row r="6906" spans="1:2" x14ac:dyDescent="0.2">
      <c r="A6906">
        <v>6900</v>
      </c>
      <c r="B6906" t="s">
        <v>54</v>
      </c>
    </row>
    <row r="6907" spans="1:2" x14ac:dyDescent="0.2">
      <c r="A6907">
        <v>6901</v>
      </c>
      <c r="B6907" t="s">
        <v>54</v>
      </c>
    </row>
    <row r="6908" spans="1:2" x14ac:dyDescent="0.2">
      <c r="A6908">
        <v>6902</v>
      </c>
      <c r="B6908" t="s">
        <v>54</v>
      </c>
    </row>
    <row r="6909" spans="1:2" x14ac:dyDescent="0.2">
      <c r="A6909">
        <v>6903</v>
      </c>
      <c r="B6909" t="s">
        <v>54</v>
      </c>
    </row>
    <row r="6910" spans="1:2" x14ac:dyDescent="0.2">
      <c r="A6910">
        <v>6904</v>
      </c>
      <c r="B6910" t="s">
        <v>54</v>
      </c>
    </row>
    <row r="6911" spans="1:2" x14ac:dyDescent="0.2">
      <c r="A6911">
        <v>6905</v>
      </c>
      <c r="B6911" t="s">
        <v>54</v>
      </c>
    </row>
    <row r="6912" spans="1:2" x14ac:dyDescent="0.2">
      <c r="A6912">
        <v>6906</v>
      </c>
      <c r="B6912" t="s">
        <v>54</v>
      </c>
    </row>
    <row r="6913" spans="1:2" x14ac:dyDescent="0.2">
      <c r="A6913">
        <v>6907</v>
      </c>
      <c r="B6913" t="s">
        <v>54</v>
      </c>
    </row>
    <row r="6914" spans="1:2" x14ac:dyDescent="0.2">
      <c r="A6914">
        <v>6908</v>
      </c>
      <c r="B6914" t="s">
        <v>54</v>
      </c>
    </row>
    <row r="6915" spans="1:2" x14ac:dyDescent="0.2">
      <c r="A6915">
        <v>6909</v>
      </c>
      <c r="B6915" t="s">
        <v>54</v>
      </c>
    </row>
    <row r="6916" spans="1:2" x14ac:dyDescent="0.2">
      <c r="A6916">
        <v>6910</v>
      </c>
      <c r="B6916" t="s">
        <v>54</v>
      </c>
    </row>
    <row r="6917" spans="1:2" x14ac:dyDescent="0.2">
      <c r="A6917">
        <v>6911</v>
      </c>
      <c r="B6917" t="s">
        <v>54</v>
      </c>
    </row>
    <row r="6918" spans="1:2" x14ac:dyDescent="0.2">
      <c r="A6918">
        <v>6912</v>
      </c>
      <c r="B6918" t="s">
        <v>54</v>
      </c>
    </row>
    <row r="6919" spans="1:2" x14ac:dyDescent="0.2">
      <c r="A6919">
        <v>6913</v>
      </c>
      <c r="B6919" t="s">
        <v>54</v>
      </c>
    </row>
    <row r="6920" spans="1:2" x14ac:dyDescent="0.2">
      <c r="A6920">
        <v>6914</v>
      </c>
      <c r="B6920" t="s">
        <v>54</v>
      </c>
    </row>
    <row r="6921" spans="1:2" x14ac:dyDescent="0.2">
      <c r="A6921">
        <v>6915</v>
      </c>
      <c r="B6921" t="s">
        <v>54</v>
      </c>
    </row>
    <row r="6922" spans="1:2" x14ac:dyDescent="0.2">
      <c r="A6922">
        <v>6916</v>
      </c>
      <c r="B6922" t="s">
        <v>54</v>
      </c>
    </row>
    <row r="6923" spans="1:2" x14ac:dyDescent="0.2">
      <c r="A6923">
        <v>6917</v>
      </c>
      <c r="B6923" t="s">
        <v>54</v>
      </c>
    </row>
    <row r="6924" spans="1:2" x14ac:dyDescent="0.2">
      <c r="A6924">
        <v>6918</v>
      </c>
      <c r="B6924" t="s">
        <v>54</v>
      </c>
    </row>
    <row r="6925" spans="1:2" x14ac:dyDescent="0.2">
      <c r="A6925">
        <v>6919</v>
      </c>
      <c r="B6925" t="s">
        <v>54</v>
      </c>
    </row>
    <row r="6926" spans="1:2" x14ac:dyDescent="0.2">
      <c r="A6926">
        <v>6920</v>
      </c>
      <c r="B6926" t="s">
        <v>54</v>
      </c>
    </row>
    <row r="6927" spans="1:2" x14ac:dyDescent="0.2">
      <c r="A6927">
        <v>6921</v>
      </c>
      <c r="B6927" t="s">
        <v>54</v>
      </c>
    </row>
    <row r="6928" spans="1:2" x14ac:dyDescent="0.2">
      <c r="A6928">
        <v>6922</v>
      </c>
      <c r="B6928" t="s">
        <v>54</v>
      </c>
    </row>
    <row r="6929" spans="1:2" x14ac:dyDescent="0.2">
      <c r="A6929">
        <v>6923</v>
      </c>
      <c r="B6929" t="s">
        <v>54</v>
      </c>
    </row>
    <row r="6930" spans="1:2" x14ac:dyDescent="0.2">
      <c r="A6930">
        <v>6924</v>
      </c>
      <c r="B6930" t="s">
        <v>54</v>
      </c>
    </row>
    <row r="6931" spans="1:2" x14ac:dyDescent="0.2">
      <c r="A6931">
        <v>6925</v>
      </c>
      <c r="B6931" t="s">
        <v>54</v>
      </c>
    </row>
    <row r="6932" spans="1:2" x14ac:dyDescent="0.2">
      <c r="A6932">
        <v>6926</v>
      </c>
      <c r="B6932" t="s">
        <v>54</v>
      </c>
    </row>
    <row r="6933" spans="1:2" x14ac:dyDescent="0.2">
      <c r="A6933">
        <v>6927</v>
      </c>
      <c r="B6933" t="s">
        <v>54</v>
      </c>
    </row>
    <row r="6934" spans="1:2" x14ac:dyDescent="0.2">
      <c r="A6934">
        <v>6928</v>
      </c>
      <c r="B6934" t="s">
        <v>54</v>
      </c>
    </row>
    <row r="6935" spans="1:2" x14ac:dyDescent="0.2">
      <c r="A6935">
        <v>6929</v>
      </c>
      <c r="B6935" t="s">
        <v>54</v>
      </c>
    </row>
    <row r="6936" spans="1:2" x14ac:dyDescent="0.2">
      <c r="A6936">
        <v>6930</v>
      </c>
      <c r="B6936" t="s">
        <v>54</v>
      </c>
    </row>
    <row r="6937" spans="1:2" x14ac:dyDescent="0.2">
      <c r="A6937">
        <v>6931</v>
      </c>
      <c r="B6937" t="s">
        <v>54</v>
      </c>
    </row>
    <row r="6938" spans="1:2" x14ac:dyDescent="0.2">
      <c r="A6938">
        <v>6932</v>
      </c>
      <c r="B6938" t="s">
        <v>54</v>
      </c>
    </row>
    <row r="6939" spans="1:2" x14ac:dyDescent="0.2">
      <c r="A6939">
        <v>6933</v>
      </c>
      <c r="B6939" t="s">
        <v>54</v>
      </c>
    </row>
    <row r="6940" spans="1:2" x14ac:dyDescent="0.2">
      <c r="A6940">
        <v>6934</v>
      </c>
      <c r="B6940" t="s">
        <v>54</v>
      </c>
    </row>
    <row r="6941" spans="1:2" x14ac:dyDescent="0.2">
      <c r="A6941">
        <v>6935</v>
      </c>
      <c r="B6941" t="s">
        <v>54</v>
      </c>
    </row>
    <row r="6942" spans="1:2" x14ac:dyDescent="0.2">
      <c r="A6942">
        <v>6936</v>
      </c>
      <c r="B6942" t="s">
        <v>54</v>
      </c>
    </row>
    <row r="6943" spans="1:2" x14ac:dyDescent="0.2">
      <c r="A6943">
        <v>6937</v>
      </c>
      <c r="B6943" t="s">
        <v>54</v>
      </c>
    </row>
    <row r="6944" spans="1:2" x14ac:dyDescent="0.2">
      <c r="A6944">
        <v>6938</v>
      </c>
      <c r="B6944" t="s">
        <v>54</v>
      </c>
    </row>
    <row r="6945" spans="1:2" x14ac:dyDescent="0.2">
      <c r="A6945">
        <v>6939</v>
      </c>
      <c r="B6945" t="s">
        <v>54</v>
      </c>
    </row>
    <row r="6946" spans="1:2" x14ac:dyDescent="0.2">
      <c r="A6946">
        <v>6940</v>
      </c>
      <c r="B6946" t="s">
        <v>54</v>
      </c>
    </row>
    <row r="6947" spans="1:2" x14ac:dyDescent="0.2">
      <c r="A6947">
        <v>6941</v>
      </c>
      <c r="B6947" t="s">
        <v>54</v>
      </c>
    </row>
    <row r="6948" spans="1:2" x14ac:dyDescent="0.2">
      <c r="A6948">
        <v>6942</v>
      </c>
      <c r="B6948" t="s">
        <v>54</v>
      </c>
    </row>
    <row r="6949" spans="1:2" x14ac:dyDescent="0.2">
      <c r="A6949">
        <v>6943</v>
      </c>
      <c r="B6949" t="s">
        <v>54</v>
      </c>
    </row>
    <row r="6950" spans="1:2" x14ac:dyDescent="0.2">
      <c r="A6950">
        <v>6944</v>
      </c>
      <c r="B6950" t="s">
        <v>54</v>
      </c>
    </row>
    <row r="6951" spans="1:2" x14ac:dyDescent="0.2">
      <c r="A6951">
        <v>6945</v>
      </c>
      <c r="B6951" t="s">
        <v>54</v>
      </c>
    </row>
    <row r="6952" spans="1:2" x14ac:dyDescent="0.2">
      <c r="A6952">
        <v>6946</v>
      </c>
      <c r="B6952" t="s">
        <v>54</v>
      </c>
    </row>
    <row r="6953" spans="1:2" x14ac:dyDescent="0.2">
      <c r="A6953">
        <v>6947</v>
      </c>
      <c r="B6953" t="s">
        <v>54</v>
      </c>
    </row>
    <row r="6954" spans="1:2" x14ac:dyDescent="0.2">
      <c r="A6954">
        <v>6948</v>
      </c>
      <c r="B6954" t="s">
        <v>54</v>
      </c>
    </row>
    <row r="6955" spans="1:2" x14ac:dyDescent="0.2">
      <c r="A6955">
        <v>6949</v>
      </c>
      <c r="B6955" t="s">
        <v>54</v>
      </c>
    </row>
    <row r="6956" spans="1:2" x14ac:dyDescent="0.2">
      <c r="A6956">
        <v>6950</v>
      </c>
      <c r="B6956" t="s">
        <v>54</v>
      </c>
    </row>
    <row r="6957" spans="1:2" x14ac:dyDescent="0.2">
      <c r="A6957">
        <v>6951</v>
      </c>
      <c r="B6957" t="s">
        <v>54</v>
      </c>
    </row>
    <row r="6958" spans="1:2" x14ac:dyDescent="0.2">
      <c r="A6958">
        <v>6952</v>
      </c>
      <c r="B6958" t="s">
        <v>54</v>
      </c>
    </row>
    <row r="6959" spans="1:2" x14ac:dyDescent="0.2">
      <c r="A6959">
        <v>6953</v>
      </c>
      <c r="B6959" t="s">
        <v>54</v>
      </c>
    </row>
    <row r="6960" spans="1:2" x14ac:dyDescent="0.2">
      <c r="A6960">
        <v>6954</v>
      </c>
      <c r="B6960" t="s">
        <v>54</v>
      </c>
    </row>
    <row r="6961" spans="1:2" x14ac:dyDescent="0.2">
      <c r="A6961">
        <v>6955</v>
      </c>
      <c r="B6961" t="s">
        <v>54</v>
      </c>
    </row>
    <row r="6962" spans="1:2" x14ac:dyDescent="0.2">
      <c r="A6962">
        <v>6956</v>
      </c>
      <c r="B6962" t="s">
        <v>54</v>
      </c>
    </row>
    <row r="6963" spans="1:2" x14ac:dyDescent="0.2">
      <c r="A6963">
        <v>6957</v>
      </c>
      <c r="B6963" t="s">
        <v>54</v>
      </c>
    </row>
    <row r="6964" spans="1:2" x14ac:dyDescent="0.2">
      <c r="A6964">
        <v>6958</v>
      </c>
      <c r="B6964" t="s">
        <v>54</v>
      </c>
    </row>
    <row r="6965" spans="1:2" x14ac:dyDescent="0.2">
      <c r="A6965">
        <v>6959</v>
      </c>
      <c r="B6965" t="s">
        <v>54</v>
      </c>
    </row>
    <row r="6966" spans="1:2" x14ac:dyDescent="0.2">
      <c r="A6966">
        <v>6960</v>
      </c>
      <c r="B6966" t="s">
        <v>54</v>
      </c>
    </row>
    <row r="6967" spans="1:2" x14ac:dyDescent="0.2">
      <c r="A6967">
        <v>6961</v>
      </c>
      <c r="B6967" t="s">
        <v>54</v>
      </c>
    </row>
    <row r="6968" spans="1:2" x14ac:dyDescent="0.2">
      <c r="A6968">
        <v>6962</v>
      </c>
      <c r="B6968" t="s">
        <v>54</v>
      </c>
    </row>
    <row r="6969" spans="1:2" x14ac:dyDescent="0.2">
      <c r="A6969">
        <v>6963</v>
      </c>
      <c r="B6969" t="s">
        <v>54</v>
      </c>
    </row>
    <row r="6970" spans="1:2" x14ac:dyDescent="0.2">
      <c r="A6970">
        <v>6964</v>
      </c>
      <c r="B6970" t="s">
        <v>54</v>
      </c>
    </row>
    <row r="6971" spans="1:2" x14ac:dyDescent="0.2">
      <c r="A6971">
        <v>6965</v>
      </c>
      <c r="B6971" t="s">
        <v>54</v>
      </c>
    </row>
    <row r="6972" spans="1:2" x14ac:dyDescent="0.2">
      <c r="A6972">
        <v>6966</v>
      </c>
      <c r="B6972" t="s">
        <v>54</v>
      </c>
    </row>
    <row r="6973" spans="1:2" x14ac:dyDescent="0.2">
      <c r="A6973">
        <v>6967</v>
      </c>
      <c r="B6973" t="s">
        <v>54</v>
      </c>
    </row>
    <row r="6974" spans="1:2" x14ac:dyDescent="0.2">
      <c r="A6974">
        <v>6968</v>
      </c>
      <c r="B6974" t="s">
        <v>54</v>
      </c>
    </row>
    <row r="6975" spans="1:2" x14ac:dyDescent="0.2">
      <c r="A6975">
        <v>6969</v>
      </c>
      <c r="B6975" t="s">
        <v>54</v>
      </c>
    </row>
    <row r="6976" spans="1:2" x14ac:dyDescent="0.2">
      <c r="A6976">
        <v>6970</v>
      </c>
      <c r="B6976" t="s">
        <v>54</v>
      </c>
    </row>
    <row r="6977" spans="1:2" x14ac:dyDescent="0.2">
      <c r="A6977">
        <v>6971</v>
      </c>
      <c r="B6977" t="s">
        <v>54</v>
      </c>
    </row>
    <row r="6978" spans="1:2" x14ac:dyDescent="0.2">
      <c r="A6978">
        <v>6972</v>
      </c>
      <c r="B6978" t="s">
        <v>54</v>
      </c>
    </row>
    <row r="6979" spans="1:2" x14ac:dyDescent="0.2">
      <c r="A6979">
        <v>6973</v>
      </c>
      <c r="B6979" t="s">
        <v>54</v>
      </c>
    </row>
    <row r="6980" spans="1:2" x14ac:dyDescent="0.2">
      <c r="A6980">
        <v>6974</v>
      </c>
      <c r="B6980" t="s">
        <v>54</v>
      </c>
    </row>
    <row r="6981" spans="1:2" x14ac:dyDescent="0.2">
      <c r="A6981">
        <v>6975</v>
      </c>
      <c r="B6981" t="s">
        <v>54</v>
      </c>
    </row>
    <row r="6982" spans="1:2" x14ac:dyDescent="0.2">
      <c r="A6982">
        <v>6976</v>
      </c>
      <c r="B6982" t="s">
        <v>54</v>
      </c>
    </row>
    <row r="6983" spans="1:2" x14ac:dyDescent="0.2">
      <c r="A6983">
        <v>6977</v>
      </c>
      <c r="B6983" t="s">
        <v>54</v>
      </c>
    </row>
    <row r="6984" spans="1:2" x14ac:dyDescent="0.2">
      <c r="A6984">
        <v>6978</v>
      </c>
      <c r="B6984" t="s">
        <v>54</v>
      </c>
    </row>
    <row r="6985" spans="1:2" x14ac:dyDescent="0.2">
      <c r="A6985">
        <v>6979</v>
      </c>
      <c r="B6985" t="s">
        <v>54</v>
      </c>
    </row>
    <row r="6986" spans="1:2" x14ac:dyDescent="0.2">
      <c r="A6986">
        <v>6980</v>
      </c>
      <c r="B6986" t="s">
        <v>54</v>
      </c>
    </row>
    <row r="6987" spans="1:2" x14ac:dyDescent="0.2">
      <c r="A6987">
        <v>6981</v>
      </c>
      <c r="B6987" t="s">
        <v>54</v>
      </c>
    </row>
    <row r="6988" spans="1:2" x14ac:dyDescent="0.2">
      <c r="A6988">
        <v>6982</v>
      </c>
      <c r="B6988" t="s">
        <v>54</v>
      </c>
    </row>
    <row r="6989" spans="1:2" x14ac:dyDescent="0.2">
      <c r="A6989">
        <v>6983</v>
      </c>
      <c r="B6989" t="s">
        <v>54</v>
      </c>
    </row>
    <row r="6990" spans="1:2" x14ac:dyDescent="0.2">
      <c r="A6990">
        <v>6984</v>
      </c>
      <c r="B6990" t="s">
        <v>54</v>
      </c>
    </row>
    <row r="6991" spans="1:2" x14ac:dyDescent="0.2">
      <c r="A6991">
        <v>6985</v>
      </c>
      <c r="B6991" t="s">
        <v>54</v>
      </c>
    </row>
    <row r="6992" spans="1:2" x14ac:dyDescent="0.2">
      <c r="A6992">
        <v>6986</v>
      </c>
      <c r="B6992" t="s">
        <v>54</v>
      </c>
    </row>
    <row r="6993" spans="1:2" x14ac:dyDescent="0.2">
      <c r="A6993">
        <v>6987</v>
      </c>
      <c r="B6993" t="s">
        <v>54</v>
      </c>
    </row>
    <row r="6994" spans="1:2" x14ac:dyDescent="0.2">
      <c r="A6994">
        <v>6988</v>
      </c>
      <c r="B6994" t="s">
        <v>54</v>
      </c>
    </row>
    <row r="6995" spans="1:2" x14ac:dyDescent="0.2">
      <c r="A6995">
        <v>6989</v>
      </c>
      <c r="B6995" t="s">
        <v>54</v>
      </c>
    </row>
    <row r="6996" spans="1:2" x14ac:dyDescent="0.2">
      <c r="A6996">
        <v>6990</v>
      </c>
      <c r="B6996" t="s">
        <v>54</v>
      </c>
    </row>
    <row r="6997" spans="1:2" x14ac:dyDescent="0.2">
      <c r="A6997">
        <v>6991</v>
      </c>
      <c r="B6997" t="s">
        <v>54</v>
      </c>
    </row>
    <row r="6998" spans="1:2" x14ac:dyDescent="0.2">
      <c r="A6998">
        <v>6992</v>
      </c>
      <c r="B6998" t="s">
        <v>54</v>
      </c>
    </row>
    <row r="6999" spans="1:2" x14ac:dyDescent="0.2">
      <c r="A6999">
        <v>6993</v>
      </c>
      <c r="B6999" t="s">
        <v>54</v>
      </c>
    </row>
    <row r="7000" spans="1:2" x14ac:dyDescent="0.2">
      <c r="A7000">
        <v>6994</v>
      </c>
      <c r="B7000" t="s">
        <v>54</v>
      </c>
    </row>
    <row r="7001" spans="1:2" x14ac:dyDescent="0.2">
      <c r="A7001">
        <v>6995</v>
      </c>
      <c r="B7001" t="s">
        <v>54</v>
      </c>
    </row>
    <row r="7002" spans="1:2" x14ac:dyDescent="0.2">
      <c r="A7002">
        <v>6996</v>
      </c>
      <c r="B7002" t="s">
        <v>54</v>
      </c>
    </row>
    <row r="7003" spans="1:2" x14ac:dyDescent="0.2">
      <c r="A7003">
        <v>6997</v>
      </c>
      <c r="B7003" t="s">
        <v>54</v>
      </c>
    </row>
    <row r="7004" spans="1:2" x14ac:dyDescent="0.2">
      <c r="A7004">
        <v>6998</v>
      </c>
      <c r="B7004" t="s">
        <v>54</v>
      </c>
    </row>
    <row r="7005" spans="1:2" x14ac:dyDescent="0.2">
      <c r="A7005">
        <v>6999</v>
      </c>
      <c r="B7005" t="s">
        <v>54</v>
      </c>
    </row>
    <row r="7006" spans="1:2" x14ac:dyDescent="0.2">
      <c r="A7006">
        <v>7000</v>
      </c>
      <c r="B7006" t="s">
        <v>54</v>
      </c>
    </row>
    <row r="7007" spans="1:2" x14ac:dyDescent="0.2">
      <c r="A7007">
        <v>7001</v>
      </c>
      <c r="B7007" t="s">
        <v>54</v>
      </c>
    </row>
    <row r="7008" spans="1:2" x14ac:dyDescent="0.2">
      <c r="A7008">
        <v>7002</v>
      </c>
      <c r="B7008" t="s">
        <v>54</v>
      </c>
    </row>
    <row r="7009" spans="1:2" x14ac:dyDescent="0.2">
      <c r="A7009">
        <v>7003</v>
      </c>
      <c r="B7009" t="s">
        <v>54</v>
      </c>
    </row>
    <row r="7010" spans="1:2" x14ac:dyDescent="0.2">
      <c r="A7010">
        <v>7004</v>
      </c>
      <c r="B7010" t="s">
        <v>54</v>
      </c>
    </row>
    <row r="7011" spans="1:2" x14ac:dyDescent="0.2">
      <c r="A7011">
        <v>7005</v>
      </c>
      <c r="B7011" t="s">
        <v>54</v>
      </c>
    </row>
    <row r="7012" spans="1:2" x14ac:dyDescent="0.2">
      <c r="A7012">
        <v>7006</v>
      </c>
      <c r="B7012" t="s">
        <v>54</v>
      </c>
    </row>
    <row r="7013" spans="1:2" x14ac:dyDescent="0.2">
      <c r="A7013">
        <v>7007</v>
      </c>
      <c r="B7013" t="s">
        <v>54</v>
      </c>
    </row>
    <row r="7014" spans="1:2" x14ac:dyDescent="0.2">
      <c r="A7014">
        <v>7008</v>
      </c>
      <c r="B7014" t="s">
        <v>54</v>
      </c>
    </row>
    <row r="7015" spans="1:2" x14ac:dyDescent="0.2">
      <c r="A7015">
        <v>7009</v>
      </c>
      <c r="B7015" t="s">
        <v>54</v>
      </c>
    </row>
    <row r="7016" spans="1:2" x14ac:dyDescent="0.2">
      <c r="A7016">
        <v>7010</v>
      </c>
      <c r="B7016" t="s">
        <v>54</v>
      </c>
    </row>
    <row r="7017" spans="1:2" x14ac:dyDescent="0.2">
      <c r="A7017">
        <v>7011</v>
      </c>
      <c r="B7017" t="s">
        <v>54</v>
      </c>
    </row>
    <row r="7018" spans="1:2" x14ac:dyDescent="0.2">
      <c r="A7018">
        <v>7012</v>
      </c>
      <c r="B7018" t="s">
        <v>54</v>
      </c>
    </row>
    <row r="7019" spans="1:2" x14ac:dyDescent="0.2">
      <c r="A7019">
        <v>7013</v>
      </c>
      <c r="B7019" t="s">
        <v>54</v>
      </c>
    </row>
    <row r="7020" spans="1:2" x14ac:dyDescent="0.2">
      <c r="A7020">
        <v>7014</v>
      </c>
      <c r="B7020" t="s">
        <v>54</v>
      </c>
    </row>
    <row r="7021" spans="1:2" x14ac:dyDescent="0.2">
      <c r="A7021">
        <v>7015</v>
      </c>
      <c r="B7021" t="s">
        <v>54</v>
      </c>
    </row>
    <row r="7022" spans="1:2" x14ac:dyDescent="0.2">
      <c r="A7022">
        <v>7016</v>
      </c>
      <c r="B7022" t="s">
        <v>54</v>
      </c>
    </row>
    <row r="7023" spans="1:2" x14ac:dyDescent="0.2">
      <c r="A7023">
        <v>7017</v>
      </c>
      <c r="B7023" t="s">
        <v>54</v>
      </c>
    </row>
    <row r="7024" spans="1:2" x14ac:dyDescent="0.2">
      <c r="A7024">
        <v>7018</v>
      </c>
      <c r="B7024" t="s">
        <v>54</v>
      </c>
    </row>
    <row r="7025" spans="1:2" x14ac:dyDescent="0.2">
      <c r="A7025">
        <v>7019</v>
      </c>
      <c r="B7025" t="s">
        <v>54</v>
      </c>
    </row>
    <row r="7026" spans="1:2" x14ac:dyDescent="0.2">
      <c r="A7026">
        <v>7020</v>
      </c>
      <c r="B7026" t="s">
        <v>54</v>
      </c>
    </row>
    <row r="7027" spans="1:2" x14ac:dyDescent="0.2">
      <c r="A7027">
        <v>7021</v>
      </c>
      <c r="B7027" t="s">
        <v>54</v>
      </c>
    </row>
    <row r="7028" spans="1:2" x14ac:dyDescent="0.2">
      <c r="A7028">
        <v>7022</v>
      </c>
      <c r="B7028" t="s">
        <v>54</v>
      </c>
    </row>
    <row r="7029" spans="1:2" x14ac:dyDescent="0.2">
      <c r="A7029">
        <v>7023</v>
      </c>
      <c r="B7029" t="s">
        <v>54</v>
      </c>
    </row>
    <row r="7030" spans="1:2" x14ac:dyDescent="0.2">
      <c r="A7030">
        <v>7024</v>
      </c>
      <c r="B7030" t="s">
        <v>54</v>
      </c>
    </row>
    <row r="7031" spans="1:2" x14ac:dyDescent="0.2">
      <c r="A7031">
        <v>7025</v>
      </c>
      <c r="B7031" t="s">
        <v>54</v>
      </c>
    </row>
    <row r="7032" spans="1:2" x14ac:dyDescent="0.2">
      <c r="A7032">
        <v>7026</v>
      </c>
      <c r="B7032" t="s">
        <v>54</v>
      </c>
    </row>
    <row r="7033" spans="1:2" x14ac:dyDescent="0.2">
      <c r="A7033">
        <v>7027</v>
      </c>
      <c r="B7033" t="s">
        <v>54</v>
      </c>
    </row>
    <row r="7034" spans="1:2" x14ac:dyDescent="0.2">
      <c r="A7034">
        <v>7028</v>
      </c>
      <c r="B7034" t="s">
        <v>54</v>
      </c>
    </row>
    <row r="7035" spans="1:2" x14ac:dyDescent="0.2">
      <c r="A7035">
        <v>7029</v>
      </c>
      <c r="B7035" t="s">
        <v>54</v>
      </c>
    </row>
    <row r="7036" spans="1:2" x14ac:dyDescent="0.2">
      <c r="A7036">
        <v>7030</v>
      </c>
      <c r="B7036" t="s">
        <v>54</v>
      </c>
    </row>
    <row r="7037" spans="1:2" x14ac:dyDescent="0.2">
      <c r="A7037">
        <v>7031</v>
      </c>
      <c r="B7037" t="s">
        <v>54</v>
      </c>
    </row>
    <row r="7038" spans="1:2" x14ac:dyDescent="0.2">
      <c r="A7038">
        <v>7032</v>
      </c>
      <c r="B7038" t="s">
        <v>54</v>
      </c>
    </row>
    <row r="7039" spans="1:2" x14ac:dyDescent="0.2">
      <c r="A7039">
        <v>7033</v>
      </c>
      <c r="B7039" t="s">
        <v>54</v>
      </c>
    </row>
    <row r="7040" spans="1:2" x14ac:dyDescent="0.2">
      <c r="A7040">
        <v>7034</v>
      </c>
      <c r="B7040" t="s">
        <v>54</v>
      </c>
    </row>
    <row r="7041" spans="1:2" x14ac:dyDescent="0.2">
      <c r="A7041">
        <v>7035</v>
      </c>
      <c r="B7041" t="s">
        <v>54</v>
      </c>
    </row>
    <row r="7042" spans="1:2" x14ac:dyDescent="0.2">
      <c r="A7042">
        <v>7036</v>
      </c>
      <c r="B7042" t="s">
        <v>54</v>
      </c>
    </row>
    <row r="7043" spans="1:2" x14ac:dyDescent="0.2">
      <c r="A7043">
        <v>7037</v>
      </c>
      <c r="B7043" t="s">
        <v>54</v>
      </c>
    </row>
    <row r="7044" spans="1:2" x14ac:dyDescent="0.2">
      <c r="A7044">
        <v>7038</v>
      </c>
      <c r="B7044" t="s">
        <v>54</v>
      </c>
    </row>
    <row r="7045" spans="1:2" x14ac:dyDescent="0.2">
      <c r="A7045">
        <v>7039</v>
      </c>
      <c r="B7045" t="s">
        <v>54</v>
      </c>
    </row>
    <row r="7046" spans="1:2" x14ac:dyDescent="0.2">
      <c r="A7046">
        <v>7040</v>
      </c>
      <c r="B7046" t="s">
        <v>54</v>
      </c>
    </row>
    <row r="7047" spans="1:2" x14ac:dyDescent="0.2">
      <c r="A7047">
        <v>7041</v>
      </c>
      <c r="B7047" t="s">
        <v>54</v>
      </c>
    </row>
    <row r="7048" spans="1:2" x14ac:dyDescent="0.2">
      <c r="A7048">
        <v>7042</v>
      </c>
      <c r="B7048" t="s">
        <v>54</v>
      </c>
    </row>
    <row r="7049" spans="1:2" x14ac:dyDescent="0.2">
      <c r="A7049">
        <v>7043</v>
      </c>
      <c r="B7049" t="s">
        <v>54</v>
      </c>
    </row>
    <row r="7050" spans="1:2" x14ac:dyDescent="0.2">
      <c r="A7050">
        <v>7044</v>
      </c>
      <c r="B7050" t="s">
        <v>54</v>
      </c>
    </row>
    <row r="7051" spans="1:2" x14ac:dyDescent="0.2">
      <c r="A7051">
        <v>7045</v>
      </c>
      <c r="B7051" t="s">
        <v>54</v>
      </c>
    </row>
    <row r="7052" spans="1:2" x14ac:dyDescent="0.2">
      <c r="A7052">
        <v>7046</v>
      </c>
      <c r="B7052" t="s">
        <v>54</v>
      </c>
    </row>
    <row r="7053" spans="1:2" x14ac:dyDescent="0.2">
      <c r="A7053">
        <v>7047</v>
      </c>
      <c r="B7053" t="s">
        <v>54</v>
      </c>
    </row>
    <row r="7054" spans="1:2" x14ac:dyDescent="0.2">
      <c r="A7054">
        <v>7048</v>
      </c>
      <c r="B7054" t="s">
        <v>54</v>
      </c>
    </row>
    <row r="7055" spans="1:2" x14ac:dyDescent="0.2">
      <c r="A7055">
        <v>7049</v>
      </c>
      <c r="B7055" t="s">
        <v>54</v>
      </c>
    </row>
    <row r="7056" spans="1:2" x14ac:dyDescent="0.2">
      <c r="A7056">
        <v>7050</v>
      </c>
      <c r="B7056" t="s">
        <v>54</v>
      </c>
    </row>
    <row r="7057" spans="1:2" x14ac:dyDescent="0.2">
      <c r="A7057">
        <v>7051</v>
      </c>
      <c r="B7057" t="s">
        <v>54</v>
      </c>
    </row>
    <row r="7058" spans="1:2" x14ac:dyDescent="0.2">
      <c r="A7058">
        <v>7052</v>
      </c>
      <c r="B7058" t="s">
        <v>54</v>
      </c>
    </row>
    <row r="7059" spans="1:2" x14ac:dyDescent="0.2">
      <c r="A7059">
        <v>7053</v>
      </c>
      <c r="B7059" t="s">
        <v>54</v>
      </c>
    </row>
    <row r="7060" spans="1:2" x14ac:dyDescent="0.2">
      <c r="A7060">
        <v>7054</v>
      </c>
      <c r="B7060" t="s">
        <v>54</v>
      </c>
    </row>
    <row r="7061" spans="1:2" x14ac:dyDescent="0.2">
      <c r="A7061">
        <v>7055</v>
      </c>
      <c r="B7061" t="s">
        <v>54</v>
      </c>
    </row>
    <row r="7062" spans="1:2" x14ac:dyDescent="0.2">
      <c r="A7062">
        <v>7056</v>
      </c>
      <c r="B7062" t="s">
        <v>54</v>
      </c>
    </row>
    <row r="7063" spans="1:2" x14ac:dyDescent="0.2">
      <c r="A7063">
        <v>7057</v>
      </c>
      <c r="B7063" t="s">
        <v>54</v>
      </c>
    </row>
    <row r="7064" spans="1:2" x14ac:dyDescent="0.2">
      <c r="A7064">
        <v>7058</v>
      </c>
      <c r="B7064" t="s">
        <v>54</v>
      </c>
    </row>
    <row r="7065" spans="1:2" x14ac:dyDescent="0.2">
      <c r="A7065">
        <v>7059</v>
      </c>
      <c r="B7065" t="s">
        <v>54</v>
      </c>
    </row>
    <row r="7066" spans="1:2" x14ac:dyDescent="0.2">
      <c r="A7066">
        <v>7060</v>
      </c>
      <c r="B7066" t="s">
        <v>54</v>
      </c>
    </row>
    <row r="7067" spans="1:2" x14ac:dyDescent="0.2">
      <c r="A7067">
        <v>7061</v>
      </c>
      <c r="B7067" t="s">
        <v>54</v>
      </c>
    </row>
    <row r="7068" spans="1:2" x14ac:dyDescent="0.2">
      <c r="A7068">
        <v>7062</v>
      </c>
      <c r="B7068" t="s">
        <v>54</v>
      </c>
    </row>
    <row r="7069" spans="1:2" x14ac:dyDescent="0.2">
      <c r="A7069">
        <v>7063</v>
      </c>
      <c r="B7069" t="s">
        <v>54</v>
      </c>
    </row>
    <row r="7070" spans="1:2" x14ac:dyDescent="0.2">
      <c r="A7070">
        <v>7064</v>
      </c>
      <c r="B7070" t="s">
        <v>54</v>
      </c>
    </row>
    <row r="7071" spans="1:2" x14ac:dyDescent="0.2">
      <c r="A7071">
        <v>7065</v>
      </c>
      <c r="B7071" t="s">
        <v>54</v>
      </c>
    </row>
    <row r="7072" spans="1:2" x14ac:dyDescent="0.2">
      <c r="A7072">
        <v>7066</v>
      </c>
      <c r="B7072" t="s">
        <v>54</v>
      </c>
    </row>
    <row r="7073" spans="1:2" x14ac:dyDescent="0.2">
      <c r="A7073">
        <v>7067</v>
      </c>
      <c r="B7073" t="s">
        <v>54</v>
      </c>
    </row>
    <row r="7074" spans="1:2" x14ac:dyDescent="0.2">
      <c r="A7074">
        <v>7068</v>
      </c>
      <c r="B7074" t="s">
        <v>54</v>
      </c>
    </row>
    <row r="7075" spans="1:2" x14ac:dyDescent="0.2">
      <c r="A7075">
        <v>7069</v>
      </c>
      <c r="B7075" t="s">
        <v>54</v>
      </c>
    </row>
    <row r="7076" spans="1:2" x14ac:dyDescent="0.2">
      <c r="A7076">
        <v>7070</v>
      </c>
      <c r="B7076" t="s">
        <v>54</v>
      </c>
    </row>
    <row r="7077" spans="1:2" x14ac:dyDescent="0.2">
      <c r="A7077">
        <v>7071</v>
      </c>
      <c r="B7077" t="s">
        <v>54</v>
      </c>
    </row>
    <row r="7078" spans="1:2" x14ac:dyDescent="0.2">
      <c r="A7078">
        <v>7072</v>
      </c>
      <c r="B7078" t="s">
        <v>54</v>
      </c>
    </row>
    <row r="7079" spans="1:2" x14ac:dyDescent="0.2">
      <c r="A7079">
        <v>7073</v>
      </c>
      <c r="B7079" t="s">
        <v>54</v>
      </c>
    </row>
    <row r="7080" spans="1:2" x14ac:dyDescent="0.2">
      <c r="A7080">
        <v>7074</v>
      </c>
      <c r="B7080" t="s">
        <v>54</v>
      </c>
    </row>
    <row r="7081" spans="1:2" x14ac:dyDescent="0.2">
      <c r="A7081">
        <v>7075</v>
      </c>
      <c r="B7081" t="s">
        <v>54</v>
      </c>
    </row>
    <row r="7082" spans="1:2" x14ac:dyDescent="0.2">
      <c r="A7082">
        <v>7076</v>
      </c>
      <c r="B7082" t="s">
        <v>54</v>
      </c>
    </row>
    <row r="7083" spans="1:2" x14ac:dyDescent="0.2">
      <c r="A7083">
        <v>7077</v>
      </c>
      <c r="B7083" t="s">
        <v>54</v>
      </c>
    </row>
    <row r="7084" spans="1:2" x14ac:dyDescent="0.2">
      <c r="A7084">
        <v>7078</v>
      </c>
      <c r="B7084" t="s">
        <v>54</v>
      </c>
    </row>
    <row r="7085" spans="1:2" x14ac:dyDescent="0.2">
      <c r="A7085">
        <v>7079</v>
      </c>
      <c r="B7085" t="s">
        <v>54</v>
      </c>
    </row>
    <row r="7086" spans="1:2" x14ac:dyDescent="0.2">
      <c r="A7086">
        <v>7080</v>
      </c>
      <c r="B7086" t="s">
        <v>54</v>
      </c>
    </row>
    <row r="7087" spans="1:2" x14ac:dyDescent="0.2">
      <c r="A7087">
        <v>7081</v>
      </c>
      <c r="B7087" t="s">
        <v>54</v>
      </c>
    </row>
    <row r="7088" spans="1:2" x14ac:dyDescent="0.2">
      <c r="A7088">
        <v>7082</v>
      </c>
      <c r="B7088" t="s">
        <v>54</v>
      </c>
    </row>
    <row r="7089" spans="1:2" x14ac:dyDescent="0.2">
      <c r="A7089">
        <v>7083</v>
      </c>
      <c r="B7089" t="s">
        <v>54</v>
      </c>
    </row>
    <row r="7090" spans="1:2" x14ac:dyDescent="0.2">
      <c r="A7090">
        <v>7084</v>
      </c>
      <c r="B7090" t="s">
        <v>54</v>
      </c>
    </row>
    <row r="7091" spans="1:2" x14ac:dyDescent="0.2">
      <c r="A7091">
        <v>7085</v>
      </c>
      <c r="B7091" t="s">
        <v>54</v>
      </c>
    </row>
    <row r="7092" spans="1:2" x14ac:dyDescent="0.2">
      <c r="A7092">
        <v>7086</v>
      </c>
      <c r="B7092" t="s">
        <v>54</v>
      </c>
    </row>
    <row r="7093" spans="1:2" x14ac:dyDescent="0.2">
      <c r="A7093">
        <v>7087</v>
      </c>
      <c r="B7093" t="s">
        <v>54</v>
      </c>
    </row>
    <row r="7094" spans="1:2" x14ac:dyDescent="0.2">
      <c r="A7094">
        <v>7088</v>
      </c>
      <c r="B7094" t="s">
        <v>54</v>
      </c>
    </row>
    <row r="7095" spans="1:2" x14ac:dyDescent="0.2">
      <c r="A7095">
        <v>7089</v>
      </c>
      <c r="B7095" t="s">
        <v>54</v>
      </c>
    </row>
    <row r="7096" spans="1:2" x14ac:dyDescent="0.2">
      <c r="A7096">
        <v>7090</v>
      </c>
      <c r="B7096" t="s">
        <v>54</v>
      </c>
    </row>
    <row r="7097" spans="1:2" x14ac:dyDescent="0.2">
      <c r="A7097">
        <v>7091</v>
      </c>
      <c r="B7097" t="s">
        <v>54</v>
      </c>
    </row>
    <row r="7098" spans="1:2" x14ac:dyDescent="0.2">
      <c r="A7098">
        <v>7092</v>
      </c>
      <c r="B7098" t="s">
        <v>54</v>
      </c>
    </row>
    <row r="7099" spans="1:2" x14ac:dyDescent="0.2">
      <c r="A7099">
        <v>7093</v>
      </c>
      <c r="B7099" t="s">
        <v>54</v>
      </c>
    </row>
    <row r="7100" spans="1:2" x14ac:dyDescent="0.2">
      <c r="A7100">
        <v>7094</v>
      </c>
      <c r="B7100" t="s">
        <v>54</v>
      </c>
    </row>
    <row r="7101" spans="1:2" x14ac:dyDescent="0.2">
      <c r="A7101">
        <v>7095</v>
      </c>
      <c r="B7101" t="s">
        <v>54</v>
      </c>
    </row>
    <row r="7102" spans="1:2" x14ac:dyDescent="0.2">
      <c r="A7102">
        <v>7096</v>
      </c>
      <c r="B7102" t="s">
        <v>54</v>
      </c>
    </row>
    <row r="7103" spans="1:2" x14ac:dyDescent="0.2">
      <c r="A7103">
        <v>7097</v>
      </c>
      <c r="B7103" t="s">
        <v>54</v>
      </c>
    </row>
    <row r="7104" spans="1:2" x14ac:dyDescent="0.2">
      <c r="A7104">
        <v>7098</v>
      </c>
      <c r="B7104" t="s">
        <v>54</v>
      </c>
    </row>
    <row r="7105" spans="1:2" x14ac:dyDescent="0.2">
      <c r="A7105">
        <v>7099</v>
      </c>
      <c r="B7105" t="s">
        <v>54</v>
      </c>
    </row>
    <row r="7106" spans="1:2" x14ac:dyDescent="0.2">
      <c r="A7106">
        <v>7100</v>
      </c>
      <c r="B7106" t="s">
        <v>54</v>
      </c>
    </row>
    <row r="7107" spans="1:2" x14ac:dyDescent="0.2">
      <c r="A7107">
        <v>7101</v>
      </c>
      <c r="B7107" t="s">
        <v>54</v>
      </c>
    </row>
    <row r="7108" spans="1:2" x14ac:dyDescent="0.2">
      <c r="A7108">
        <v>7102</v>
      </c>
      <c r="B7108" t="s">
        <v>54</v>
      </c>
    </row>
    <row r="7109" spans="1:2" x14ac:dyDescent="0.2">
      <c r="A7109">
        <v>7103</v>
      </c>
      <c r="B7109" t="s">
        <v>54</v>
      </c>
    </row>
    <row r="7110" spans="1:2" x14ac:dyDescent="0.2">
      <c r="A7110">
        <v>7104</v>
      </c>
      <c r="B7110" t="s">
        <v>54</v>
      </c>
    </row>
    <row r="7111" spans="1:2" x14ac:dyDescent="0.2">
      <c r="A7111">
        <v>7105</v>
      </c>
      <c r="B7111" t="s">
        <v>54</v>
      </c>
    </row>
    <row r="7112" spans="1:2" x14ac:dyDescent="0.2">
      <c r="A7112">
        <v>7106</v>
      </c>
      <c r="B7112" t="s">
        <v>54</v>
      </c>
    </row>
    <row r="7113" spans="1:2" x14ac:dyDescent="0.2">
      <c r="A7113">
        <v>7107</v>
      </c>
      <c r="B7113" t="s">
        <v>54</v>
      </c>
    </row>
    <row r="7114" spans="1:2" x14ac:dyDescent="0.2">
      <c r="A7114">
        <v>7108</v>
      </c>
      <c r="B7114" t="s">
        <v>54</v>
      </c>
    </row>
    <row r="7115" spans="1:2" x14ac:dyDescent="0.2">
      <c r="A7115">
        <v>7109</v>
      </c>
      <c r="B7115" t="s">
        <v>54</v>
      </c>
    </row>
    <row r="7116" spans="1:2" x14ac:dyDescent="0.2">
      <c r="A7116">
        <v>7110</v>
      </c>
      <c r="B7116" t="s">
        <v>54</v>
      </c>
    </row>
    <row r="7117" spans="1:2" x14ac:dyDescent="0.2">
      <c r="A7117">
        <v>7111</v>
      </c>
      <c r="B7117" t="s">
        <v>54</v>
      </c>
    </row>
    <row r="7118" spans="1:2" x14ac:dyDescent="0.2">
      <c r="A7118">
        <v>7112</v>
      </c>
      <c r="B7118" t="s">
        <v>54</v>
      </c>
    </row>
    <row r="7119" spans="1:2" x14ac:dyDescent="0.2">
      <c r="A7119">
        <v>7113</v>
      </c>
      <c r="B7119" t="s">
        <v>54</v>
      </c>
    </row>
    <row r="7120" spans="1:2" x14ac:dyDescent="0.2">
      <c r="A7120">
        <v>7114</v>
      </c>
      <c r="B7120" t="s">
        <v>54</v>
      </c>
    </row>
    <row r="7121" spans="1:2" x14ac:dyDescent="0.2">
      <c r="A7121">
        <v>7115</v>
      </c>
      <c r="B7121" t="s">
        <v>54</v>
      </c>
    </row>
    <row r="7122" spans="1:2" x14ac:dyDescent="0.2">
      <c r="A7122">
        <v>7116</v>
      </c>
      <c r="B7122" t="s">
        <v>54</v>
      </c>
    </row>
    <row r="7123" spans="1:2" x14ac:dyDescent="0.2">
      <c r="A7123">
        <v>7117</v>
      </c>
      <c r="B7123" t="s">
        <v>54</v>
      </c>
    </row>
    <row r="7124" spans="1:2" x14ac:dyDescent="0.2">
      <c r="A7124">
        <v>7118</v>
      </c>
      <c r="B7124" t="s">
        <v>54</v>
      </c>
    </row>
    <row r="7125" spans="1:2" x14ac:dyDescent="0.2">
      <c r="A7125">
        <v>7119</v>
      </c>
      <c r="B7125" t="s">
        <v>54</v>
      </c>
    </row>
    <row r="7126" spans="1:2" x14ac:dyDescent="0.2">
      <c r="A7126">
        <v>7120</v>
      </c>
      <c r="B7126" t="s">
        <v>54</v>
      </c>
    </row>
    <row r="7127" spans="1:2" x14ac:dyDescent="0.2">
      <c r="A7127">
        <v>7121</v>
      </c>
      <c r="B7127" t="s">
        <v>54</v>
      </c>
    </row>
    <row r="7128" spans="1:2" x14ac:dyDescent="0.2">
      <c r="A7128">
        <v>7122</v>
      </c>
      <c r="B7128" t="s">
        <v>54</v>
      </c>
    </row>
    <row r="7129" spans="1:2" x14ac:dyDescent="0.2">
      <c r="A7129">
        <v>7123</v>
      </c>
      <c r="B7129" t="s">
        <v>54</v>
      </c>
    </row>
    <row r="7130" spans="1:2" x14ac:dyDescent="0.2">
      <c r="A7130">
        <v>7124</v>
      </c>
      <c r="B7130" t="s">
        <v>54</v>
      </c>
    </row>
    <row r="7131" spans="1:2" x14ac:dyDescent="0.2">
      <c r="A7131">
        <v>7125</v>
      </c>
      <c r="B7131" t="s">
        <v>54</v>
      </c>
    </row>
    <row r="7132" spans="1:2" x14ac:dyDescent="0.2">
      <c r="A7132">
        <v>7126</v>
      </c>
      <c r="B7132" t="s">
        <v>54</v>
      </c>
    </row>
    <row r="7133" spans="1:2" x14ac:dyDescent="0.2">
      <c r="A7133">
        <v>7127</v>
      </c>
      <c r="B7133" t="s">
        <v>54</v>
      </c>
    </row>
    <row r="7134" spans="1:2" x14ac:dyDescent="0.2">
      <c r="A7134">
        <v>7128</v>
      </c>
      <c r="B7134" t="s">
        <v>54</v>
      </c>
    </row>
    <row r="7135" spans="1:2" x14ac:dyDescent="0.2">
      <c r="A7135">
        <v>7129</v>
      </c>
      <c r="B7135" t="s">
        <v>54</v>
      </c>
    </row>
    <row r="7136" spans="1:2" x14ac:dyDescent="0.2">
      <c r="A7136">
        <v>7130</v>
      </c>
      <c r="B7136" t="s">
        <v>54</v>
      </c>
    </row>
    <row r="7137" spans="1:2" x14ac:dyDescent="0.2">
      <c r="A7137">
        <v>7131</v>
      </c>
      <c r="B7137" t="s">
        <v>54</v>
      </c>
    </row>
    <row r="7138" spans="1:2" x14ac:dyDescent="0.2">
      <c r="A7138">
        <v>7132</v>
      </c>
      <c r="B7138" t="s">
        <v>54</v>
      </c>
    </row>
    <row r="7139" spans="1:2" x14ac:dyDescent="0.2">
      <c r="A7139">
        <v>7133</v>
      </c>
      <c r="B7139" t="s">
        <v>54</v>
      </c>
    </row>
    <row r="7140" spans="1:2" x14ac:dyDescent="0.2">
      <c r="A7140">
        <v>7134</v>
      </c>
      <c r="B7140" t="s">
        <v>54</v>
      </c>
    </row>
    <row r="7141" spans="1:2" x14ac:dyDescent="0.2">
      <c r="A7141">
        <v>7135</v>
      </c>
      <c r="B7141" t="s">
        <v>54</v>
      </c>
    </row>
    <row r="7142" spans="1:2" x14ac:dyDescent="0.2">
      <c r="A7142">
        <v>7136</v>
      </c>
      <c r="B7142" t="s">
        <v>54</v>
      </c>
    </row>
    <row r="7143" spans="1:2" x14ac:dyDescent="0.2">
      <c r="A7143">
        <v>7137</v>
      </c>
      <c r="B7143" t="s">
        <v>54</v>
      </c>
    </row>
    <row r="7144" spans="1:2" x14ac:dyDescent="0.2">
      <c r="A7144">
        <v>7138</v>
      </c>
      <c r="B7144" t="s">
        <v>54</v>
      </c>
    </row>
    <row r="7145" spans="1:2" x14ac:dyDescent="0.2">
      <c r="A7145">
        <v>7139</v>
      </c>
      <c r="B7145" t="s">
        <v>54</v>
      </c>
    </row>
    <row r="7146" spans="1:2" x14ac:dyDescent="0.2">
      <c r="A7146">
        <v>7140</v>
      </c>
      <c r="B7146" t="s">
        <v>54</v>
      </c>
    </row>
    <row r="7147" spans="1:2" x14ac:dyDescent="0.2">
      <c r="A7147">
        <v>7141</v>
      </c>
      <c r="B7147" t="s">
        <v>54</v>
      </c>
    </row>
    <row r="7148" spans="1:2" x14ac:dyDescent="0.2">
      <c r="A7148">
        <v>7142</v>
      </c>
      <c r="B7148" t="s">
        <v>54</v>
      </c>
    </row>
    <row r="7149" spans="1:2" x14ac:dyDescent="0.2">
      <c r="A7149">
        <v>7143</v>
      </c>
      <c r="B7149" t="s">
        <v>54</v>
      </c>
    </row>
    <row r="7150" spans="1:2" x14ac:dyDescent="0.2">
      <c r="A7150">
        <v>7144</v>
      </c>
      <c r="B7150" t="s">
        <v>54</v>
      </c>
    </row>
    <row r="7151" spans="1:2" x14ac:dyDescent="0.2">
      <c r="A7151">
        <v>7145</v>
      </c>
      <c r="B7151" t="s">
        <v>54</v>
      </c>
    </row>
    <row r="7152" spans="1:2" x14ac:dyDescent="0.2">
      <c r="A7152">
        <v>7146</v>
      </c>
      <c r="B7152" t="s">
        <v>54</v>
      </c>
    </row>
    <row r="7153" spans="1:2" x14ac:dyDescent="0.2">
      <c r="A7153">
        <v>7147</v>
      </c>
      <c r="B7153" t="s">
        <v>54</v>
      </c>
    </row>
    <row r="7154" spans="1:2" x14ac:dyDescent="0.2">
      <c r="A7154">
        <v>7148</v>
      </c>
      <c r="B7154" t="s">
        <v>54</v>
      </c>
    </row>
    <row r="7155" spans="1:2" x14ac:dyDescent="0.2">
      <c r="A7155">
        <v>7149</v>
      </c>
      <c r="B7155" t="s">
        <v>54</v>
      </c>
    </row>
    <row r="7156" spans="1:2" x14ac:dyDescent="0.2">
      <c r="A7156">
        <v>7150</v>
      </c>
      <c r="B7156" t="s">
        <v>54</v>
      </c>
    </row>
    <row r="7157" spans="1:2" x14ac:dyDescent="0.2">
      <c r="A7157">
        <v>7151</v>
      </c>
      <c r="B7157" t="s">
        <v>54</v>
      </c>
    </row>
    <row r="7158" spans="1:2" x14ac:dyDescent="0.2">
      <c r="A7158">
        <v>7152</v>
      </c>
      <c r="B7158" t="s">
        <v>54</v>
      </c>
    </row>
    <row r="7159" spans="1:2" x14ac:dyDescent="0.2">
      <c r="A7159">
        <v>7153</v>
      </c>
      <c r="B7159" t="s">
        <v>54</v>
      </c>
    </row>
    <row r="7160" spans="1:2" x14ac:dyDescent="0.2">
      <c r="A7160">
        <v>7154</v>
      </c>
      <c r="B7160" t="s">
        <v>54</v>
      </c>
    </row>
    <row r="7161" spans="1:2" x14ac:dyDescent="0.2">
      <c r="A7161">
        <v>7155</v>
      </c>
      <c r="B7161" t="s">
        <v>54</v>
      </c>
    </row>
    <row r="7162" spans="1:2" x14ac:dyDescent="0.2">
      <c r="A7162">
        <v>7156</v>
      </c>
      <c r="B7162" t="s">
        <v>54</v>
      </c>
    </row>
    <row r="7163" spans="1:2" x14ac:dyDescent="0.2">
      <c r="A7163">
        <v>7157</v>
      </c>
      <c r="B7163" t="s">
        <v>54</v>
      </c>
    </row>
    <row r="7164" spans="1:2" x14ac:dyDescent="0.2">
      <c r="A7164">
        <v>7158</v>
      </c>
      <c r="B7164" t="s">
        <v>54</v>
      </c>
    </row>
    <row r="7165" spans="1:2" x14ac:dyDescent="0.2">
      <c r="A7165">
        <v>7159</v>
      </c>
      <c r="B7165" t="s">
        <v>54</v>
      </c>
    </row>
    <row r="7166" spans="1:2" x14ac:dyDescent="0.2">
      <c r="A7166">
        <v>7160</v>
      </c>
      <c r="B7166" t="s">
        <v>54</v>
      </c>
    </row>
    <row r="7167" spans="1:2" x14ac:dyDescent="0.2">
      <c r="A7167">
        <v>7161</v>
      </c>
      <c r="B7167" t="s">
        <v>54</v>
      </c>
    </row>
    <row r="7168" spans="1:2" x14ac:dyDescent="0.2">
      <c r="A7168">
        <v>7162</v>
      </c>
      <c r="B7168" t="s">
        <v>54</v>
      </c>
    </row>
    <row r="7169" spans="1:2" x14ac:dyDescent="0.2">
      <c r="A7169">
        <v>7163</v>
      </c>
      <c r="B7169" t="s">
        <v>54</v>
      </c>
    </row>
    <row r="7170" spans="1:2" x14ac:dyDescent="0.2">
      <c r="A7170">
        <v>7164</v>
      </c>
      <c r="B7170" t="s">
        <v>54</v>
      </c>
    </row>
    <row r="7171" spans="1:2" x14ac:dyDescent="0.2">
      <c r="A7171">
        <v>7165</v>
      </c>
      <c r="B7171" t="s">
        <v>54</v>
      </c>
    </row>
    <row r="7172" spans="1:2" x14ac:dyDescent="0.2">
      <c r="A7172">
        <v>7166</v>
      </c>
      <c r="B7172" t="s">
        <v>54</v>
      </c>
    </row>
    <row r="7173" spans="1:2" x14ac:dyDescent="0.2">
      <c r="A7173">
        <v>7167</v>
      </c>
      <c r="B7173" t="s">
        <v>54</v>
      </c>
    </row>
    <row r="7174" spans="1:2" x14ac:dyDescent="0.2">
      <c r="A7174">
        <v>7168</v>
      </c>
      <c r="B7174" t="s">
        <v>54</v>
      </c>
    </row>
    <row r="7175" spans="1:2" x14ac:dyDescent="0.2">
      <c r="A7175">
        <v>7169</v>
      </c>
      <c r="B7175" t="s">
        <v>54</v>
      </c>
    </row>
    <row r="7176" spans="1:2" x14ac:dyDescent="0.2">
      <c r="A7176">
        <v>7170</v>
      </c>
      <c r="B7176" t="s">
        <v>54</v>
      </c>
    </row>
    <row r="7177" spans="1:2" x14ac:dyDescent="0.2">
      <c r="A7177">
        <v>7171</v>
      </c>
      <c r="B7177" t="s">
        <v>54</v>
      </c>
    </row>
    <row r="7178" spans="1:2" x14ac:dyDescent="0.2">
      <c r="A7178">
        <v>7172</v>
      </c>
      <c r="B7178" t="s">
        <v>54</v>
      </c>
    </row>
    <row r="7179" spans="1:2" x14ac:dyDescent="0.2">
      <c r="A7179">
        <v>7173</v>
      </c>
      <c r="B7179" t="s">
        <v>54</v>
      </c>
    </row>
    <row r="7180" spans="1:2" x14ac:dyDescent="0.2">
      <c r="A7180">
        <v>7174</v>
      </c>
      <c r="B7180" t="s">
        <v>54</v>
      </c>
    </row>
    <row r="7181" spans="1:2" x14ac:dyDescent="0.2">
      <c r="A7181">
        <v>7175</v>
      </c>
      <c r="B7181" t="s">
        <v>54</v>
      </c>
    </row>
    <row r="7182" spans="1:2" x14ac:dyDescent="0.2">
      <c r="A7182">
        <v>7176</v>
      </c>
      <c r="B7182" t="s">
        <v>54</v>
      </c>
    </row>
    <row r="7183" spans="1:2" x14ac:dyDescent="0.2">
      <c r="A7183">
        <v>7177</v>
      </c>
      <c r="B7183" t="s">
        <v>54</v>
      </c>
    </row>
    <row r="7184" spans="1:2" x14ac:dyDescent="0.2">
      <c r="A7184">
        <v>7178</v>
      </c>
      <c r="B7184" t="s">
        <v>54</v>
      </c>
    </row>
    <row r="7185" spans="1:2" x14ac:dyDescent="0.2">
      <c r="A7185">
        <v>7179</v>
      </c>
      <c r="B7185" t="s">
        <v>54</v>
      </c>
    </row>
    <row r="7186" spans="1:2" x14ac:dyDescent="0.2">
      <c r="A7186">
        <v>7180</v>
      </c>
      <c r="B7186" t="s">
        <v>54</v>
      </c>
    </row>
    <row r="7187" spans="1:2" x14ac:dyDescent="0.2">
      <c r="A7187">
        <v>7181</v>
      </c>
      <c r="B7187" t="s">
        <v>54</v>
      </c>
    </row>
    <row r="7188" spans="1:2" x14ac:dyDescent="0.2">
      <c r="A7188">
        <v>7182</v>
      </c>
      <c r="B7188" t="s">
        <v>54</v>
      </c>
    </row>
    <row r="7189" spans="1:2" x14ac:dyDescent="0.2">
      <c r="A7189">
        <v>7183</v>
      </c>
      <c r="B7189" t="s">
        <v>54</v>
      </c>
    </row>
    <row r="7190" spans="1:2" x14ac:dyDescent="0.2">
      <c r="A7190">
        <v>7184</v>
      </c>
      <c r="B7190" t="s">
        <v>54</v>
      </c>
    </row>
    <row r="7191" spans="1:2" x14ac:dyDescent="0.2">
      <c r="A7191">
        <v>7185</v>
      </c>
      <c r="B7191" t="s">
        <v>54</v>
      </c>
    </row>
    <row r="7192" spans="1:2" x14ac:dyDescent="0.2">
      <c r="A7192">
        <v>7186</v>
      </c>
      <c r="B7192" t="s">
        <v>54</v>
      </c>
    </row>
    <row r="7193" spans="1:2" x14ac:dyDescent="0.2">
      <c r="A7193">
        <v>7187</v>
      </c>
      <c r="B7193" t="s">
        <v>54</v>
      </c>
    </row>
    <row r="7194" spans="1:2" x14ac:dyDescent="0.2">
      <c r="A7194">
        <v>7188</v>
      </c>
      <c r="B7194" t="s">
        <v>54</v>
      </c>
    </row>
    <row r="7195" spans="1:2" x14ac:dyDescent="0.2">
      <c r="A7195">
        <v>7189</v>
      </c>
      <c r="B7195" t="s">
        <v>54</v>
      </c>
    </row>
    <row r="7196" spans="1:2" x14ac:dyDescent="0.2">
      <c r="A7196">
        <v>7190</v>
      </c>
      <c r="B7196" t="s">
        <v>54</v>
      </c>
    </row>
    <row r="7197" spans="1:2" x14ac:dyDescent="0.2">
      <c r="A7197">
        <v>7191</v>
      </c>
      <c r="B7197" t="s">
        <v>54</v>
      </c>
    </row>
    <row r="7198" spans="1:2" x14ac:dyDescent="0.2">
      <c r="A7198">
        <v>7192</v>
      </c>
      <c r="B7198" t="s">
        <v>54</v>
      </c>
    </row>
    <row r="7199" spans="1:2" x14ac:dyDescent="0.2">
      <c r="A7199">
        <v>7193</v>
      </c>
      <c r="B7199" t="s">
        <v>54</v>
      </c>
    </row>
    <row r="7200" spans="1:2" x14ac:dyDescent="0.2">
      <c r="A7200">
        <v>7194</v>
      </c>
      <c r="B7200" t="s">
        <v>54</v>
      </c>
    </row>
    <row r="7201" spans="1:2" x14ac:dyDescent="0.2">
      <c r="A7201">
        <v>7195</v>
      </c>
      <c r="B7201" t="s">
        <v>54</v>
      </c>
    </row>
    <row r="7202" spans="1:2" x14ac:dyDescent="0.2">
      <c r="A7202">
        <v>7196</v>
      </c>
      <c r="B7202" t="s">
        <v>54</v>
      </c>
    </row>
    <row r="7203" spans="1:2" x14ac:dyDescent="0.2">
      <c r="A7203">
        <v>7197</v>
      </c>
      <c r="B7203" t="s">
        <v>54</v>
      </c>
    </row>
    <row r="7204" spans="1:2" x14ac:dyDescent="0.2">
      <c r="A7204">
        <v>7198</v>
      </c>
      <c r="B7204" t="s">
        <v>54</v>
      </c>
    </row>
    <row r="7205" spans="1:2" x14ac:dyDescent="0.2">
      <c r="A7205">
        <v>7199</v>
      </c>
      <c r="B7205" t="s">
        <v>54</v>
      </c>
    </row>
    <row r="7206" spans="1:2" x14ac:dyDescent="0.2">
      <c r="A7206">
        <v>7200</v>
      </c>
      <c r="B7206" t="s">
        <v>54</v>
      </c>
    </row>
    <row r="7207" spans="1:2" x14ac:dyDescent="0.2">
      <c r="A7207">
        <v>7201</v>
      </c>
      <c r="B7207" t="s">
        <v>54</v>
      </c>
    </row>
    <row r="7208" spans="1:2" x14ac:dyDescent="0.2">
      <c r="A7208">
        <v>7202</v>
      </c>
      <c r="B7208" t="s">
        <v>54</v>
      </c>
    </row>
    <row r="7209" spans="1:2" x14ac:dyDescent="0.2">
      <c r="A7209">
        <v>7203</v>
      </c>
      <c r="B7209" t="s">
        <v>54</v>
      </c>
    </row>
    <row r="7210" spans="1:2" x14ac:dyDescent="0.2">
      <c r="A7210">
        <v>7204</v>
      </c>
      <c r="B7210" t="s">
        <v>54</v>
      </c>
    </row>
    <row r="7211" spans="1:2" x14ac:dyDescent="0.2">
      <c r="A7211">
        <v>7205</v>
      </c>
      <c r="B7211" t="s">
        <v>54</v>
      </c>
    </row>
    <row r="7212" spans="1:2" x14ac:dyDescent="0.2">
      <c r="A7212">
        <v>7206</v>
      </c>
      <c r="B7212" t="s">
        <v>54</v>
      </c>
    </row>
    <row r="7213" spans="1:2" x14ac:dyDescent="0.2">
      <c r="A7213">
        <v>7207</v>
      </c>
      <c r="B7213" t="s">
        <v>54</v>
      </c>
    </row>
    <row r="7214" spans="1:2" x14ac:dyDescent="0.2">
      <c r="A7214">
        <v>7208</v>
      </c>
      <c r="B7214" t="s">
        <v>54</v>
      </c>
    </row>
    <row r="7215" spans="1:2" x14ac:dyDescent="0.2">
      <c r="A7215">
        <v>7209</v>
      </c>
      <c r="B7215" t="s">
        <v>54</v>
      </c>
    </row>
    <row r="7216" spans="1:2" x14ac:dyDescent="0.2">
      <c r="A7216">
        <v>7210</v>
      </c>
      <c r="B7216" t="s">
        <v>54</v>
      </c>
    </row>
    <row r="7217" spans="1:2" x14ac:dyDescent="0.2">
      <c r="A7217">
        <v>7211</v>
      </c>
      <c r="B7217" t="s">
        <v>54</v>
      </c>
    </row>
    <row r="7218" spans="1:2" x14ac:dyDescent="0.2">
      <c r="A7218">
        <v>7212</v>
      </c>
      <c r="B7218" t="s">
        <v>54</v>
      </c>
    </row>
    <row r="7219" spans="1:2" x14ac:dyDescent="0.2">
      <c r="A7219">
        <v>7213</v>
      </c>
      <c r="B7219" t="s">
        <v>54</v>
      </c>
    </row>
    <row r="7220" spans="1:2" x14ac:dyDescent="0.2">
      <c r="A7220">
        <v>7214</v>
      </c>
      <c r="B7220" t="s">
        <v>54</v>
      </c>
    </row>
    <row r="7221" spans="1:2" x14ac:dyDescent="0.2">
      <c r="A7221">
        <v>7215</v>
      </c>
      <c r="B7221" t="s">
        <v>54</v>
      </c>
    </row>
    <row r="7222" spans="1:2" x14ac:dyDescent="0.2">
      <c r="A7222">
        <v>7216</v>
      </c>
      <c r="B7222" t="s">
        <v>54</v>
      </c>
    </row>
    <row r="7223" spans="1:2" x14ac:dyDescent="0.2">
      <c r="A7223">
        <v>7217</v>
      </c>
      <c r="B7223" t="s">
        <v>54</v>
      </c>
    </row>
    <row r="7224" spans="1:2" x14ac:dyDescent="0.2">
      <c r="A7224">
        <v>7218</v>
      </c>
      <c r="B7224" t="s">
        <v>54</v>
      </c>
    </row>
    <row r="7225" spans="1:2" x14ac:dyDescent="0.2">
      <c r="A7225">
        <v>7219</v>
      </c>
      <c r="B7225" t="s">
        <v>54</v>
      </c>
    </row>
    <row r="7226" spans="1:2" x14ac:dyDescent="0.2">
      <c r="A7226">
        <v>7220</v>
      </c>
      <c r="B7226" t="s">
        <v>54</v>
      </c>
    </row>
    <row r="7227" spans="1:2" x14ac:dyDescent="0.2">
      <c r="A7227">
        <v>7221</v>
      </c>
      <c r="B7227" t="s">
        <v>54</v>
      </c>
    </row>
    <row r="7228" spans="1:2" x14ac:dyDescent="0.2">
      <c r="A7228">
        <v>7222</v>
      </c>
      <c r="B7228" t="s">
        <v>54</v>
      </c>
    </row>
    <row r="7229" spans="1:2" x14ac:dyDescent="0.2">
      <c r="A7229">
        <v>7223</v>
      </c>
      <c r="B7229" t="s">
        <v>54</v>
      </c>
    </row>
    <row r="7230" spans="1:2" x14ac:dyDescent="0.2">
      <c r="A7230">
        <v>7224</v>
      </c>
      <c r="B7230" t="s">
        <v>54</v>
      </c>
    </row>
    <row r="7231" spans="1:2" x14ac:dyDescent="0.2">
      <c r="A7231">
        <v>7225</v>
      </c>
      <c r="B7231" t="s">
        <v>54</v>
      </c>
    </row>
    <row r="7232" spans="1:2" x14ac:dyDescent="0.2">
      <c r="A7232">
        <v>7226</v>
      </c>
      <c r="B7232" t="s">
        <v>54</v>
      </c>
    </row>
    <row r="7233" spans="1:2" x14ac:dyDescent="0.2">
      <c r="A7233">
        <v>7227</v>
      </c>
      <c r="B7233" t="s">
        <v>54</v>
      </c>
    </row>
    <row r="7234" spans="1:2" x14ac:dyDescent="0.2">
      <c r="A7234">
        <v>7228</v>
      </c>
      <c r="B7234" t="s">
        <v>54</v>
      </c>
    </row>
    <row r="7235" spans="1:2" x14ac:dyDescent="0.2">
      <c r="A7235">
        <v>7229</v>
      </c>
      <c r="B7235" t="s">
        <v>54</v>
      </c>
    </row>
    <row r="7236" spans="1:2" x14ac:dyDescent="0.2">
      <c r="A7236">
        <v>7230</v>
      </c>
      <c r="B7236" t="s">
        <v>54</v>
      </c>
    </row>
    <row r="7237" spans="1:2" x14ac:dyDescent="0.2">
      <c r="A7237">
        <v>7231</v>
      </c>
      <c r="B7237" t="s">
        <v>54</v>
      </c>
    </row>
    <row r="7238" spans="1:2" x14ac:dyDescent="0.2">
      <c r="A7238">
        <v>7232</v>
      </c>
      <c r="B7238" t="s">
        <v>54</v>
      </c>
    </row>
    <row r="7239" spans="1:2" x14ac:dyDescent="0.2">
      <c r="A7239">
        <v>7233</v>
      </c>
      <c r="B7239" t="s">
        <v>54</v>
      </c>
    </row>
    <row r="7240" spans="1:2" x14ac:dyDescent="0.2">
      <c r="A7240">
        <v>7234</v>
      </c>
      <c r="B7240" t="s">
        <v>54</v>
      </c>
    </row>
    <row r="7241" spans="1:2" x14ac:dyDescent="0.2">
      <c r="A7241">
        <v>7235</v>
      </c>
      <c r="B7241" t="s">
        <v>54</v>
      </c>
    </row>
    <row r="7242" spans="1:2" x14ac:dyDescent="0.2">
      <c r="A7242">
        <v>7236</v>
      </c>
      <c r="B7242" t="s">
        <v>54</v>
      </c>
    </row>
    <row r="7243" spans="1:2" x14ac:dyDescent="0.2">
      <c r="A7243">
        <v>7237</v>
      </c>
      <c r="B7243" t="s">
        <v>54</v>
      </c>
    </row>
    <row r="7244" spans="1:2" x14ac:dyDescent="0.2">
      <c r="A7244">
        <v>7238</v>
      </c>
      <c r="B7244" t="s">
        <v>54</v>
      </c>
    </row>
    <row r="7245" spans="1:2" x14ac:dyDescent="0.2">
      <c r="A7245">
        <v>7239</v>
      </c>
      <c r="B7245" t="s">
        <v>54</v>
      </c>
    </row>
    <row r="7246" spans="1:2" x14ac:dyDescent="0.2">
      <c r="A7246">
        <v>7240</v>
      </c>
      <c r="B7246" t="s">
        <v>54</v>
      </c>
    </row>
    <row r="7247" spans="1:2" x14ac:dyDescent="0.2">
      <c r="A7247">
        <v>7241</v>
      </c>
      <c r="B7247" t="s">
        <v>54</v>
      </c>
    </row>
    <row r="7248" spans="1:2" x14ac:dyDescent="0.2">
      <c r="A7248">
        <v>7242</v>
      </c>
      <c r="B7248" t="s">
        <v>54</v>
      </c>
    </row>
    <row r="7249" spans="1:2" x14ac:dyDescent="0.2">
      <c r="A7249">
        <v>7243</v>
      </c>
      <c r="B7249" t="s">
        <v>54</v>
      </c>
    </row>
    <row r="7250" spans="1:2" x14ac:dyDescent="0.2">
      <c r="A7250">
        <v>7244</v>
      </c>
      <c r="B7250" t="s">
        <v>54</v>
      </c>
    </row>
    <row r="7251" spans="1:2" x14ac:dyDescent="0.2">
      <c r="A7251">
        <v>7245</v>
      </c>
      <c r="B7251" t="s">
        <v>54</v>
      </c>
    </row>
    <row r="7252" spans="1:2" x14ac:dyDescent="0.2">
      <c r="A7252">
        <v>7246</v>
      </c>
      <c r="B7252" t="s">
        <v>54</v>
      </c>
    </row>
    <row r="7253" spans="1:2" x14ac:dyDescent="0.2">
      <c r="A7253">
        <v>7247</v>
      </c>
      <c r="B7253" t="s">
        <v>54</v>
      </c>
    </row>
    <row r="7254" spans="1:2" x14ac:dyDescent="0.2">
      <c r="A7254">
        <v>7248</v>
      </c>
      <c r="B7254" t="s">
        <v>54</v>
      </c>
    </row>
    <row r="7255" spans="1:2" x14ac:dyDescent="0.2">
      <c r="A7255">
        <v>7249</v>
      </c>
      <c r="B7255" t="s">
        <v>54</v>
      </c>
    </row>
    <row r="7256" spans="1:2" x14ac:dyDescent="0.2">
      <c r="A7256">
        <v>7250</v>
      </c>
      <c r="B7256" t="s">
        <v>54</v>
      </c>
    </row>
    <row r="7257" spans="1:2" x14ac:dyDescent="0.2">
      <c r="A7257">
        <v>7251</v>
      </c>
      <c r="B7257" t="s">
        <v>54</v>
      </c>
    </row>
    <row r="7258" spans="1:2" x14ac:dyDescent="0.2">
      <c r="A7258">
        <v>7252</v>
      </c>
      <c r="B7258" t="s">
        <v>54</v>
      </c>
    </row>
    <row r="7259" spans="1:2" x14ac:dyDescent="0.2">
      <c r="A7259">
        <v>7253</v>
      </c>
      <c r="B7259" t="s">
        <v>54</v>
      </c>
    </row>
    <row r="7260" spans="1:2" x14ac:dyDescent="0.2">
      <c r="A7260">
        <v>7254</v>
      </c>
      <c r="B7260" t="s">
        <v>54</v>
      </c>
    </row>
    <row r="7261" spans="1:2" x14ac:dyDescent="0.2">
      <c r="A7261">
        <v>7255</v>
      </c>
      <c r="B7261" t="s">
        <v>54</v>
      </c>
    </row>
    <row r="7262" spans="1:2" x14ac:dyDescent="0.2">
      <c r="A7262">
        <v>7256</v>
      </c>
      <c r="B7262" t="s">
        <v>54</v>
      </c>
    </row>
    <row r="7263" spans="1:2" x14ac:dyDescent="0.2">
      <c r="A7263">
        <v>7257</v>
      </c>
      <c r="B7263" t="s">
        <v>54</v>
      </c>
    </row>
    <row r="7264" spans="1:2" x14ac:dyDescent="0.2">
      <c r="A7264">
        <v>7258</v>
      </c>
      <c r="B7264" t="s">
        <v>54</v>
      </c>
    </row>
    <row r="7265" spans="1:2" x14ac:dyDescent="0.2">
      <c r="A7265">
        <v>7259</v>
      </c>
      <c r="B7265" t="s">
        <v>54</v>
      </c>
    </row>
    <row r="7266" spans="1:2" x14ac:dyDescent="0.2">
      <c r="A7266">
        <v>7260</v>
      </c>
      <c r="B7266" t="s">
        <v>54</v>
      </c>
    </row>
    <row r="7267" spans="1:2" x14ac:dyDescent="0.2">
      <c r="A7267">
        <v>7261</v>
      </c>
      <c r="B7267" t="s">
        <v>54</v>
      </c>
    </row>
    <row r="7268" spans="1:2" x14ac:dyDescent="0.2">
      <c r="A7268">
        <v>7262</v>
      </c>
      <c r="B7268" t="s">
        <v>54</v>
      </c>
    </row>
    <row r="7269" spans="1:2" x14ac:dyDescent="0.2">
      <c r="A7269">
        <v>7263</v>
      </c>
      <c r="B7269" t="s">
        <v>54</v>
      </c>
    </row>
    <row r="7270" spans="1:2" x14ac:dyDescent="0.2">
      <c r="A7270">
        <v>7264</v>
      </c>
      <c r="B7270" t="s">
        <v>54</v>
      </c>
    </row>
    <row r="7271" spans="1:2" x14ac:dyDescent="0.2">
      <c r="A7271">
        <v>7265</v>
      </c>
      <c r="B7271" t="s">
        <v>54</v>
      </c>
    </row>
    <row r="7272" spans="1:2" x14ac:dyDescent="0.2">
      <c r="A7272">
        <v>7266</v>
      </c>
      <c r="B7272" t="s">
        <v>54</v>
      </c>
    </row>
    <row r="7273" spans="1:2" x14ac:dyDescent="0.2">
      <c r="A7273">
        <v>7267</v>
      </c>
      <c r="B7273" t="s">
        <v>54</v>
      </c>
    </row>
    <row r="7274" spans="1:2" x14ac:dyDescent="0.2">
      <c r="A7274">
        <v>7268</v>
      </c>
      <c r="B7274" t="s">
        <v>54</v>
      </c>
    </row>
    <row r="7275" spans="1:2" x14ac:dyDescent="0.2">
      <c r="A7275">
        <v>7269</v>
      </c>
      <c r="B7275" t="s">
        <v>54</v>
      </c>
    </row>
    <row r="7276" spans="1:2" x14ac:dyDescent="0.2">
      <c r="A7276">
        <v>7270</v>
      </c>
      <c r="B7276" t="s">
        <v>54</v>
      </c>
    </row>
    <row r="7277" spans="1:2" x14ac:dyDescent="0.2">
      <c r="A7277">
        <v>7271</v>
      </c>
      <c r="B7277" t="s">
        <v>54</v>
      </c>
    </row>
    <row r="7278" spans="1:2" x14ac:dyDescent="0.2">
      <c r="A7278">
        <v>7272</v>
      </c>
      <c r="B7278" t="s">
        <v>54</v>
      </c>
    </row>
    <row r="7279" spans="1:2" x14ac:dyDescent="0.2">
      <c r="A7279">
        <v>7273</v>
      </c>
      <c r="B7279" t="s">
        <v>54</v>
      </c>
    </row>
    <row r="7280" spans="1:2" x14ac:dyDescent="0.2">
      <c r="A7280">
        <v>7274</v>
      </c>
      <c r="B7280" t="s">
        <v>54</v>
      </c>
    </row>
    <row r="7281" spans="1:2" x14ac:dyDescent="0.2">
      <c r="A7281">
        <v>7275</v>
      </c>
      <c r="B7281" t="s">
        <v>54</v>
      </c>
    </row>
    <row r="7282" spans="1:2" x14ac:dyDescent="0.2">
      <c r="A7282">
        <v>7276</v>
      </c>
      <c r="B7282" t="s">
        <v>54</v>
      </c>
    </row>
    <row r="7283" spans="1:2" x14ac:dyDescent="0.2">
      <c r="A7283">
        <v>7277</v>
      </c>
      <c r="B7283" t="s">
        <v>54</v>
      </c>
    </row>
    <row r="7284" spans="1:2" x14ac:dyDescent="0.2">
      <c r="A7284">
        <v>7278</v>
      </c>
      <c r="B7284" t="s">
        <v>54</v>
      </c>
    </row>
    <row r="7285" spans="1:2" x14ac:dyDescent="0.2">
      <c r="A7285">
        <v>7279</v>
      </c>
      <c r="B7285" t="s">
        <v>54</v>
      </c>
    </row>
    <row r="7286" spans="1:2" x14ac:dyDescent="0.2">
      <c r="A7286">
        <v>7280</v>
      </c>
      <c r="B7286" t="s">
        <v>54</v>
      </c>
    </row>
    <row r="7287" spans="1:2" x14ac:dyDescent="0.2">
      <c r="A7287">
        <v>7281</v>
      </c>
      <c r="B7287" t="s">
        <v>54</v>
      </c>
    </row>
    <row r="7288" spans="1:2" x14ac:dyDescent="0.2">
      <c r="A7288">
        <v>7282</v>
      </c>
      <c r="B7288" t="s">
        <v>54</v>
      </c>
    </row>
    <row r="7289" spans="1:2" x14ac:dyDescent="0.2">
      <c r="A7289">
        <v>7283</v>
      </c>
      <c r="B7289" t="s">
        <v>54</v>
      </c>
    </row>
    <row r="7290" spans="1:2" x14ac:dyDescent="0.2">
      <c r="A7290">
        <v>7284</v>
      </c>
      <c r="B7290" t="s">
        <v>54</v>
      </c>
    </row>
    <row r="7291" spans="1:2" x14ac:dyDescent="0.2">
      <c r="A7291">
        <v>7285</v>
      </c>
      <c r="B7291" t="s">
        <v>54</v>
      </c>
    </row>
    <row r="7292" spans="1:2" x14ac:dyDescent="0.2">
      <c r="A7292">
        <v>7286</v>
      </c>
      <c r="B7292" t="s">
        <v>54</v>
      </c>
    </row>
    <row r="7293" spans="1:2" x14ac:dyDescent="0.2">
      <c r="A7293">
        <v>7287</v>
      </c>
      <c r="B7293" t="s">
        <v>54</v>
      </c>
    </row>
    <row r="7294" spans="1:2" x14ac:dyDescent="0.2">
      <c r="A7294">
        <v>7288</v>
      </c>
      <c r="B7294" t="s">
        <v>54</v>
      </c>
    </row>
    <row r="7295" spans="1:2" x14ac:dyDescent="0.2">
      <c r="A7295">
        <v>7289</v>
      </c>
      <c r="B7295" t="s">
        <v>54</v>
      </c>
    </row>
    <row r="7296" spans="1:2" x14ac:dyDescent="0.2">
      <c r="A7296">
        <v>7290</v>
      </c>
      <c r="B7296" t="s">
        <v>54</v>
      </c>
    </row>
    <row r="7297" spans="1:2" x14ac:dyDescent="0.2">
      <c r="A7297">
        <v>7291</v>
      </c>
      <c r="B7297" t="s">
        <v>54</v>
      </c>
    </row>
    <row r="7298" spans="1:2" x14ac:dyDescent="0.2">
      <c r="A7298">
        <v>7292</v>
      </c>
      <c r="B7298" t="s">
        <v>54</v>
      </c>
    </row>
    <row r="7299" spans="1:2" x14ac:dyDescent="0.2">
      <c r="A7299">
        <v>7293</v>
      </c>
      <c r="B7299" t="s">
        <v>54</v>
      </c>
    </row>
    <row r="7300" spans="1:2" x14ac:dyDescent="0.2">
      <c r="A7300">
        <v>7294</v>
      </c>
      <c r="B7300" t="s">
        <v>54</v>
      </c>
    </row>
    <row r="7301" spans="1:2" x14ac:dyDescent="0.2">
      <c r="A7301">
        <v>7295</v>
      </c>
      <c r="B7301" t="s">
        <v>54</v>
      </c>
    </row>
    <row r="7302" spans="1:2" x14ac:dyDescent="0.2">
      <c r="A7302">
        <v>7296</v>
      </c>
      <c r="B7302" t="s">
        <v>54</v>
      </c>
    </row>
    <row r="7303" spans="1:2" x14ac:dyDescent="0.2">
      <c r="A7303">
        <v>7297</v>
      </c>
      <c r="B7303" t="s">
        <v>54</v>
      </c>
    </row>
    <row r="7304" spans="1:2" x14ac:dyDescent="0.2">
      <c r="A7304">
        <v>7298</v>
      </c>
      <c r="B7304" t="s">
        <v>54</v>
      </c>
    </row>
    <row r="7305" spans="1:2" x14ac:dyDescent="0.2">
      <c r="A7305">
        <v>7299</v>
      </c>
      <c r="B7305" t="s">
        <v>54</v>
      </c>
    </row>
    <row r="7306" spans="1:2" x14ac:dyDescent="0.2">
      <c r="A7306">
        <v>7300</v>
      </c>
      <c r="B7306" t="s">
        <v>54</v>
      </c>
    </row>
    <row r="7307" spans="1:2" x14ac:dyDescent="0.2">
      <c r="A7307">
        <v>7301</v>
      </c>
      <c r="B7307" t="s">
        <v>54</v>
      </c>
    </row>
    <row r="7308" spans="1:2" x14ac:dyDescent="0.2">
      <c r="A7308">
        <v>7302</v>
      </c>
      <c r="B7308" t="s">
        <v>54</v>
      </c>
    </row>
    <row r="7309" spans="1:2" x14ac:dyDescent="0.2">
      <c r="A7309">
        <v>7303</v>
      </c>
      <c r="B7309" t="s">
        <v>54</v>
      </c>
    </row>
    <row r="7310" spans="1:2" x14ac:dyDescent="0.2">
      <c r="A7310">
        <v>7304</v>
      </c>
      <c r="B7310" t="s">
        <v>54</v>
      </c>
    </row>
    <row r="7311" spans="1:2" x14ac:dyDescent="0.2">
      <c r="A7311">
        <v>7305</v>
      </c>
      <c r="B7311" t="s">
        <v>54</v>
      </c>
    </row>
    <row r="7312" spans="1:2" x14ac:dyDescent="0.2">
      <c r="A7312">
        <v>7306</v>
      </c>
      <c r="B7312" t="s">
        <v>54</v>
      </c>
    </row>
    <row r="7313" spans="1:2" x14ac:dyDescent="0.2">
      <c r="A7313">
        <v>7307</v>
      </c>
      <c r="B7313" t="s">
        <v>54</v>
      </c>
    </row>
    <row r="7314" spans="1:2" x14ac:dyDescent="0.2">
      <c r="A7314">
        <v>7308</v>
      </c>
      <c r="B7314" t="s">
        <v>54</v>
      </c>
    </row>
    <row r="7315" spans="1:2" x14ac:dyDescent="0.2">
      <c r="A7315">
        <v>7309</v>
      </c>
      <c r="B7315" t="s">
        <v>54</v>
      </c>
    </row>
    <row r="7316" spans="1:2" x14ac:dyDescent="0.2">
      <c r="A7316">
        <v>7310</v>
      </c>
      <c r="B7316" t="s">
        <v>54</v>
      </c>
    </row>
    <row r="7317" spans="1:2" x14ac:dyDescent="0.2">
      <c r="A7317">
        <v>7311</v>
      </c>
      <c r="B7317" t="s">
        <v>54</v>
      </c>
    </row>
    <row r="7318" spans="1:2" x14ac:dyDescent="0.2">
      <c r="A7318">
        <v>7312</v>
      </c>
      <c r="B7318" t="s">
        <v>54</v>
      </c>
    </row>
    <row r="7319" spans="1:2" x14ac:dyDescent="0.2">
      <c r="A7319">
        <v>7313</v>
      </c>
      <c r="B7319" t="s">
        <v>54</v>
      </c>
    </row>
    <row r="7320" spans="1:2" x14ac:dyDescent="0.2">
      <c r="A7320">
        <v>7314</v>
      </c>
      <c r="B7320" t="s">
        <v>54</v>
      </c>
    </row>
    <row r="7321" spans="1:2" x14ac:dyDescent="0.2">
      <c r="A7321">
        <v>7315</v>
      </c>
      <c r="B7321" t="s">
        <v>54</v>
      </c>
    </row>
    <row r="7322" spans="1:2" x14ac:dyDescent="0.2">
      <c r="A7322">
        <v>7316</v>
      </c>
      <c r="B7322" t="s">
        <v>54</v>
      </c>
    </row>
    <row r="7323" spans="1:2" x14ac:dyDescent="0.2">
      <c r="A7323">
        <v>7317</v>
      </c>
      <c r="B7323" t="s">
        <v>54</v>
      </c>
    </row>
    <row r="7324" spans="1:2" x14ac:dyDescent="0.2">
      <c r="A7324">
        <v>7318</v>
      </c>
      <c r="B7324" t="s">
        <v>54</v>
      </c>
    </row>
    <row r="7325" spans="1:2" x14ac:dyDescent="0.2">
      <c r="A7325">
        <v>7319</v>
      </c>
      <c r="B7325" t="s">
        <v>54</v>
      </c>
    </row>
    <row r="7326" spans="1:2" x14ac:dyDescent="0.2">
      <c r="A7326">
        <v>7320</v>
      </c>
      <c r="B7326" t="s">
        <v>54</v>
      </c>
    </row>
    <row r="7327" spans="1:2" x14ac:dyDescent="0.2">
      <c r="A7327">
        <v>7321</v>
      </c>
      <c r="B7327" t="s">
        <v>54</v>
      </c>
    </row>
    <row r="7328" spans="1:2" x14ac:dyDescent="0.2">
      <c r="A7328">
        <v>7322</v>
      </c>
      <c r="B7328" t="s">
        <v>54</v>
      </c>
    </row>
    <row r="7329" spans="1:2" x14ac:dyDescent="0.2">
      <c r="A7329">
        <v>7323</v>
      </c>
      <c r="B7329" t="s">
        <v>54</v>
      </c>
    </row>
    <row r="7330" spans="1:2" x14ac:dyDescent="0.2">
      <c r="A7330">
        <v>7324</v>
      </c>
      <c r="B7330" t="s">
        <v>54</v>
      </c>
    </row>
    <row r="7331" spans="1:2" x14ac:dyDescent="0.2">
      <c r="A7331">
        <v>7325</v>
      </c>
      <c r="B7331" t="s">
        <v>54</v>
      </c>
    </row>
    <row r="7332" spans="1:2" x14ac:dyDescent="0.2">
      <c r="A7332">
        <v>7326</v>
      </c>
      <c r="B7332" t="s">
        <v>54</v>
      </c>
    </row>
    <row r="7333" spans="1:2" x14ac:dyDescent="0.2">
      <c r="A7333">
        <v>7327</v>
      </c>
      <c r="B7333" t="s">
        <v>54</v>
      </c>
    </row>
    <row r="7334" spans="1:2" x14ac:dyDescent="0.2">
      <c r="A7334">
        <v>7328</v>
      </c>
      <c r="B7334" t="s">
        <v>54</v>
      </c>
    </row>
    <row r="7335" spans="1:2" x14ac:dyDescent="0.2">
      <c r="A7335">
        <v>7329</v>
      </c>
      <c r="B7335" t="s">
        <v>54</v>
      </c>
    </row>
    <row r="7336" spans="1:2" x14ac:dyDescent="0.2">
      <c r="A7336">
        <v>7330</v>
      </c>
      <c r="B7336" t="s">
        <v>54</v>
      </c>
    </row>
    <row r="7337" spans="1:2" x14ac:dyDescent="0.2">
      <c r="A7337">
        <v>7331</v>
      </c>
      <c r="B7337" t="s">
        <v>54</v>
      </c>
    </row>
    <row r="7338" spans="1:2" x14ac:dyDescent="0.2">
      <c r="A7338">
        <v>7332</v>
      </c>
      <c r="B7338" t="s">
        <v>54</v>
      </c>
    </row>
    <row r="7339" spans="1:2" x14ac:dyDescent="0.2">
      <c r="A7339">
        <v>7333</v>
      </c>
      <c r="B7339" t="s">
        <v>54</v>
      </c>
    </row>
    <row r="7340" spans="1:2" x14ac:dyDescent="0.2">
      <c r="A7340">
        <v>7334</v>
      </c>
      <c r="B7340" t="s">
        <v>54</v>
      </c>
    </row>
    <row r="7341" spans="1:2" x14ac:dyDescent="0.2">
      <c r="A7341">
        <v>7335</v>
      </c>
      <c r="B7341" t="s">
        <v>54</v>
      </c>
    </row>
    <row r="7342" spans="1:2" x14ac:dyDescent="0.2">
      <c r="A7342">
        <v>7336</v>
      </c>
      <c r="B7342" t="s">
        <v>54</v>
      </c>
    </row>
    <row r="7343" spans="1:2" x14ac:dyDescent="0.2">
      <c r="A7343">
        <v>7337</v>
      </c>
      <c r="B7343" t="s">
        <v>54</v>
      </c>
    </row>
    <row r="7344" spans="1:2" x14ac:dyDescent="0.2">
      <c r="A7344">
        <v>7338</v>
      </c>
      <c r="B7344" t="s">
        <v>54</v>
      </c>
    </row>
    <row r="7345" spans="1:2" x14ac:dyDescent="0.2">
      <c r="A7345">
        <v>7339</v>
      </c>
      <c r="B7345" t="s">
        <v>54</v>
      </c>
    </row>
    <row r="7346" spans="1:2" x14ac:dyDescent="0.2">
      <c r="A7346">
        <v>7340</v>
      </c>
      <c r="B7346" t="s">
        <v>54</v>
      </c>
    </row>
    <row r="7347" spans="1:2" x14ac:dyDescent="0.2">
      <c r="A7347">
        <v>7341</v>
      </c>
      <c r="B7347" t="s">
        <v>54</v>
      </c>
    </row>
    <row r="7348" spans="1:2" x14ac:dyDescent="0.2">
      <c r="A7348">
        <v>7342</v>
      </c>
      <c r="B7348" t="s">
        <v>54</v>
      </c>
    </row>
    <row r="7349" spans="1:2" x14ac:dyDescent="0.2">
      <c r="A7349">
        <v>7343</v>
      </c>
      <c r="B7349" t="s">
        <v>54</v>
      </c>
    </row>
    <row r="7350" spans="1:2" x14ac:dyDescent="0.2">
      <c r="A7350">
        <v>7344</v>
      </c>
      <c r="B7350" t="s">
        <v>54</v>
      </c>
    </row>
    <row r="7351" spans="1:2" x14ac:dyDescent="0.2">
      <c r="A7351">
        <v>7345</v>
      </c>
      <c r="B7351" t="s">
        <v>54</v>
      </c>
    </row>
    <row r="7352" spans="1:2" x14ac:dyDescent="0.2">
      <c r="A7352">
        <v>7346</v>
      </c>
      <c r="B7352" t="s">
        <v>54</v>
      </c>
    </row>
    <row r="7353" spans="1:2" x14ac:dyDescent="0.2">
      <c r="A7353">
        <v>7347</v>
      </c>
      <c r="B7353" t="s">
        <v>54</v>
      </c>
    </row>
    <row r="7354" spans="1:2" x14ac:dyDescent="0.2">
      <c r="A7354">
        <v>7348</v>
      </c>
      <c r="B7354" t="s">
        <v>54</v>
      </c>
    </row>
    <row r="7355" spans="1:2" x14ac:dyDescent="0.2">
      <c r="A7355">
        <v>7349</v>
      </c>
      <c r="B7355" t="s">
        <v>54</v>
      </c>
    </row>
    <row r="7356" spans="1:2" x14ac:dyDescent="0.2">
      <c r="A7356">
        <v>7350</v>
      </c>
      <c r="B7356" t="s">
        <v>54</v>
      </c>
    </row>
    <row r="7357" spans="1:2" x14ac:dyDescent="0.2">
      <c r="A7357">
        <v>7351</v>
      </c>
      <c r="B7357" t="s">
        <v>54</v>
      </c>
    </row>
    <row r="7358" spans="1:2" x14ac:dyDescent="0.2">
      <c r="A7358">
        <v>7352</v>
      </c>
      <c r="B7358" t="s">
        <v>54</v>
      </c>
    </row>
    <row r="7359" spans="1:2" x14ac:dyDescent="0.2">
      <c r="A7359">
        <v>7353</v>
      </c>
      <c r="B7359" t="s">
        <v>54</v>
      </c>
    </row>
    <row r="7360" spans="1:2" x14ac:dyDescent="0.2">
      <c r="A7360">
        <v>7354</v>
      </c>
      <c r="B7360" t="s">
        <v>54</v>
      </c>
    </row>
    <row r="7361" spans="1:2" x14ac:dyDescent="0.2">
      <c r="A7361">
        <v>7355</v>
      </c>
      <c r="B7361" t="s">
        <v>54</v>
      </c>
    </row>
    <row r="7362" spans="1:2" x14ac:dyDescent="0.2">
      <c r="A7362">
        <v>7356</v>
      </c>
      <c r="B7362" t="s">
        <v>54</v>
      </c>
    </row>
    <row r="7363" spans="1:2" x14ac:dyDescent="0.2">
      <c r="A7363">
        <v>7357</v>
      </c>
      <c r="B7363" t="s">
        <v>54</v>
      </c>
    </row>
    <row r="7364" spans="1:2" x14ac:dyDescent="0.2">
      <c r="A7364">
        <v>7358</v>
      </c>
      <c r="B7364" t="s">
        <v>54</v>
      </c>
    </row>
    <row r="7365" spans="1:2" x14ac:dyDescent="0.2">
      <c r="A7365">
        <v>7359</v>
      </c>
      <c r="B7365" t="s">
        <v>54</v>
      </c>
    </row>
    <row r="7366" spans="1:2" x14ac:dyDescent="0.2">
      <c r="A7366">
        <v>7360</v>
      </c>
      <c r="B7366" t="s">
        <v>54</v>
      </c>
    </row>
    <row r="7367" spans="1:2" x14ac:dyDescent="0.2">
      <c r="A7367">
        <v>7361</v>
      </c>
      <c r="B7367" t="s">
        <v>54</v>
      </c>
    </row>
    <row r="7368" spans="1:2" x14ac:dyDescent="0.2">
      <c r="A7368">
        <v>7362</v>
      </c>
      <c r="B7368" t="s">
        <v>54</v>
      </c>
    </row>
    <row r="7369" spans="1:2" x14ac:dyDescent="0.2">
      <c r="A7369">
        <v>7363</v>
      </c>
      <c r="B7369" t="s">
        <v>54</v>
      </c>
    </row>
    <row r="7370" spans="1:2" x14ac:dyDescent="0.2">
      <c r="A7370">
        <v>7364</v>
      </c>
      <c r="B7370" t="s">
        <v>54</v>
      </c>
    </row>
    <row r="7371" spans="1:2" x14ac:dyDescent="0.2">
      <c r="A7371">
        <v>7365</v>
      </c>
      <c r="B7371" t="s">
        <v>54</v>
      </c>
    </row>
    <row r="7372" spans="1:2" x14ac:dyDescent="0.2">
      <c r="A7372">
        <v>7366</v>
      </c>
      <c r="B7372" t="s">
        <v>54</v>
      </c>
    </row>
    <row r="7373" spans="1:2" x14ac:dyDescent="0.2">
      <c r="A7373">
        <v>7367</v>
      </c>
      <c r="B7373" t="s">
        <v>54</v>
      </c>
    </row>
    <row r="7374" spans="1:2" x14ac:dyDescent="0.2">
      <c r="A7374">
        <v>7368</v>
      </c>
      <c r="B7374" t="s">
        <v>54</v>
      </c>
    </row>
    <row r="7375" spans="1:2" x14ac:dyDescent="0.2">
      <c r="A7375">
        <v>7369</v>
      </c>
      <c r="B7375" t="s">
        <v>54</v>
      </c>
    </row>
    <row r="7376" spans="1:2" x14ac:dyDescent="0.2">
      <c r="A7376">
        <v>7370</v>
      </c>
      <c r="B7376" t="s">
        <v>54</v>
      </c>
    </row>
    <row r="7377" spans="1:2" x14ac:dyDescent="0.2">
      <c r="A7377">
        <v>7371</v>
      </c>
      <c r="B7377" t="s">
        <v>54</v>
      </c>
    </row>
    <row r="7378" spans="1:2" x14ac:dyDescent="0.2">
      <c r="A7378">
        <v>7372</v>
      </c>
      <c r="B7378" t="s">
        <v>54</v>
      </c>
    </row>
    <row r="7379" spans="1:2" x14ac:dyDescent="0.2">
      <c r="A7379">
        <v>7373</v>
      </c>
      <c r="B7379" t="s">
        <v>54</v>
      </c>
    </row>
    <row r="7380" spans="1:2" x14ac:dyDescent="0.2">
      <c r="A7380">
        <v>7374</v>
      </c>
      <c r="B7380" t="s">
        <v>54</v>
      </c>
    </row>
    <row r="7381" spans="1:2" x14ac:dyDescent="0.2">
      <c r="A7381">
        <v>7375</v>
      </c>
      <c r="B7381" t="s">
        <v>54</v>
      </c>
    </row>
    <row r="7382" spans="1:2" x14ac:dyDescent="0.2">
      <c r="A7382">
        <v>7376</v>
      </c>
      <c r="B7382" t="s">
        <v>54</v>
      </c>
    </row>
    <row r="7383" spans="1:2" x14ac:dyDescent="0.2">
      <c r="A7383">
        <v>7377</v>
      </c>
      <c r="B7383" t="s">
        <v>54</v>
      </c>
    </row>
    <row r="7384" spans="1:2" x14ac:dyDescent="0.2">
      <c r="A7384">
        <v>7378</v>
      </c>
      <c r="B7384" t="s">
        <v>54</v>
      </c>
    </row>
    <row r="7385" spans="1:2" x14ac:dyDescent="0.2">
      <c r="A7385">
        <v>7379</v>
      </c>
      <c r="B7385" t="s">
        <v>54</v>
      </c>
    </row>
    <row r="7386" spans="1:2" x14ac:dyDescent="0.2">
      <c r="A7386">
        <v>7380</v>
      </c>
      <c r="B7386" t="s">
        <v>54</v>
      </c>
    </row>
    <row r="7387" spans="1:2" x14ac:dyDescent="0.2">
      <c r="A7387">
        <v>7381</v>
      </c>
      <c r="B7387" t="s">
        <v>54</v>
      </c>
    </row>
    <row r="7388" spans="1:2" x14ac:dyDescent="0.2">
      <c r="A7388">
        <v>7382</v>
      </c>
      <c r="B7388" t="s">
        <v>54</v>
      </c>
    </row>
    <row r="7389" spans="1:2" x14ac:dyDescent="0.2">
      <c r="A7389">
        <v>7383</v>
      </c>
      <c r="B7389" t="s">
        <v>54</v>
      </c>
    </row>
    <row r="7390" spans="1:2" x14ac:dyDescent="0.2">
      <c r="A7390">
        <v>7384</v>
      </c>
      <c r="B7390" t="s">
        <v>54</v>
      </c>
    </row>
    <row r="7391" spans="1:2" x14ac:dyDescent="0.2">
      <c r="A7391">
        <v>7385</v>
      </c>
      <c r="B7391" t="s">
        <v>54</v>
      </c>
    </row>
    <row r="7392" spans="1:2" x14ac:dyDescent="0.2">
      <c r="A7392">
        <v>7386</v>
      </c>
      <c r="B7392" t="s">
        <v>54</v>
      </c>
    </row>
    <row r="7393" spans="1:2" x14ac:dyDescent="0.2">
      <c r="A7393">
        <v>7387</v>
      </c>
      <c r="B7393" t="s">
        <v>54</v>
      </c>
    </row>
    <row r="7394" spans="1:2" x14ac:dyDescent="0.2">
      <c r="A7394">
        <v>7388</v>
      </c>
      <c r="B7394" t="s">
        <v>54</v>
      </c>
    </row>
    <row r="7395" spans="1:2" x14ac:dyDescent="0.2">
      <c r="A7395">
        <v>7389</v>
      </c>
      <c r="B7395" t="s">
        <v>54</v>
      </c>
    </row>
    <row r="7396" spans="1:2" x14ac:dyDescent="0.2">
      <c r="A7396">
        <v>7390</v>
      </c>
      <c r="B7396" t="s">
        <v>54</v>
      </c>
    </row>
    <row r="7397" spans="1:2" x14ac:dyDescent="0.2">
      <c r="A7397">
        <v>7391</v>
      </c>
      <c r="B7397" t="s">
        <v>54</v>
      </c>
    </row>
    <row r="7398" spans="1:2" x14ac:dyDescent="0.2">
      <c r="A7398">
        <v>7392</v>
      </c>
      <c r="B7398" t="s">
        <v>54</v>
      </c>
    </row>
    <row r="7399" spans="1:2" x14ac:dyDescent="0.2">
      <c r="A7399">
        <v>7393</v>
      </c>
      <c r="B7399" t="s">
        <v>54</v>
      </c>
    </row>
    <row r="7400" spans="1:2" x14ac:dyDescent="0.2">
      <c r="A7400">
        <v>7394</v>
      </c>
      <c r="B7400" t="s">
        <v>54</v>
      </c>
    </row>
    <row r="7401" spans="1:2" x14ac:dyDescent="0.2">
      <c r="A7401">
        <v>7395</v>
      </c>
      <c r="B7401" t="s">
        <v>54</v>
      </c>
    </row>
    <row r="7402" spans="1:2" x14ac:dyDescent="0.2">
      <c r="A7402">
        <v>7396</v>
      </c>
      <c r="B7402" t="s">
        <v>54</v>
      </c>
    </row>
    <row r="7403" spans="1:2" x14ac:dyDescent="0.2">
      <c r="A7403">
        <v>7397</v>
      </c>
      <c r="B7403" t="s">
        <v>54</v>
      </c>
    </row>
    <row r="7404" spans="1:2" x14ac:dyDescent="0.2">
      <c r="A7404">
        <v>7398</v>
      </c>
      <c r="B7404" t="s">
        <v>54</v>
      </c>
    </row>
    <row r="7405" spans="1:2" x14ac:dyDescent="0.2">
      <c r="A7405">
        <v>7399</v>
      </c>
      <c r="B7405" t="s">
        <v>54</v>
      </c>
    </row>
    <row r="7406" spans="1:2" x14ac:dyDescent="0.2">
      <c r="A7406">
        <v>7400</v>
      </c>
      <c r="B7406" t="s">
        <v>54</v>
      </c>
    </row>
    <row r="7407" spans="1:2" x14ac:dyDescent="0.2">
      <c r="A7407">
        <v>7401</v>
      </c>
      <c r="B7407" t="s">
        <v>54</v>
      </c>
    </row>
    <row r="7408" spans="1:2" x14ac:dyDescent="0.2">
      <c r="A7408">
        <v>7402</v>
      </c>
      <c r="B7408" t="s">
        <v>54</v>
      </c>
    </row>
    <row r="7409" spans="1:2" x14ac:dyDescent="0.2">
      <c r="A7409">
        <v>7403</v>
      </c>
      <c r="B7409" t="s">
        <v>54</v>
      </c>
    </row>
    <row r="7410" spans="1:2" x14ac:dyDescent="0.2">
      <c r="A7410">
        <v>7404</v>
      </c>
      <c r="B7410" t="s">
        <v>54</v>
      </c>
    </row>
    <row r="7411" spans="1:2" x14ac:dyDescent="0.2">
      <c r="A7411">
        <v>7405</v>
      </c>
      <c r="B7411" t="s">
        <v>54</v>
      </c>
    </row>
    <row r="7412" spans="1:2" x14ac:dyDescent="0.2">
      <c r="A7412">
        <v>7406</v>
      </c>
      <c r="B7412" t="s">
        <v>54</v>
      </c>
    </row>
    <row r="7413" spans="1:2" x14ac:dyDescent="0.2">
      <c r="A7413">
        <v>7407</v>
      </c>
      <c r="B7413" t="s">
        <v>54</v>
      </c>
    </row>
    <row r="7414" spans="1:2" x14ac:dyDescent="0.2">
      <c r="A7414">
        <v>7408</v>
      </c>
      <c r="B7414" t="s">
        <v>54</v>
      </c>
    </row>
    <row r="7415" spans="1:2" x14ac:dyDescent="0.2">
      <c r="A7415">
        <v>7409</v>
      </c>
      <c r="B7415" t="s">
        <v>54</v>
      </c>
    </row>
    <row r="7416" spans="1:2" x14ac:dyDescent="0.2">
      <c r="A7416">
        <v>7410</v>
      </c>
      <c r="B7416" t="s">
        <v>54</v>
      </c>
    </row>
    <row r="7417" spans="1:2" x14ac:dyDescent="0.2">
      <c r="A7417">
        <v>7411</v>
      </c>
      <c r="B7417" t="s">
        <v>54</v>
      </c>
    </row>
    <row r="7418" spans="1:2" x14ac:dyDescent="0.2">
      <c r="A7418">
        <v>7412</v>
      </c>
      <c r="B7418" t="s">
        <v>54</v>
      </c>
    </row>
    <row r="7419" spans="1:2" x14ac:dyDescent="0.2">
      <c r="A7419">
        <v>7413</v>
      </c>
      <c r="B7419" t="s">
        <v>54</v>
      </c>
    </row>
    <row r="7420" spans="1:2" x14ac:dyDescent="0.2">
      <c r="A7420">
        <v>7414</v>
      </c>
      <c r="B7420" t="s">
        <v>54</v>
      </c>
    </row>
    <row r="7421" spans="1:2" x14ac:dyDescent="0.2">
      <c r="A7421">
        <v>7415</v>
      </c>
      <c r="B7421" t="s">
        <v>54</v>
      </c>
    </row>
    <row r="7422" spans="1:2" x14ac:dyDescent="0.2">
      <c r="A7422">
        <v>7416</v>
      </c>
      <c r="B7422" t="s">
        <v>54</v>
      </c>
    </row>
    <row r="7423" spans="1:2" x14ac:dyDescent="0.2">
      <c r="A7423">
        <v>7417</v>
      </c>
      <c r="B7423" t="s">
        <v>54</v>
      </c>
    </row>
    <row r="7424" spans="1:2" x14ac:dyDescent="0.2">
      <c r="A7424">
        <v>7418</v>
      </c>
      <c r="B7424" t="s">
        <v>54</v>
      </c>
    </row>
    <row r="7425" spans="1:2" x14ac:dyDescent="0.2">
      <c r="A7425">
        <v>7419</v>
      </c>
      <c r="B7425" t="s">
        <v>54</v>
      </c>
    </row>
    <row r="7426" spans="1:2" x14ac:dyDescent="0.2">
      <c r="A7426">
        <v>7420</v>
      </c>
      <c r="B7426" t="s">
        <v>54</v>
      </c>
    </row>
    <row r="7427" spans="1:2" x14ac:dyDescent="0.2">
      <c r="A7427">
        <v>7421</v>
      </c>
      <c r="B7427" t="s">
        <v>54</v>
      </c>
    </row>
    <row r="7428" spans="1:2" x14ac:dyDescent="0.2">
      <c r="A7428">
        <v>7422</v>
      </c>
      <c r="B7428" t="s">
        <v>54</v>
      </c>
    </row>
    <row r="7429" spans="1:2" x14ac:dyDescent="0.2">
      <c r="A7429">
        <v>7423</v>
      </c>
      <c r="B7429" t="s">
        <v>54</v>
      </c>
    </row>
    <row r="7430" spans="1:2" x14ac:dyDescent="0.2">
      <c r="A7430">
        <v>7424</v>
      </c>
      <c r="B7430" t="s">
        <v>54</v>
      </c>
    </row>
    <row r="7431" spans="1:2" x14ac:dyDescent="0.2">
      <c r="A7431">
        <v>7425</v>
      </c>
      <c r="B7431" t="s">
        <v>54</v>
      </c>
    </row>
    <row r="7432" spans="1:2" x14ac:dyDescent="0.2">
      <c r="A7432">
        <v>7426</v>
      </c>
      <c r="B7432" t="s">
        <v>54</v>
      </c>
    </row>
    <row r="7433" spans="1:2" x14ac:dyDescent="0.2">
      <c r="A7433">
        <v>7427</v>
      </c>
      <c r="B7433" t="s">
        <v>54</v>
      </c>
    </row>
    <row r="7434" spans="1:2" x14ac:dyDescent="0.2">
      <c r="A7434">
        <v>7428</v>
      </c>
      <c r="B7434" t="s">
        <v>54</v>
      </c>
    </row>
    <row r="7435" spans="1:2" x14ac:dyDescent="0.2">
      <c r="A7435">
        <v>7429</v>
      </c>
      <c r="B7435" t="s">
        <v>54</v>
      </c>
    </row>
    <row r="7436" spans="1:2" x14ac:dyDescent="0.2">
      <c r="A7436">
        <v>7430</v>
      </c>
      <c r="B7436" t="s">
        <v>54</v>
      </c>
    </row>
    <row r="7437" spans="1:2" x14ac:dyDescent="0.2">
      <c r="A7437">
        <v>7431</v>
      </c>
      <c r="B7437" t="s">
        <v>54</v>
      </c>
    </row>
    <row r="7438" spans="1:2" x14ac:dyDescent="0.2">
      <c r="A7438">
        <v>7432</v>
      </c>
      <c r="B7438" t="s">
        <v>54</v>
      </c>
    </row>
    <row r="7439" spans="1:2" x14ac:dyDescent="0.2">
      <c r="A7439">
        <v>7433</v>
      </c>
      <c r="B7439" t="s">
        <v>54</v>
      </c>
    </row>
    <row r="7440" spans="1:2" x14ac:dyDescent="0.2">
      <c r="A7440">
        <v>7434</v>
      </c>
      <c r="B7440" t="s">
        <v>54</v>
      </c>
    </row>
    <row r="7441" spans="1:2" x14ac:dyDescent="0.2">
      <c r="A7441">
        <v>7435</v>
      </c>
      <c r="B7441" t="s">
        <v>54</v>
      </c>
    </row>
    <row r="7442" spans="1:2" x14ac:dyDescent="0.2">
      <c r="A7442">
        <v>7436</v>
      </c>
      <c r="B7442" t="s">
        <v>54</v>
      </c>
    </row>
    <row r="7443" spans="1:2" x14ac:dyDescent="0.2">
      <c r="A7443">
        <v>7437</v>
      </c>
      <c r="B7443" t="s">
        <v>54</v>
      </c>
    </row>
    <row r="7444" spans="1:2" x14ac:dyDescent="0.2">
      <c r="A7444">
        <v>7438</v>
      </c>
      <c r="B7444" t="s">
        <v>54</v>
      </c>
    </row>
    <row r="7445" spans="1:2" x14ac:dyDescent="0.2">
      <c r="A7445">
        <v>7439</v>
      </c>
      <c r="B7445" t="s">
        <v>54</v>
      </c>
    </row>
    <row r="7446" spans="1:2" x14ac:dyDescent="0.2">
      <c r="A7446">
        <v>7440</v>
      </c>
      <c r="B7446" t="s">
        <v>54</v>
      </c>
    </row>
    <row r="7447" spans="1:2" x14ac:dyDescent="0.2">
      <c r="A7447">
        <v>7441</v>
      </c>
      <c r="B7447" t="s">
        <v>54</v>
      </c>
    </row>
    <row r="7448" spans="1:2" x14ac:dyDescent="0.2">
      <c r="A7448">
        <v>7442</v>
      </c>
      <c r="B7448" t="s">
        <v>54</v>
      </c>
    </row>
    <row r="7449" spans="1:2" x14ac:dyDescent="0.2">
      <c r="A7449">
        <v>7443</v>
      </c>
      <c r="B7449" t="s">
        <v>54</v>
      </c>
    </row>
    <row r="7450" spans="1:2" x14ac:dyDescent="0.2">
      <c r="A7450">
        <v>7444</v>
      </c>
      <c r="B7450" t="s">
        <v>54</v>
      </c>
    </row>
    <row r="7451" spans="1:2" x14ac:dyDescent="0.2">
      <c r="A7451">
        <v>7445</v>
      </c>
      <c r="B7451" t="s">
        <v>54</v>
      </c>
    </row>
    <row r="7452" spans="1:2" x14ac:dyDescent="0.2">
      <c r="A7452">
        <v>7446</v>
      </c>
      <c r="B7452" t="s">
        <v>54</v>
      </c>
    </row>
    <row r="7453" spans="1:2" x14ac:dyDescent="0.2">
      <c r="A7453">
        <v>7447</v>
      </c>
      <c r="B7453" t="s">
        <v>54</v>
      </c>
    </row>
    <row r="7454" spans="1:2" x14ac:dyDescent="0.2">
      <c r="A7454">
        <v>7448</v>
      </c>
      <c r="B7454" t="s">
        <v>54</v>
      </c>
    </row>
    <row r="7455" spans="1:2" x14ac:dyDescent="0.2">
      <c r="A7455">
        <v>7449</v>
      </c>
      <c r="B7455" t="s">
        <v>54</v>
      </c>
    </row>
    <row r="7456" spans="1:2" x14ac:dyDescent="0.2">
      <c r="A7456">
        <v>7450</v>
      </c>
      <c r="B7456" t="s">
        <v>54</v>
      </c>
    </row>
    <row r="7457" spans="1:2" x14ac:dyDescent="0.2">
      <c r="A7457">
        <v>7451</v>
      </c>
      <c r="B7457" t="s">
        <v>54</v>
      </c>
    </row>
    <row r="7458" spans="1:2" x14ac:dyDescent="0.2">
      <c r="A7458">
        <v>7452</v>
      </c>
      <c r="B7458" t="s">
        <v>54</v>
      </c>
    </row>
    <row r="7459" spans="1:2" x14ac:dyDescent="0.2">
      <c r="A7459">
        <v>7453</v>
      </c>
      <c r="B7459" t="s">
        <v>54</v>
      </c>
    </row>
    <row r="7460" spans="1:2" x14ac:dyDescent="0.2">
      <c r="A7460">
        <v>7454</v>
      </c>
      <c r="B7460" t="s">
        <v>54</v>
      </c>
    </row>
    <row r="7461" spans="1:2" x14ac:dyDescent="0.2">
      <c r="A7461">
        <v>7455</v>
      </c>
      <c r="B7461" t="s">
        <v>54</v>
      </c>
    </row>
    <row r="7462" spans="1:2" x14ac:dyDescent="0.2">
      <c r="A7462">
        <v>7456</v>
      </c>
      <c r="B7462" t="s">
        <v>54</v>
      </c>
    </row>
    <row r="7463" spans="1:2" x14ac:dyDescent="0.2">
      <c r="A7463">
        <v>7457</v>
      </c>
      <c r="B7463" t="s">
        <v>54</v>
      </c>
    </row>
    <row r="7464" spans="1:2" x14ac:dyDescent="0.2">
      <c r="A7464">
        <v>7458</v>
      </c>
      <c r="B7464" t="s">
        <v>54</v>
      </c>
    </row>
    <row r="7465" spans="1:2" x14ac:dyDescent="0.2">
      <c r="A7465">
        <v>7459</v>
      </c>
      <c r="B7465" t="s">
        <v>54</v>
      </c>
    </row>
    <row r="7466" spans="1:2" x14ac:dyDescent="0.2">
      <c r="A7466">
        <v>7460</v>
      </c>
      <c r="B7466" t="s">
        <v>54</v>
      </c>
    </row>
    <row r="7467" spans="1:2" x14ac:dyDescent="0.2">
      <c r="A7467">
        <v>7461</v>
      </c>
      <c r="B7467" t="s">
        <v>54</v>
      </c>
    </row>
    <row r="7468" spans="1:2" x14ac:dyDescent="0.2">
      <c r="A7468">
        <v>7462</v>
      </c>
      <c r="B7468" t="s">
        <v>54</v>
      </c>
    </row>
    <row r="7469" spans="1:2" x14ac:dyDescent="0.2">
      <c r="A7469">
        <v>7463</v>
      </c>
      <c r="B7469" t="s">
        <v>54</v>
      </c>
    </row>
    <row r="7470" spans="1:2" x14ac:dyDescent="0.2">
      <c r="A7470">
        <v>7464</v>
      </c>
      <c r="B7470" t="s">
        <v>54</v>
      </c>
    </row>
    <row r="7471" spans="1:2" x14ac:dyDescent="0.2">
      <c r="A7471">
        <v>7465</v>
      </c>
      <c r="B7471" t="s">
        <v>54</v>
      </c>
    </row>
    <row r="7472" spans="1:2" x14ac:dyDescent="0.2">
      <c r="A7472">
        <v>7466</v>
      </c>
      <c r="B7472" t="s">
        <v>54</v>
      </c>
    </row>
    <row r="7473" spans="1:2" x14ac:dyDescent="0.2">
      <c r="A7473">
        <v>7467</v>
      </c>
      <c r="B7473" t="s">
        <v>54</v>
      </c>
    </row>
    <row r="7474" spans="1:2" x14ac:dyDescent="0.2">
      <c r="A7474">
        <v>7468</v>
      </c>
      <c r="B7474" t="s">
        <v>54</v>
      </c>
    </row>
    <row r="7475" spans="1:2" x14ac:dyDescent="0.2">
      <c r="A7475">
        <v>7469</v>
      </c>
      <c r="B7475" t="s">
        <v>54</v>
      </c>
    </row>
    <row r="7476" spans="1:2" x14ac:dyDescent="0.2">
      <c r="A7476">
        <v>7470</v>
      </c>
      <c r="B7476" t="s">
        <v>54</v>
      </c>
    </row>
    <row r="7477" spans="1:2" x14ac:dyDescent="0.2">
      <c r="A7477">
        <v>7471</v>
      </c>
      <c r="B7477" t="s">
        <v>54</v>
      </c>
    </row>
    <row r="7478" spans="1:2" x14ac:dyDescent="0.2">
      <c r="A7478">
        <v>7472</v>
      </c>
      <c r="B7478" t="s">
        <v>54</v>
      </c>
    </row>
    <row r="7479" spans="1:2" x14ac:dyDescent="0.2">
      <c r="A7479">
        <v>7473</v>
      </c>
      <c r="B7479" t="s">
        <v>54</v>
      </c>
    </row>
    <row r="7480" spans="1:2" x14ac:dyDescent="0.2">
      <c r="A7480">
        <v>7474</v>
      </c>
      <c r="B7480" t="s">
        <v>54</v>
      </c>
    </row>
    <row r="7481" spans="1:2" x14ac:dyDescent="0.2">
      <c r="A7481">
        <v>7475</v>
      </c>
      <c r="B7481" t="s">
        <v>54</v>
      </c>
    </row>
    <row r="7482" spans="1:2" x14ac:dyDescent="0.2">
      <c r="A7482">
        <v>7476</v>
      </c>
      <c r="B7482" t="s">
        <v>54</v>
      </c>
    </row>
    <row r="7483" spans="1:2" x14ac:dyDescent="0.2">
      <c r="A7483">
        <v>7477</v>
      </c>
      <c r="B7483" t="s">
        <v>54</v>
      </c>
    </row>
    <row r="7484" spans="1:2" x14ac:dyDescent="0.2">
      <c r="A7484">
        <v>7478</v>
      </c>
      <c r="B7484" t="s">
        <v>54</v>
      </c>
    </row>
    <row r="7485" spans="1:2" x14ac:dyDescent="0.2">
      <c r="A7485">
        <v>7479</v>
      </c>
      <c r="B7485" t="s">
        <v>54</v>
      </c>
    </row>
    <row r="7486" spans="1:2" x14ac:dyDescent="0.2">
      <c r="A7486">
        <v>7480</v>
      </c>
      <c r="B7486" t="s">
        <v>54</v>
      </c>
    </row>
    <row r="7487" spans="1:2" x14ac:dyDescent="0.2">
      <c r="A7487">
        <v>7481</v>
      </c>
      <c r="B7487" t="s">
        <v>54</v>
      </c>
    </row>
    <row r="7488" spans="1:2" x14ac:dyDescent="0.2">
      <c r="A7488">
        <v>7482</v>
      </c>
      <c r="B7488" t="s">
        <v>54</v>
      </c>
    </row>
    <row r="7489" spans="1:2" x14ac:dyDescent="0.2">
      <c r="A7489">
        <v>7483</v>
      </c>
      <c r="B7489" t="s">
        <v>54</v>
      </c>
    </row>
    <row r="7490" spans="1:2" x14ac:dyDescent="0.2">
      <c r="A7490">
        <v>7484</v>
      </c>
      <c r="B7490" t="s">
        <v>54</v>
      </c>
    </row>
    <row r="7491" spans="1:2" x14ac:dyDescent="0.2">
      <c r="A7491">
        <v>7485</v>
      </c>
      <c r="B7491" t="s">
        <v>54</v>
      </c>
    </row>
    <row r="7492" spans="1:2" x14ac:dyDescent="0.2">
      <c r="A7492">
        <v>7486</v>
      </c>
      <c r="B7492" t="s">
        <v>54</v>
      </c>
    </row>
    <row r="7493" spans="1:2" x14ac:dyDescent="0.2">
      <c r="A7493">
        <v>7487</v>
      </c>
      <c r="B7493" t="s">
        <v>54</v>
      </c>
    </row>
    <row r="7494" spans="1:2" x14ac:dyDescent="0.2">
      <c r="A7494">
        <v>7488</v>
      </c>
      <c r="B7494" t="s">
        <v>54</v>
      </c>
    </row>
    <row r="7495" spans="1:2" x14ac:dyDescent="0.2">
      <c r="A7495">
        <v>7489</v>
      </c>
      <c r="B7495" t="s">
        <v>54</v>
      </c>
    </row>
    <row r="7496" spans="1:2" x14ac:dyDescent="0.2">
      <c r="A7496">
        <v>7490</v>
      </c>
      <c r="B7496" t="s">
        <v>54</v>
      </c>
    </row>
    <row r="7497" spans="1:2" x14ac:dyDescent="0.2">
      <c r="A7497">
        <v>7491</v>
      </c>
      <c r="B7497" t="s">
        <v>54</v>
      </c>
    </row>
    <row r="7498" spans="1:2" x14ac:dyDescent="0.2">
      <c r="A7498">
        <v>7492</v>
      </c>
      <c r="B7498" t="s">
        <v>54</v>
      </c>
    </row>
    <row r="7499" spans="1:2" x14ac:dyDescent="0.2">
      <c r="A7499">
        <v>7493</v>
      </c>
      <c r="B7499" t="s">
        <v>54</v>
      </c>
    </row>
    <row r="7500" spans="1:2" x14ac:dyDescent="0.2">
      <c r="A7500">
        <v>7494</v>
      </c>
      <c r="B7500" t="s">
        <v>54</v>
      </c>
    </row>
    <row r="7501" spans="1:2" x14ac:dyDescent="0.2">
      <c r="A7501">
        <v>7495</v>
      </c>
      <c r="B7501" t="s">
        <v>54</v>
      </c>
    </row>
    <row r="7502" spans="1:2" x14ac:dyDescent="0.2">
      <c r="A7502">
        <v>7496</v>
      </c>
      <c r="B7502" t="s">
        <v>54</v>
      </c>
    </row>
    <row r="7503" spans="1:2" x14ac:dyDescent="0.2">
      <c r="A7503">
        <v>7497</v>
      </c>
      <c r="B7503" t="s">
        <v>54</v>
      </c>
    </row>
    <row r="7504" spans="1:2" x14ac:dyDescent="0.2">
      <c r="A7504">
        <v>7498</v>
      </c>
      <c r="B7504" t="s">
        <v>54</v>
      </c>
    </row>
    <row r="7505" spans="1:2" x14ac:dyDescent="0.2">
      <c r="A7505">
        <v>7499</v>
      </c>
      <c r="B7505" t="s">
        <v>54</v>
      </c>
    </row>
    <row r="7506" spans="1:2" x14ac:dyDescent="0.2">
      <c r="A7506">
        <v>7500</v>
      </c>
      <c r="B7506" t="s">
        <v>54</v>
      </c>
    </row>
    <row r="7507" spans="1:2" x14ac:dyDescent="0.2">
      <c r="A7507">
        <v>7501</v>
      </c>
      <c r="B7507" t="s">
        <v>54</v>
      </c>
    </row>
    <row r="7508" spans="1:2" x14ac:dyDescent="0.2">
      <c r="A7508">
        <v>7502</v>
      </c>
      <c r="B7508" t="s">
        <v>54</v>
      </c>
    </row>
    <row r="7509" spans="1:2" x14ac:dyDescent="0.2">
      <c r="A7509">
        <v>7503</v>
      </c>
      <c r="B7509" t="s">
        <v>54</v>
      </c>
    </row>
    <row r="7510" spans="1:2" x14ac:dyDescent="0.2">
      <c r="A7510">
        <v>7504</v>
      </c>
      <c r="B7510" t="s">
        <v>54</v>
      </c>
    </row>
    <row r="7511" spans="1:2" x14ac:dyDescent="0.2">
      <c r="A7511">
        <v>7505</v>
      </c>
      <c r="B7511" t="s">
        <v>54</v>
      </c>
    </row>
    <row r="7512" spans="1:2" x14ac:dyDescent="0.2">
      <c r="A7512">
        <v>7506</v>
      </c>
      <c r="B7512" t="s">
        <v>54</v>
      </c>
    </row>
    <row r="7513" spans="1:2" x14ac:dyDescent="0.2">
      <c r="A7513">
        <v>7507</v>
      </c>
      <c r="B7513" t="s">
        <v>54</v>
      </c>
    </row>
    <row r="7514" spans="1:2" x14ac:dyDescent="0.2">
      <c r="A7514">
        <v>7508</v>
      </c>
      <c r="B7514" t="s">
        <v>54</v>
      </c>
    </row>
    <row r="7515" spans="1:2" x14ac:dyDescent="0.2">
      <c r="A7515">
        <v>7509</v>
      </c>
      <c r="B7515" t="s">
        <v>54</v>
      </c>
    </row>
    <row r="7516" spans="1:2" x14ac:dyDescent="0.2">
      <c r="A7516">
        <v>7510</v>
      </c>
      <c r="B7516" t="s">
        <v>54</v>
      </c>
    </row>
    <row r="7517" spans="1:2" x14ac:dyDescent="0.2">
      <c r="A7517">
        <v>7511</v>
      </c>
      <c r="B7517" t="s">
        <v>54</v>
      </c>
    </row>
    <row r="7518" spans="1:2" x14ac:dyDescent="0.2">
      <c r="A7518">
        <v>7512</v>
      </c>
      <c r="B7518" t="s">
        <v>54</v>
      </c>
    </row>
    <row r="7519" spans="1:2" x14ac:dyDescent="0.2">
      <c r="A7519">
        <v>7513</v>
      </c>
      <c r="B7519" t="s">
        <v>54</v>
      </c>
    </row>
    <row r="7520" spans="1:2" x14ac:dyDescent="0.2">
      <c r="A7520">
        <v>7514</v>
      </c>
      <c r="B7520" t="s">
        <v>54</v>
      </c>
    </row>
    <row r="7521" spans="1:2" x14ac:dyDescent="0.2">
      <c r="A7521">
        <v>7515</v>
      </c>
      <c r="B7521" t="s">
        <v>54</v>
      </c>
    </row>
    <row r="7522" spans="1:2" x14ac:dyDescent="0.2">
      <c r="A7522">
        <v>7516</v>
      </c>
      <c r="B7522" t="s">
        <v>54</v>
      </c>
    </row>
    <row r="7523" spans="1:2" x14ac:dyDescent="0.2">
      <c r="A7523">
        <v>7517</v>
      </c>
      <c r="B7523" t="s">
        <v>54</v>
      </c>
    </row>
    <row r="7524" spans="1:2" x14ac:dyDescent="0.2">
      <c r="A7524">
        <v>7518</v>
      </c>
      <c r="B7524" t="s">
        <v>54</v>
      </c>
    </row>
    <row r="7525" spans="1:2" x14ac:dyDescent="0.2">
      <c r="A7525">
        <v>7519</v>
      </c>
      <c r="B7525" t="s">
        <v>54</v>
      </c>
    </row>
    <row r="7526" spans="1:2" x14ac:dyDescent="0.2">
      <c r="A7526">
        <v>7520</v>
      </c>
      <c r="B7526" t="s">
        <v>54</v>
      </c>
    </row>
    <row r="7527" spans="1:2" x14ac:dyDescent="0.2">
      <c r="A7527">
        <v>7521</v>
      </c>
      <c r="B7527" t="s">
        <v>54</v>
      </c>
    </row>
    <row r="7528" spans="1:2" x14ac:dyDescent="0.2">
      <c r="A7528">
        <v>7522</v>
      </c>
      <c r="B7528" t="s">
        <v>54</v>
      </c>
    </row>
    <row r="7529" spans="1:2" x14ac:dyDescent="0.2">
      <c r="A7529">
        <v>7523</v>
      </c>
      <c r="B7529" t="s">
        <v>54</v>
      </c>
    </row>
    <row r="7530" spans="1:2" x14ac:dyDescent="0.2">
      <c r="A7530">
        <v>7524</v>
      </c>
      <c r="B7530" t="s">
        <v>54</v>
      </c>
    </row>
    <row r="7531" spans="1:2" x14ac:dyDescent="0.2">
      <c r="A7531">
        <v>7525</v>
      </c>
      <c r="B7531" t="s">
        <v>54</v>
      </c>
    </row>
    <row r="7532" spans="1:2" x14ac:dyDescent="0.2">
      <c r="A7532">
        <v>7526</v>
      </c>
      <c r="B7532" t="s">
        <v>54</v>
      </c>
    </row>
    <row r="7533" spans="1:2" x14ac:dyDescent="0.2">
      <c r="A7533">
        <v>7527</v>
      </c>
      <c r="B7533" t="s">
        <v>54</v>
      </c>
    </row>
    <row r="7534" spans="1:2" x14ac:dyDescent="0.2">
      <c r="A7534">
        <v>7528</v>
      </c>
      <c r="B7534" t="s">
        <v>54</v>
      </c>
    </row>
    <row r="7535" spans="1:2" x14ac:dyDescent="0.2">
      <c r="A7535">
        <v>7529</v>
      </c>
      <c r="B7535" t="s">
        <v>54</v>
      </c>
    </row>
    <row r="7536" spans="1:2" x14ac:dyDescent="0.2">
      <c r="A7536">
        <v>7530</v>
      </c>
      <c r="B7536" t="s">
        <v>54</v>
      </c>
    </row>
    <row r="7537" spans="1:2" x14ac:dyDescent="0.2">
      <c r="A7537">
        <v>7531</v>
      </c>
      <c r="B7537" t="s">
        <v>54</v>
      </c>
    </row>
    <row r="7538" spans="1:2" x14ac:dyDescent="0.2">
      <c r="A7538">
        <v>7532</v>
      </c>
      <c r="B7538" t="s">
        <v>54</v>
      </c>
    </row>
    <row r="7539" spans="1:2" x14ac:dyDescent="0.2">
      <c r="A7539">
        <v>7533</v>
      </c>
      <c r="B7539" t="s">
        <v>54</v>
      </c>
    </row>
    <row r="7540" spans="1:2" x14ac:dyDescent="0.2">
      <c r="A7540">
        <v>7534</v>
      </c>
      <c r="B7540" t="s">
        <v>54</v>
      </c>
    </row>
    <row r="7541" spans="1:2" x14ac:dyDescent="0.2">
      <c r="A7541">
        <v>7535</v>
      </c>
      <c r="B7541" t="s">
        <v>54</v>
      </c>
    </row>
    <row r="7542" spans="1:2" x14ac:dyDescent="0.2">
      <c r="A7542">
        <v>7536</v>
      </c>
      <c r="B7542" t="s">
        <v>54</v>
      </c>
    </row>
    <row r="7543" spans="1:2" x14ac:dyDescent="0.2">
      <c r="A7543">
        <v>7537</v>
      </c>
      <c r="B7543" t="s">
        <v>54</v>
      </c>
    </row>
    <row r="7544" spans="1:2" x14ac:dyDescent="0.2">
      <c r="A7544">
        <v>7538</v>
      </c>
      <c r="B7544" t="s">
        <v>54</v>
      </c>
    </row>
    <row r="7545" spans="1:2" x14ac:dyDescent="0.2">
      <c r="A7545">
        <v>7539</v>
      </c>
      <c r="B7545" t="s">
        <v>54</v>
      </c>
    </row>
    <row r="7546" spans="1:2" x14ac:dyDescent="0.2">
      <c r="A7546">
        <v>7540</v>
      </c>
      <c r="B7546" t="s">
        <v>54</v>
      </c>
    </row>
    <row r="7547" spans="1:2" x14ac:dyDescent="0.2">
      <c r="A7547">
        <v>7541</v>
      </c>
      <c r="B7547" t="s">
        <v>54</v>
      </c>
    </row>
    <row r="7548" spans="1:2" x14ac:dyDescent="0.2">
      <c r="A7548">
        <v>7542</v>
      </c>
      <c r="B7548" t="s">
        <v>54</v>
      </c>
    </row>
    <row r="7549" spans="1:2" x14ac:dyDescent="0.2">
      <c r="A7549">
        <v>7543</v>
      </c>
      <c r="B7549" t="s">
        <v>54</v>
      </c>
    </row>
    <row r="7550" spans="1:2" x14ac:dyDescent="0.2">
      <c r="A7550">
        <v>7544</v>
      </c>
      <c r="B7550" t="s">
        <v>54</v>
      </c>
    </row>
    <row r="7551" spans="1:2" x14ac:dyDescent="0.2">
      <c r="A7551">
        <v>7545</v>
      </c>
      <c r="B7551" t="s">
        <v>54</v>
      </c>
    </row>
    <row r="7552" spans="1:2" x14ac:dyDescent="0.2">
      <c r="A7552">
        <v>7546</v>
      </c>
      <c r="B7552" t="s">
        <v>54</v>
      </c>
    </row>
    <row r="7553" spans="1:2" x14ac:dyDescent="0.2">
      <c r="A7553">
        <v>7547</v>
      </c>
      <c r="B7553" t="s">
        <v>54</v>
      </c>
    </row>
    <row r="7554" spans="1:2" x14ac:dyDescent="0.2">
      <c r="A7554">
        <v>7548</v>
      </c>
      <c r="B7554" t="s">
        <v>54</v>
      </c>
    </row>
    <row r="7555" spans="1:2" x14ac:dyDescent="0.2">
      <c r="A7555">
        <v>7549</v>
      </c>
      <c r="B7555" t="s">
        <v>54</v>
      </c>
    </row>
    <row r="7556" spans="1:2" x14ac:dyDescent="0.2">
      <c r="A7556">
        <v>7550</v>
      </c>
      <c r="B7556" t="s">
        <v>54</v>
      </c>
    </row>
    <row r="7557" spans="1:2" x14ac:dyDescent="0.2">
      <c r="A7557">
        <v>7551</v>
      </c>
      <c r="B7557" t="s">
        <v>54</v>
      </c>
    </row>
    <row r="7558" spans="1:2" x14ac:dyDescent="0.2">
      <c r="A7558">
        <v>7552</v>
      </c>
      <c r="B7558" t="s">
        <v>54</v>
      </c>
    </row>
    <row r="7559" spans="1:2" x14ac:dyDescent="0.2">
      <c r="A7559">
        <v>7553</v>
      </c>
      <c r="B7559" t="s">
        <v>54</v>
      </c>
    </row>
    <row r="7560" spans="1:2" x14ac:dyDescent="0.2">
      <c r="A7560">
        <v>7554</v>
      </c>
      <c r="B7560" t="s">
        <v>54</v>
      </c>
    </row>
    <row r="7561" spans="1:2" x14ac:dyDescent="0.2">
      <c r="A7561">
        <v>7555</v>
      </c>
      <c r="B7561" t="s">
        <v>54</v>
      </c>
    </row>
    <row r="7562" spans="1:2" x14ac:dyDescent="0.2">
      <c r="A7562">
        <v>7556</v>
      </c>
      <c r="B7562" t="s">
        <v>54</v>
      </c>
    </row>
    <row r="7563" spans="1:2" x14ac:dyDescent="0.2">
      <c r="A7563">
        <v>7557</v>
      </c>
      <c r="B7563" t="s">
        <v>54</v>
      </c>
    </row>
    <row r="7564" spans="1:2" x14ac:dyDescent="0.2">
      <c r="A7564">
        <v>7558</v>
      </c>
      <c r="B7564" t="s">
        <v>54</v>
      </c>
    </row>
    <row r="7565" spans="1:2" x14ac:dyDescent="0.2">
      <c r="A7565">
        <v>7559</v>
      </c>
      <c r="B7565" t="s">
        <v>54</v>
      </c>
    </row>
    <row r="7566" spans="1:2" x14ac:dyDescent="0.2">
      <c r="A7566">
        <v>7560</v>
      </c>
      <c r="B7566" t="s">
        <v>54</v>
      </c>
    </row>
    <row r="7567" spans="1:2" x14ac:dyDescent="0.2">
      <c r="A7567">
        <v>7561</v>
      </c>
      <c r="B7567" t="s">
        <v>54</v>
      </c>
    </row>
    <row r="7568" spans="1:2" x14ac:dyDescent="0.2">
      <c r="A7568">
        <v>7562</v>
      </c>
      <c r="B7568" t="s">
        <v>54</v>
      </c>
    </row>
    <row r="7569" spans="1:2" x14ac:dyDescent="0.2">
      <c r="A7569">
        <v>7563</v>
      </c>
      <c r="B7569" t="s">
        <v>54</v>
      </c>
    </row>
    <row r="7570" spans="1:2" x14ac:dyDescent="0.2">
      <c r="A7570">
        <v>7564</v>
      </c>
      <c r="B7570" t="s">
        <v>54</v>
      </c>
    </row>
    <row r="7571" spans="1:2" x14ac:dyDescent="0.2">
      <c r="A7571">
        <v>7565</v>
      </c>
      <c r="B7571" t="s">
        <v>54</v>
      </c>
    </row>
    <row r="7572" spans="1:2" x14ac:dyDescent="0.2">
      <c r="A7572">
        <v>7566</v>
      </c>
      <c r="B7572" t="s">
        <v>54</v>
      </c>
    </row>
    <row r="7573" spans="1:2" x14ac:dyDescent="0.2">
      <c r="A7573">
        <v>7567</v>
      </c>
      <c r="B7573" t="s">
        <v>54</v>
      </c>
    </row>
    <row r="7574" spans="1:2" x14ac:dyDescent="0.2">
      <c r="A7574">
        <v>7568</v>
      </c>
      <c r="B7574" t="s">
        <v>54</v>
      </c>
    </row>
    <row r="7575" spans="1:2" x14ac:dyDescent="0.2">
      <c r="A7575">
        <v>7569</v>
      </c>
      <c r="B7575" t="s">
        <v>54</v>
      </c>
    </row>
    <row r="7576" spans="1:2" x14ac:dyDescent="0.2">
      <c r="A7576">
        <v>7570</v>
      </c>
      <c r="B7576" t="s">
        <v>54</v>
      </c>
    </row>
    <row r="7577" spans="1:2" x14ac:dyDescent="0.2">
      <c r="A7577">
        <v>7571</v>
      </c>
      <c r="B7577" t="s">
        <v>54</v>
      </c>
    </row>
    <row r="7578" spans="1:2" x14ac:dyDescent="0.2">
      <c r="A7578">
        <v>7572</v>
      </c>
      <c r="B7578" t="s">
        <v>54</v>
      </c>
    </row>
    <row r="7579" spans="1:2" x14ac:dyDescent="0.2">
      <c r="A7579">
        <v>7573</v>
      </c>
      <c r="B7579" t="s">
        <v>54</v>
      </c>
    </row>
    <row r="7580" spans="1:2" x14ac:dyDescent="0.2">
      <c r="A7580">
        <v>7574</v>
      </c>
      <c r="B7580" t="s">
        <v>54</v>
      </c>
    </row>
    <row r="7581" spans="1:2" x14ac:dyDescent="0.2">
      <c r="A7581">
        <v>7575</v>
      </c>
      <c r="B7581" t="s">
        <v>54</v>
      </c>
    </row>
    <row r="7582" spans="1:2" x14ac:dyDescent="0.2">
      <c r="A7582">
        <v>7576</v>
      </c>
      <c r="B7582" t="s">
        <v>54</v>
      </c>
    </row>
    <row r="7583" spans="1:2" x14ac:dyDescent="0.2">
      <c r="A7583">
        <v>7577</v>
      </c>
      <c r="B7583" t="s">
        <v>54</v>
      </c>
    </row>
    <row r="7584" spans="1:2" x14ac:dyDescent="0.2">
      <c r="A7584">
        <v>7578</v>
      </c>
      <c r="B7584" t="s">
        <v>54</v>
      </c>
    </row>
    <row r="7585" spans="1:2" x14ac:dyDescent="0.2">
      <c r="A7585">
        <v>7579</v>
      </c>
      <c r="B7585" t="s">
        <v>54</v>
      </c>
    </row>
    <row r="7586" spans="1:2" x14ac:dyDescent="0.2">
      <c r="A7586">
        <v>7580</v>
      </c>
      <c r="B7586" t="s">
        <v>54</v>
      </c>
    </row>
    <row r="7587" spans="1:2" x14ac:dyDescent="0.2">
      <c r="A7587">
        <v>7581</v>
      </c>
      <c r="B7587" t="s">
        <v>54</v>
      </c>
    </row>
    <row r="7588" spans="1:2" x14ac:dyDescent="0.2">
      <c r="A7588">
        <v>7582</v>
      </c>
      <c r="B7588" t="s">
        <v>54</v>
      </c>
    </row>
    <row r="7589" spans="1:2" x14ac:dyDescent="0.2">
      <c r="A7589">
        <v>7583</v>
      </c>
      <c r="B7589" t="s">
        <v>54</v>
      </c>
    </row>
    <row r="7590" spans="1:2" x14ac:dyDescent="0.2">
      <c r="A7590">
        <v>7584</v>
      </c>
      <c r="B7590" t="s">
        <v>54</v>
      </c>
    </row>
    <row r="7591" spans="1:2" x14ac:dyDescent="0.2">
      <c r="A7591">
        <v>7585</v>
      </c>
      <c r="B7591" t="s">
        <v>54</v>
      </c>
    </row>
    <row r="7592" spans="1:2" x14ac:dyDescent="0.2">
      <c r="A7592">
        <v>7586</v>
      </c>
      <c r="B7592" t="s">
        <v>54</v>
      </c>
    </row>
    <row r="7593" spans="1:2" x14ac:dyDescent="0.2">
      <c r="A7593">
        <v>7587</v>
      </c>
      <c r="B7593" t="s">
        <v>54</v>
      </c>
    </row>
    <row r="7594" spans="1:2" x14ac:dyDescent="0.2">
      <c r="A7594">
        <v>7588</v>
      </c>
      <c r="B7594" t="s">
        <v>54</v>
      </c>
    </row>
    <row r="7595" spans="1:2" x14ac:dyDescent="0.2">
      <c r="A7595">
        <v>7589</v>
      </c>
      <c r="B7595" t="s">
        <v>54</v>
      </c>
    </row>
    <row r="7596" spans="1:2" x14ac:dyDescent="0.2">
      <c r="A7596">
        <v>7590</v>
      </c>
      <c r="B7596" t="s">
        <v>54</v>
      </c>
    </row>
    <row r="7597" spans="1:2" x14ac:dyDescent="0.2">
      <c r="A7597">
        <v>7591</v>
      </c>
      <c r="B7597" t="s">
        <v>54</v>
      </c>
    </row>
    <row r="7598" spans="1:2" x14ac:dyDescent="0.2">
      <c r="A7598">
        <v>7592</v>
      </c>
      <c r="B7598" t="s">
        <v>54</v>
      </c>
    </row>
    <row r="7599" spans="1:2" x14ac:dyDescent="0.2">
      <c r="A7599">
        <v>7593</v>
      </c>
      <c r="B7599" t="s">
        <v>54</v>
      </c>
    </row>
    <row r="7600" spans="1:2" x14ac:dyDescent="0.2">
      <c r="A7600">
        <v>7594</v>
      </c>
      <c r="B7600" t="s">
        <v>54</v>
      </c>
    </row>
    <row r="7601" spans="1:2" x14ac:dyDescent="0.2">
      <c r="A7601">
        <v>7595</v>
      </c>
      <c r="B7601" t="s">
        <v>54</v>
      </c>
    </row>
    <row r="7602" spans="1:2" x14ac:dyDescent="0.2">
      <c r="A7602">
        <v>7596</v>
      </c>
      <c r="B7602" t="s">
        <v>54</v>
      </c>
    </row>
    <row r="7603" spans="1:2" x14ac:dyDescent="0.2">
      <c r="A7603">
        <v>7597</v>
      </c>
      <c r="B7603" t="s">
        <v>54</v>
      </c>
    </row>
    <row r="7604" spans="1:2" x14ac:dyDescent="0.2">
      <c r="A7604">
        <v>7598</v>
      </c>
      <c r="B7604" t="s">
        <v>54</v>
      </c>
    </row>
    <row r="7605" spans="1:2" x14ac:dyDescent="0.2">
      <c r="A7605">
        <v>7599</v>
      </c>
      <c r="B7605" t="s">
        <v>54</v>
      </c>
    </row>
    <row r="7606" spans="1:2" x14ac:dyDescent="0.2">
      <c r="A7606">
        <v>7600</v>
      </c>
      <c r="B7606" t="s">
        <v>54</v>
      </c>
    </row>
    <row r="7607" spans="1:2" x14ac:dyDescent="0.2">
      <c r="A7607">
        <v>7601</v>
      </c>
      <c r="B7607" t="s">
        <v>54</v>
      </c>
    </row>
    <row r="7608" spans="1:2" x14ac:dyDescent="0.2">
      <c r="A7608">
        <v>7602</v>
      </c>
      <c r="B7608" t="s">
        <v>54</v>
      </c>
    </row>
    <row r="7609" spans="1:2" x14ac:dyDescent="0.2">
      <c r="A7609">
        <v>7603</v>
      </c>
      <c r="B7609" t="s">
        <v>54</v>
      </c>
    </row>
    <row r="7610" spans="1:2" x14ac:dyDescent="0.2">
      <c r="A7610">
        <v>7604</v>
      </c>
      <c r="B7610" t="s">
        <v>54</v>
      </c>
    </row>
    <row r="7611" spans="1:2" x14ac:dyDescent="0.2">
      <c r="A7611">
        <v>7605</v>
      </c>
      <c r="B7611" t="s">
        <v>54</v>
      </c>
    </row>
    <row r="7612" spans="1:2" x14ac:dyDescent="0.2">
      <c r="A7612">
        <v>7606</v>
      </c>
      <c r="B7612" t="s">
        <v>54</v>
      </c>
    </row>
    <row r="7613" spans="1:2" x14ac:dyDescent="0.2">
      <c r="A7613">
        <v>7607</v>
      </c>
      <c r="B7613" t="s">
        <v>54</v>
      </c>
    </row>
    <row r="7614" spans="1:2" x14ac:dyDescent="0.2">
      <c r="A7614">
        <v>7608</v>
      </c>
      <c r="B7614" t="s">
        <v>54</v>
      </c>
    </row>
    <row r="7615" spans="1:2" x14ac:dyDescent="0.2">
      <c r="A7615">
        <v>7609</v>
      </c>
      <c r="B7615" t="s">
        <v>54</v>
      </c>
    </row>
    <row r="7616" spans="1:2" x14ac:dyDescent="0.2">
      <c r="A7616">
        <v>7610</v>
      </c>
      <c r="B7616" t="s">
        <v>54</v>
      </c>
    </row>
    <row r="7617" spans="1:2" x14ac:dyDescent="0.2">
      <c r="A7617">
        <v>7611</v>
      </c>
      <c r="B7617" t="s">
        <v>54</v>
      </c>
    </row>
    <row r="7618" spans="1:2" x14ac:dyDescent="0.2">
      <c r="A7618">
        <v>7612</v>
      </c>
      <c r="B7618" t="s">
        <v>54</v>
      </c>
    </row>
    <row r="7619" spans="1:2" x14ac:dyDescent="0.2">
      <c r="A7619">
        <v>7613</v>
      </c>
      <c r="B7619" t="s">
        <v>54</v>
      </c>
    </row>
    <row r="7620" spans="1:2" x14ac:dyDescent="0.2">
      <c r="A7620">
        <v>7614</v>
      </c>
      <c r="B7620" t="s">
        <v>54</v>
      </c>
    </row>
    <row r="7621" spans="1:2" x14ac:dyDescent="0.2">
      <c r="A7621">
        <v>7615</v>
      </c>
      <c r="B7621" t="s">
        <v>54</v>
      </c>
    </row>
    <row r="7622" spans="1:2" x14ac:dyDescent="0.2">
      <c r="A7622">
        <v>7616</v>
      </c>
      <c r="B7622" t="s">
        <v>54</v>
      </c>
    </row>
    <row r="7623" spans="1:2" x14ac:dyDescent="0.2">
      <c r="A7623">
        <v>7617</v>
      </c>
      <c r="B7623" t="s">
        <v>54</v>
      </c>
    </row>
    <row r="7624" spans="1:2" x14ac:dyDescent="0.2">
      <c r="A7624">
        <v>7618</v>
      </c>
      <c r="B7624" t="s">
        <v>54</v>
      </c>
    </row>
    <row r="7625" spans="1:2" x14ac:dyDescent="0.2">
      <c r="A7625">
        <v>7619</v>
      </c>
      <c r="B7625" t="s">
        <v>54</v>
      </c>
    </row>
    <row r="7626" spans="1:2" x14ac:dyDescent="0.2">
      <c r="A7626">
        <v>7620</v>
      </c>
      <c r="B7626" t="s">
        <v>54</v>
      </c>
    </row>
    <row r="7627" spans="1:2" x14ac:dyDescent="0.2">
      <c r="A7627">
        <v>7621</v>
      </c>
      <c r="B7627" t="s">
        <v>54</v>
      </c>
    </row>
    <row r="7628" spans="1:2" x14ac:dyDescent="0.2">
      <c r="A7628">
        <v>7622</v>
      </c>
      <c r="B7628" t="s">
        <v>54</v>
      </c>
    </row>
    <row r="7629" spans="1:2" x14ac:dyDescent="0.2">
      <c r="A7629">
        <v>7623</v>
      </c>
      <c r="B7629" t="s">
        <v>54</v>
      </c>
    </row>
    <row r="7630" spans="1:2" x14ac:dyDescent="0.2">
      <c r="A7630">
        <v>7624</v>
      </c>
      <c r="B7630" t="s">
        <v>54</v>
      </c>
    </row>
    <row r="7631" spans="1:2" x14ac:dyDescent="0.2">
      <c r="A7631">
        <v>7625</v>
      </c>
      <c r="B7631" t="s">
        <v>54</v>
      </c>
    </row>
    <row r="7632" spans="1:2" x14ac:dyDescent="0.2">
      <c r="A7632">
        <v>7626</v>
      </c>
      <c r="B7632" t="s">
        <v>54</v>
      </c>
    </row>
    <row r="7633" spans="1:2" x14ac:dyDescent="0.2">
      <c r="A7633">
        <v>7627</v>
      </c>
      <c r="B7633" t="s">
        <v>54</v>
      </c>
    </row>
    <row r="7634" spans="1:2" x14ac:dyDescent="0.2">
      <c r="A7634">
        <v>7628</v>
      </c>
      <c r="B7634" t="s">
        <v>54</v>
      </c>
    </row>
    <row r="7635" spans="1:2" x14ac:dyDescent="0.2">
      <c r="A7635">
        <v>7629</v>
      </c>
      <c r="B7635" t="s">
        <v>54</v>
      </c>
    </row>
    <row r="7636" spans="1:2" x14ac:dyDescent="0.2">
      <c r="A7636">
        <v>7630</v>
      </c>
      <c r="B7636" t="s">
        <v>54</v>
      </c>
    </row>
    <row r="7637" spans="1:2" x14ac:dyDescent="0.2">
      <c r="A7637">
        <v>7631</v>
      </c>
      <c r="B7637" t="s">
        <v>54</v>
      </c>
    </row>
    <row r="7638" spans="1:2" x14ac:dyDescent="0.2">
      <c r="A7638">
        <v>7632</v>
      </c>
      <c r="B7638" t="s">
        <v>54</v>
      </c>
    </row>
    <row r="7639" spans="1:2" x14ac:dyDescent="0.2">
      <c r="A7639">
        <v>7633</v>
      </c>
      <c r="B7639" t="s">
        <v>54</v>
      </c>
    </row>
    <row r="7640" spans="1:2" x14ac:dyDescent="0.2">
      <c r="A7640">
        <v>7634</v>
      </c>
      <c r="B7640" t="s">
        <v>54</v>
      </c>
    </row>
    <row r="7641" spans="1:2" x14ac:dyDescent="0.2">
      <c r="A7641">
        <v>7635</v>
      </c>
      <c r="B7641" t="s">
        <v>54</v>
      </c>
    </row>
    <row r="7642" spans="1:2" x14ac:dyDescent="0.2">
      <c r="A7642">
        <v>7636</v>
      </c>
      <c r="B7642" t="s">
        <v>54</v>
      </c>
    </row>
    <row r="7643" spans="1:2" x14ac:dyDescent="0.2">
      <c r="A7643">
        <v>7637</v>
      </c>
      <c r="B7643" t="s">
        <v>54</v>
      </c>
    </row>
    <row r="7644" spans="1:2" x14ac:dyDescent="0.2">
      <c r="A7644">
        <v>7638</v>
      </c>
      <c r="B7644" t="s">
        <v>54</v>
      </c>
    </row>
    <row r="7645" spans="1:2" x14ac:dyDescent="0.2">
      <c r="A7645">
        <v>7639</v>
      </c>
      <c r="B7645" t="s">
        <v>54</v>
      </c>
    </row>
    <row r="7646" spans="1:2" x14ac:dyDescent="0.2">
      <c r="A7646">
        <v>7640</v>
      </c>
      <c r="B7646" t="s">
        <v>54</v>
      </c>
    </row>
    <row r="7647" spans="1:2" x14ac:dyDescent="0.2">
      <c r="A7647">
        <v>7641</v>
      </c>
      <c r="B7647" t="s">
        <v>54</v>
      </c>
    </row>
    <row r="7648" spans="1:2" x14ac:dyDescent="0.2">
      <c r="A7648">
        <v>7642</v>
      </c>
      <c r="B7648" t="s">
        <v>54</v>
      </c>
    </row>
    <row r="7649" spans="1:2" x14ac:dyDescent="0.2">
      <c r="A7649">
        <v>7643</v>
      </c>
      <c r="B7649" t="s">
        <v>54</v>
      </c>
    </row>
    <row r="7650" spans="1:2" x14ac:dyDescent="0.2">
      <c r="A7650">
        <v>7644</v>
      </c>
      <c r="B7650" t="s">
        <v>54</v>
      </c>
    </row>
    <row r="7651" spans="1:2" x14ac:dyDescent="0.2">
      <c r="A7651">
        <v>7645</v>
      </c>
      <c r="B7651" t="s">
        <v>54</v>
      </c>
    </row>
    <row r="7652" spans="1:2" x14ac:dyDescent="0.2">
      <c r="A7652">
        <v>7646</v>
      </c>
      <c r="B7652" t="s">
        <v>54</v>
      </c>
    </row>
    <row r="7653" spans="1:2" x14ac:dyDescent="0.2">
      <c r="A7653">
        <v>7647</v>
      </c>
      <c r="B7653" t="s">
        <v>54</v>
      </c>
    </row>
    <row r="7654" spans="1:2" x14ac:dyDescent="0.2">
      <c r="A7654">
        <v>7648</v>
      </c>
      <c r="B7654" t="s">
        <v>54</v>
      </c>
    </row>
    <row r="7655" spans="1:2" x14ac:dyDescent="0.2">
      <c r="A7655">
        <v>7649</v>
      </c>
      <c r="B7655" t="s">
        <v>54</v>
      </c>
    </row>
    <row r="7656" spans="1:2" x14ac:dyDescent="0.2">
      <c r="A7656">
        <v>7650</v>
      </c>
      <c r="B7656" t="s">
        <v>54</v>
      </c>
    </row>
    <row r="7657" spans="1:2" x14ac:dyDescent="0.2">
      <c r="A7657">
        <v>7651</v>
      </c>
      <c r="B7657" t="s">
        <v>54</v>
      </c>
    </row>
    <row r="7658" spans="1:2" x14ac:dyDescent="0.2">
      <c r="A7658">
        <v>7652</v>
      </c>
      <c r="B7658" t="s">
        <v>54</v>
      </c>
    </row>
    <row r="7659" spans="1:2" x14ac:dyDescent="0.2">
      <c r="A7659">
        <v>7653</v>
      </c>
      <c r="B7659" t="s">
        <v>54</v>
      </c>
    </row>
    <row r="7660" spans="1:2" x14ac:dyDescent="0.2">
      <c r="A7660">
        <v>7654</v>
      </c>
      <c r="B7660" t="s">
        <v>54</v>
      </c>
    </row>
    <row r="7661" spans="1:2" x14ac:dyDescent="0.2">
      <c r="A7661">
        <v>7655</v>
      </c>
      <c r="B7661" t="s">
        <v>54</v>
      </c>
    </row>
    <row r="7662" spans="1:2" x14ac:dyDescent="0.2">
      <c r="A7662">
        <v>7656</v>
      </c>
      <c r="B7662" t="s">
        <v>54</v>
      </c>
    </row>
    <row r="7663" spans="1:2" x14ac:dyDescent="0.2">
      <c r="A7663">
        <v>7657</v>
      </c>
      <c r="B7663" t="s">
        <v>54</v>
      </c>
    </row>
    <row r="7664" spans="1:2" x14ac:dyDescent="0.2">
      <c r="A7664">
        <v>7658</v>
      </c>
      <c r="B7664" t="s">
        <v>54</v>
      </c>
    </row>
    <row r="7665" spans="1:2" x14ac:dyDescent="0.2">
      <c r="A7665">
        <v>7659</v>
      </c>
      <c r="B7665" t="s">
        <v>54</v>
      </c>
    </row>
    <row r="7666" spans="1:2" x14ac:dyDescent="0.2">
      <c r="A7666">
        <v>7660</v>
      </c>
      <c r="B7666" t="s">
        <v>54</v>
      </c>
    </row>
    <row r="7667" spans="1:2" x14ac:dyDescent="0.2">
      <c r="A7667">
        <v>7661</v>
      </c>
      <c r="B7667" t="s">
        <v>54</v>
      </c>
    </row>
    <row r="7668" spans="1:2" x14ac:dyDescent="0.2">
      <c r="A7668">
        <v>7662</v>
      </c>
      <c r="B7668" t="s">
        <v>54</v>
      </c>
    </row>
    <row r="7669" spans="1:2" x14ac:dyDescent="0.2">
      <c r="A7669">
        <v>7663</v>
      </c>
      <c r="B7669" t="s">
        <v>54</v>
      </c>
    </row>
    <row r="7670" spans="1:2" x14ac:dyDescent="0.2">
      <c r="A7670">
        <v>7664</v>
      </c>
      <c r="B7670" t="s">
        <v>54</v>
      </c>
    </row>
    <row r="7671" spans="1:2" x14ac:dyDescent="0.2">
      <c r="A7671">
        <v>7665</v>
      </c>
      <c r="B7671" t="s">
        <v>54</v>
      </c>
    </row>
    <row r="7672" spans="1:2" x14ac:dyDescent="0.2">
      <c r="A7672">
        <v>7666</v>
      </c>
      <c r="B7672" t="s">
        <v>54</v>
      </c>
    </row>
    <row r="7673" spans="1:2" x14ac:dyDescent="0.2">
      <c r="A7673">
        <v>7667</v>
      </c>
      <c r="B7673" t="s">
        <v>54</v>
      </c>
    </row>
    <row r="7674" spans="1:2" x14ac:dyDescent="0.2">
      <c r="A7674">
        <v>7668</v>
      </c>
      <c r="B7674" t="s">
        <v>54</v>
      </c>
    </row>
    <row r="7675" spans="1:2" x14ac:dyDescent="0.2">
      <c r="A7675">
        <v>7669</v>
      </c>
      <c r="B7675" t="s">
        <v>54</v>
      </c>
    </row>
    <row r="7676" spans="1:2" x14ac:dyDescent="0.2">
      <c r="A7676">
        <v>7670</v>
      </c>
      <c r="B7676" t="s">
        <v>54</v>
      </c>
    </row>
    <row r="7677" spans="1:2" x14ac:dyDescent="0.2">
      <c r="A7677">
        <v>7671</v>
      </c>
      <c r="B7677" t="s">
        <v>54</v>
      </c>
    </row>
    <row r="7678" spans="1:2" x14ac:dyDescent="0.2">
      <c r="A7678">
        <v>7672</v>
      </c>
      <c r="B7678" t="s">
        <v>54</v>
      </c>
    </row>
    <row r="7679" spans="1:2" x14ac:dyDescent="0.2">
      <c r="A7679">
        <v>7673</v>
      </c>
      <c r="B7679" t="s">
        <v>54</v>
      </c>
    </row>
    <row r="7680" spans="1:2" x14ac:dyDescent="0.2">
      <c r="A7680">
        <v>7674</v>
      </c>
      <c r="B7680" t="s">
        <v>54</v>
      </c>
    </row>
    <row r="7681" spans="1:2" x14ac:dyDescent="0.2">
      <c r="A7681">
        <v>7675</v>
      </c>
      <c r="B7681" t="s">
        <v>54</v>
      </c>
    </row>
    <row r="7682" spans="1:2" x14ac:dyDescent="0.2">
      <c r="A7682">
        <v>7676</v>
      </c>
      <c r="B7682" t="s">
        <v>54</v>
      </c>
    </row>
    <row r="7683" spans="1:2" x14ac:dyDescent="0.2">
      <c r="A7683">
        <v>7677</v>
      </c>
      <c r="B7683" t="s">
        <v>54</v>
      </c>
    </row>
    <row r="7684" spans="1:2" x14ac:dyDescent="0.2">
      <c r="A7684">
        <v>7678</v>
      </c>
      <c r="B7684" t="s">
        <v>54</v>
      </c>
    </row>
    <row r="7685" spans="1:2" x14ac:dyDescent="0.2">
      <c r="A7685">
        <v>7679</v>
      </c>
      <c r="B7685" t="s">
        <v>54</v>
      </c>
    </row>
    <row r="7686" spans="1:2" x14ac:dyDescent="0.2">
      <c r="A7686">
        <v>7680</v>
      </c>
      <c r="B7686" t="s">
        <v>54</v>
      </c>
    </row>
    <row r="7687" spans="1:2" x14ac:dyDescent="0.2">
      <c r="A7687">
        <v>7681</v>
      </c>
      <c r="B7687" t="s">
        <v>54</v>
      </c>
    </row>
    <row r="7688" spans="1:2" x14ac:dyDescent="0.2">
      <c r="A7688">
        <v>7682</v>
      </c>
      <c r="B7688" t="s">
        <v>54</v>
      </c>
    </row>
    <row r="7689" spans="1:2" x14ac:dyDescent="0.2">
      <c r="A7689">
        <v>7683</v>
      </c>
      <c r="B7689" t="s">
        <v>54</v>
      </c>
    </row>
    <row r="7690" spans="1:2" x14ac:dyDescent="0.2">
      <c r="A7690">
        <v>7684</v>
      </c>
      <c r="B7690" t="s">
        <v>54</v>
      </c>
    </row>
    <row r="7691" spans="1:2" x14ac:dyDescent="0.2">
      <c r="A7691">
        <v>7685</v>
      </c>
      <c r="B7691" t="s">
        <v>54</v>
      </c>
    </row>
    <row r="7692" spans="1:2" x14ac:dyDescent="0.2">
      <c r="A7692">
        <v>7686</v>
      </c>
      <c r="B7692" t="s">
        <v>54</v>
      </c>
    </row>
    <row r="7693" spans="1:2" x14ac:dyDescent="0.2">
      <c r="A7693">
        <v>7687</v>
      </c>
      <c r="B7693" t="s">
        <v>54</v>
      </c>
    </row>
    <row r="7694" spans="1:2" x14ac:dyDescent="0.2">
      <c r="A7694">
        <v>7688</v>
      </c>
      <c r="B7694" t="s">
        <v>54</v>
      </c>
    </row>
    <row r="7695" spans="1:2" x14ac:dyDescent="0.2">
      <c r="A7695">
        <v>7689</v>
      </c>
      <c r="B7695" t="s">
        <v>54</v>
      </c>
    </row>
    <row r="7696" spans="1:2" x14ac:dyDescent="0.2">
      <c r="A7696">
        <v>7690</v>
      </c>
      <c r="B7696" t="s">
        <v>54</v>
      </c>
    </row>
    <row r="7697" spans="1:2" x14ac:dyDescent="0.2">
      <c r="A7697">
        <v>7691</v>
      </c>
      <c r="B7697" t="s">
        <v>54</v>
      </c>
    </row>
    <row r="7698" spans="1:2" x14ac:dyDescent="0.2">
      <c r="A7698">
        <v>7692</v>
      </c>
      <c r="B7698" t="s">
        <v>54</v>
      </c>
    </row>
    <row r="7699" spans="1:2" x14ac:dyDescent="0.2">
      <c r="A7699">
        <v>7693</v>
      </c>
      <c r="B7699" t="s">
        <v>54</v>
      </c>
    </row>
    <row r="7700" spans="1:2" x14ac:dyDescent="0.2">
      <c r="A7700">
        <v>7694</v>
      </c>
      <c r="B7700" t="s">
        <v>54</v>
      </c>
    </row>
    <row r="7701" spans="1:2" x14ac:dyDescent="0.2">
      <c r="A7701">
        <v>7695</v>
      </c>
      <c r="B7701" t="s">
        <v>54</v>
      </c>
    </row>
    <row r="7702" spans="1:2" x14ac:dyDescent="0.2">
      <c r="A7702">
        <v>7696</v>
      </c>
      <c r="B7702" t="s">
        <v>54</v>
      </c>
    </row>
    <row r="7703" spans="1:2" x14ac:dyDescent="0.2">
      <c r="A7703">
        <v>7697</v>
      </c>
      <c r="B7703" t="s">
        <v>54</v>
      </c>
    </row>
    <row r="7704" spans="1:2" x14ac:dyDescent="0.2">
      <c r="A7704">
        <v>7698</v>
      </c>
      <c r="B7704" t="s">
        <v>54</v>
      </c>
    </row>
    <row r="7705" spans="1:2" x14ac:dyDescent="0.2">
      <c r="A7705">
        <v>7699</v>
      </c>
      <c r="B7705" t="s">
        <v>54</v>
      </c>
    </row>
    <row r="7706" spans="1:2" x14ac:dyDescent="0.2">
      <c r="A7706">
        <v>7700</v>
      </c>
      <c r="B7706" t="s">
        <v>54</v>
      </c>
    </row>
    <row r="7707" spans="1:2" x14ac:dyDescent="0.2">
      <c r="A7707">
        <v>7701</v>
      </c>
      <c r="B7707" t="s">
        <v>54</v>
      </c>
    </row>
    <row r="7708" spans="1:2" x14ac:dyDescent="0.2">
      <c r="A7708">
        <v>7702</v>
      </c>
      <c r="B7708" t="s">
        <v>54</v>
      </c>
    </row>
    <row r="7709" spans="1:2" x14ac:dyDescent="0.2">
      <c r="A7709">
        <v>7703</v>
      </c>
      <c r="B7709" t="s">
        <v>54</v>
      </c>
    </row>
    <row r="7710" spans="1:2" x14ac:dyDescent="0.2">
      <c r="A7710">
        <v>7704</v>
      </c>
      <c r="B7710" t="s">
        <v>54</v>
      </c>
    </row>
    <row r="7711" spans="1:2" x14ac:dyDescent="0.2">
      <c r="A7711">
        <v>7705</v>
      </c>
      <c r="B7711" t="s">
        <v>54</v>
      </c>
    </row>
    <row r="7712" spans="1:2" x14ac:dyDescent="0.2">
      <c r="A7712">
        <v>7706</v>
      </c>
      <c r="B7712" t="s">
        <v>54</v>
      </c>
    </row>
    <row r="7713" spans="1:2" x14ac:dyDescent="0.2">
      <c r="A7713">
        <v>7707</v>
      </c>
      <c r="B7713" t="s">
        <v>54</v>
      </c>
    </row>
    <row r="7714" spans="1:2" x14ac:dyDescent="0.2">
      <c r="A7714">
        <v>7708</v>
      </c>
      <c r="B7714" t="s">
        <v>54</v>
      </c>
    </row>
    <row r="7715" spans="1:2" x14ac:dyDescent="0.2">
      <c r="A7715">
        <v>7709</v>
      </c>
      <c r="B7715" t="s">
        <v>54</v>
      </c>
    </row>
    <row r="7716" spans="1:2" x14ac:dyDescent="0.2">
      <c r="A7716">
        <v>7710</v>
      </c>
      <c r="B7716" t="s">
        <v>54</v>
      </c>
    </row>
    <row r="7717" spans="1:2" x14ac:dyDescent="0.2">
      <c r="A7717">
        <v>7711</v>
      </c>
      <c r="B7717" t="s">
        <v>54</v>
      </c>
    </row>
    <row r="7718" spans="1:2" x14ac:dyDescent="0.2">
      <c r="A7718">
        <v>7712</v>
      </c>
      <c r="B7718" t="s">
        <v>54</v>
      </c>
    </row>
    <row r="7719" spans="1:2" x14ac:dyDescent="0.2">
      <c r="A7719">
        <v>7713</v>
      </c>
      <c r="B7719" t="s">
        <v>54</v>
      </c>
    </row>
    <row r="7720" spans="1:2" x14ac:dyDescent="0.2">
      <c r="A7720">
        <v>7714</v>
      </c>
      <c r="B7720" t="s">
        <v>54</v>
      </c>
    </row>
    <row r="7721" spans="1:2" x14ac:dyDescent="0.2">
      <c r="A7721">
        <v>7715</v>
      </c>
      <c r="B7721" t="s">
        <v>54</v>
      </c>
    </row>
    <row r="7722" spans="1:2" x14ac:dyDescent="0.2">
      <c r="A7722">
        <v>7716</v>
      </c>
      <c r="B7722" t="s">
        <v>54</v>
      </c>
    </row>
    <row r="7723" spans="1:2" x14ac:dyDescent="0.2">
      <c r="A7723">
        <v>7717</v>
      </c>
      <c r="B7723" t="s">
        <v>54</v>
      </c>
    </row>
    <row r="7724" spans="1:2" x14ac:dyDescent="0.2">
      <c r="A7724">
        <v>7718</v>
      </c>
      <c r="B7724" t="s">
        <v>54</v>
      </c>
    </row>
    <row r="7725" spans="1:2" x14ac:dyDescent="0.2">
      <c r="A7725">
        <v>7719</v>
      </c>
      <c r="B7725" t="s">
        <v>54</v>
      </c>
    </row>
    <row r="7726" spans="1:2" x14ac:dyDescent="0.2">
      <c r="A7726">
        <v>7720</v>
      </c>
      <c r="B7726" t="s">
        <v>54</v>
      </c>
    </row>
    <row r="7727" spans="1:2" x14ac:dyDescent="0.2">
      <c r="A7727">
        <v>7721</v>
      </c>
      <c r="B7727" t="s">
        <v>54</v>
      </c>
    </row>
    <row r="7728" spans="1:2" x14ac:dyDescent="0.2">
      <c r="A7728">
        <v>7722</v>
      </c>
      <c r="B7728" t="s">
        <v>54</v>
      </c>
    </row>
    <row r="7729" spans="1:2" x14ac:dyDescent="0.2">
      <c r="A7729">
        <v>7723</v>
      </c>
      <c r="B7729" t="s">
        <v>54</v>
      </c>
    </row>
    <row r="7730" spans="1:2" x14ac:dyDescent="0.2">
      <c r="A7730">
        <v>7724</v>
      </c>
      <c r="B7730" t="s">
        <v>54</v>
      </c>
    </row>
    <row r="7731" spans="1:2" x14ac:dyDescent="0.2">
      <c r="A7731">
        <v>7725</v>
      </c>
      <c r="B7731" t="s">
        <v>54</v>
      </c>
    </row>
    <row r="7732" spans="1:2" x14ac:dyDescent="0.2">
      <c r="A7732">
        <v>7726</v>
      </c>
      <c r="B7732" t="s">
        <v>54</v>
      </c>
    </row>
    <row r="7733" spans="1:2" x14ac:dyDescent="0.2">
      <c r="A7733">
        <v>7727</v>
      </c>
      <c r="B7733" t="s">
        <v>54</v>
      </c>
    </row>
    <row r="7734" spans="1:2" x14ac:dyDescent="0.2">
      <c r="A7734">
        <v>7728</v>
      </c>
      <c r="B7734" t="s">
        <v>54</v>
      </c>
    </row>
    <row r="7735" spans="1:2" x14ac:dyDescent="0.2">
      <c r="A7735">
        <v>7729</v>
      </c>
      <c r="B7735" t="s">
        <v>54</v>
      </c>
    </row>
    <row r="7736" spans="1:2" x14ac:dyDescent="0.2">
      <c r="A7736">
        <v>7730</v>
      </c>
      <c r="B7736" t="s">
        <v>54</v>
      </c>
    </row>
    <row r="7737" spans="1:2" x14ac:dyDescent="0.2">
      <c r="A7737">
        <v>7731</v>
      </c>
      <c r="B7737" t="s">
        <v>54</v>
      </c>
    </row>
    <row r="7738" spans="1:2" x14ac:dyDescent="0.2">
      <c r="A7738">
        <v>7732</v>
      </c>
      <c r="B7738" t="s">
        <v>54</v>
      </c>
    </row>
    <row r="7739" spans="1:2" x14ac:dyDescent="0.2">
      <c r="A7739">
        <v>7733</v>
      </c>
      <c r="B7739" t="s">
        <v>54</v>
      </c>
    </row>
    <row r="7740" spans="1:2" x14ac:dyDescent="0.2">
      <c r="A7740">
        <v>7734</v>
      </c>
      <c r="B7740" t="s">
        <v>54</v>
      </c>
    </row>
    <row r="7741" spans="1:2" x14ac:dyDescent="0.2">
      <c r="A7741">
        <v>7735</v>
      </c>
      <c r="B7741" t="s">
        <v>54</v>
      </c>
    </row>
    <row r="7742" spans="1:2" x14ac:dyDescent="0.2">
      <c r="A7742">
        <v>7736</v>
      </c>
      <c r="B7742" t="s">
        <v>54</v>
      </c>
    </row>
    <row r="7743" spans="1:2" x14ac:dyDescent="0.2">
      <c r="A7743">
        <v>7737</v>
      </c>
      <c r="B7743" t="s">
        <v>54</v>
      </c>
    </row>
    <row r="7744" spans="1:2" x14ac:dyDescent="0.2">
      <c r="A7744">
        <v>7738</v>
      </c>
      <c r="B7744" t="s">
        <v>54</v>
      </c>
    </row>
    <row r="7745" spans="1:2" x14ac:dyDescent="0.2">
      <c r="A7745">
        <v>7739</v>
      </c>
      <c r="B7745" t="s">
        <v>54</v>
      </c>
    </row>
    <row r="7746" spans="1:2" x14ac:dyDescent="0.2">
      <c r="A7746">
        <v>7740</v>
      </c>
      <c r="B7746" t="s">
        <v>54</v>
      </c>
    </row>
    <row r="7747" spans="1:2" x14ac:dyDescent="0.2">
      <c r="A7747">
        <v>7741</v>
      </c>
      <c r="B7747" t="s">
        <v>54</v>
      </c>
    </row>
    <row r="7748" spans="1:2" x14ac:dyDescent="0.2">
      <c r="A7748">
        <v>7742</v>
      </c>
      <c r="B7748" t="s">
        <v>54</v>
      </c>
    </row>
    <row r="7749" spans="1:2" x14ac:dyDescent="0.2">
      <c r="A7749">
        <v>7743</v>
      </c>
      <c r="B7749" t="s">
        <v>54</v>
      </c>
    </row>
    <row r="7750" spans="1:2" x14ac:dyDescent="0.2">
      <c r="A7750">
        <v>7744</v>
      </c>
      <c r="B7750" t="s">
        <v>54</v>
      </c>
    </row>
    <row r="7751" spans="1:2" x14ac:dyDescent="0.2">
      <c r="A7751">
        <v>7745</v>
      </c>
      <c r="B7751" t="s">
        <v>54</v>
      </c>
    </row>
    <row r="7752" spans="1:2" x14ac:dyDescent="0.2">
      <c r="A7752">
        <v>7746</v>
      </c>
      <c r="B7752" t="s">
        <v>54</v>
      </c>
    </row>
    <row r="7753" spans="1:2" x14ac:dyDescent="0.2">
      <c r="A7753">
        <v>7747</v>
      </c>
      <c r="B7753" t="s">
        <v>54</v>
      </c>
    </row>
    <row r="7754" spans="1:2" x14ac:dyDescent="0.2">
      <c r="A7754">
        <v>7748</v>
      </c>
      <c r="B7754" t="s">
        <v>54</v>
      </c>
    </row>
    <row r="7755" spans="1:2" x14ac:dyDescent="0.2">
      <c r="A7755">
        <v>7749</v>
      </c>
      <c r="B7755" t="s">
        <v>54</v>
      </c>
    </row>
    <row r="7756" spans="1:2" x14ac:dyDescent="0.2">
      <c r="A7756">
        <v>7750</v>
      </c>
      <c r="B7756" t="s">
        <v>54</v>
      </c>
    </row>
    <row r="7757" spans="1:2" x14ac:dyDescent="0.2">
      <c r="A7757">
        <v>7751</v>
      </c>
      <c r="B7757" t="s">
        <v>54</v>
      </c>
    </row>
    <row r="7758" spans="1:2" x14ac:dyDescent="0.2">
      <c r="A7758">
        <v>7752</v>
      </c>
      <c r="B7758" t="s">
        <v>54</v>
      </c>
    </row>
    <row r="7759" spans="1:2" x14ac:dyDescent="0.2">
      <c r="A7759">
        <v>7753</v>
      </c>
      <c r="B7759" t="s">
        <v>54</v>
      </c>
    </row>
    <row r="7760" spans="1:2" x14ac:dyDescent="0.2">
      <c r="A7760">
        <v>7754</v>
      </c>
      <c r="B7760" t="s">
        <v>54</v>
      </c>
    </row>
    <row r="7761" spans="1:2" x14ac:dyDescent="0.2">
      <c r="A7761">
        <v>7755</v>
      </c>
      <c r="B7761" t="s">
        <v>54</v>
      </c>
    </row>
    <row r="7762" spans="1:2" x14ac:dyDescent="0.2">
      <c r="A7762">
        <v>7756</v>
      </c>
      <c r="B7762" t="s">
        <v>54</v>
      </c>
    </row>
    <row r="7763" spans="1:2" x14ac:dyDescent="0.2">
      <c r="A7763">
        <v>7757</v>
      </c>
      <c r="B7763" t="s">
        <v>54</v>
      </c>
    </row>
    <row r="7764" spans="1:2" x14ac:dyDescent="0.2">
      <c r="A7764">
        <v>7758</v>
      </c>
      <c r="B7764" t="s">
        <v>54</v>
      </c>
    </row>
    <row r="7765" spans="1:2" x14ac:dyDescent="0.2">
      <c r="A7765">
        <v>7759</v>
      </c>
      <c r="B7765" t="s">
        <v>54</v>
      </c>
    </row>
    <row r="7766" spans="1:2" x14ac:dyDescent="0.2">
      <c r="A7766">
        <v>7760</v>
      </c>
      <c r="B7766" t="s">
        <v>54</v>
      </c>
    </row>
    <row r="7767" spans="1:2" x14ac:dyDescent="0.2">
      <c r="A7767">
        <v>7761</v>
      </c>
      <c r="B7767" t="s">
        <v>54</v>
      </c>
    </row>
    <row r="7768" spans="1:2" x14ac:dyDescent="0.2">
      <c r="A7768">
        <v>7762</v>
      </c>
      <c r="B7768" t="s">
        <v>54</v>
      </c>
    </row>
    <row r="7769" spans="1:2" x14ac:dyDescent="0.2">
      <c r="A7769">
        <v>7763</v>
      </c>
      <c r="B7769" t="s">
        <v>54</v>
      </c>
    </row>
    <row r="7770" spans="1:2" x14ac:dyDescent="0.2">
      <c r="A7770">
        <v>7764</v>
      </c>
      <c r="B7770" t="s">
        <v>54</v>
      </c>
    </row>
    <row r="7771" spans="1:2" x14ac:dyDescent="0.2">
      <c r="A7771">
        <v>7765</v>
      </c>
      <c r="B7771" t="s">
        <v>54</v>
      </c>
    </row>
    <row r="7772" spans="1:2" x14ac:dyDescent="0.2">
      <c r="A7772">
        <v>7766</v>
      </c>
      <c r="B7772" t="s">
        <v>54</v>
      </c>
    </row>
    <row r="7773" spans="1:2" x14ac:dyDescent="0.2">
      <c r="A7773">
        <v>7767</v>
      </c>
      <c r="B7773" t="s">
        <v>54</v>
      </c>
    </row>
    <row r="7774" spans="1:2" x14ac:dyDescent="0.2">
      <c r="A7774">
        <v>7768</v>
      </c>
      <c r="B7774" t="s">
        <v>54</v>
      </c>
    </row>
    <row r="7775" spans="1:2" x14ac:dyDescent="0.2">
      <c r="A7775">
        <v>7769</v>
      </c>
      <c r="B7775" t="s">
        <v>54</v>
      </c>
    </row>
    <row r="7776" spans="1:2" x14ac:dyDescent="0.2">
      <c r="A7776">
        <v>7770</v>
      </c>
      <c r="B7776" t="s">
        <v>54</v>
      </c>
    </row>
    <row r="7777" spans="1:2" x14ac:dyDescent="0.2">
      <c r="A7777">
        <v>7771</v>
      </c>
      <c r="B7777" t="s">
        <v>54</v>
      </c>
    </row>
    <row r="7778" spans="1:2" x14ac:dyDescent="0.2">
      <c r="A7778">
        <v>7772</v>
      </c>
      <c r="B7778" t="s">
        <v>54</v>
      </c>
    </row>
    <row r="7779" spans="1:2" x14ac:dyDescent="0.2">
      <c r="A7779">
        <v>7773</v>
      </c>
      <c r="B7779" t="s">
        <v>54</v>
      </c>
    </row>
    <row r="7780" spans="1:2" x14ac:dyDescent="0.2">
      <c r="A7780">
        <v>7774</v>
      </c>
      <c r="B7780" t="s">
        <v>54</v>
      </c>
    </row>
    <row r="7781" spans="1:2" x14ac:dyDescent="0.2">
      <c r="A7781">
        <v>7775</v>
      </c>
      <c r="B7781" t="s">
        <v>54</v>
      </c>
    </row>
    <row r="7782" spans="1:2" x14ac:dyDescent="0.2">
      <c r="A7782">
        <v>7776</v>
      </c>
      <c r="B7782" t="s">
        <v>54</v>
      </c>
    </row>
    <row r="7783" spans="1:2" x14ac:dyDescent="0.2">
      <c r="A7783">
        <v>7777</v>
      </c>
      <c r="B7783" t="s">
        <v>54</v>
      </c>
    </row>
    <row r="7784" spans="1:2" x14ac:dyDescent="0.2">
      <c r="A7784">
        <v>7778</v>
      </c>
      <c r="B7784" t="s">
        <v>54</v>
      </c>
    </row>
    <row r="7785" spans="1:2" x14ac:dyDescent="0.2">
      <c r="A7785">
        <v>7779</v>
      </c>
      <c r="B7785" t="s">
        <v>54</v>
      </c>
    </row>
    <row r="7786" spans="1:2" x14ac:dyDescent="0.2">
      <c r="A7786">
        <v>7780</v>
      </c>
      <c r="B7786" t="s">
        <v>54</v>
      </c>
    </row>
    <row r="7787" spans="1:2" x14ac:dyDescent="0.2">
      <c r="A7787">
        <v>7781</v>
      </c>
      <c r="B7787" t="s">
        <v>54</v>
      </c>
    </row>
    <row r="7788" spans="1:2" x14ac:dyDescent="0.2">
      <c r="A7788">
        <v>7782</v>
      </c>
      <c r="B7788" t="s">
        <v>54</v>
      </c>
    </row>
    <row r="7789" spans="1:2" x14ac:dyDescent="0.2">
      <c r="A7789">
        <v>7783</v>
      </c>
      <c r="B7789" t="s">
        <v>54</v>
      </c>
    </row>
    <row r="7790" spans="1:2" x14ac:dyDescent="0.2">
      <c r="A7790">
        <v>7784</v>
      </c>
      <c r="B7790" t="s">
        <v>54</v>
      </c>
    </row>
    <row r="7791" spans="1:2" x14ac:dyDescent="0.2">
      <c r="A7791">
        <v>7785</v>
      </c>
      <c r="B7791" t="s">
        <v>54</v>
      </c>
    </row>
    <row r="7792" spans="1:2" x14ac:dyDescent="0.2">
      <c r="A7792">
        <v>7786</v>
      </c>
      <c r="B7792" t="s">
        <v>54</v>
      </c>
    </row>
    <row r="7793" spans="1:2" x14ac:dyDescent="0.2">
      <c r="A7793">
        <v>7787</v>
      </c>
      <c r="B7793" t="s">
        <v>54</v>
      </c>
    </row>
    <row r="7794" spans="1:2" x14ac:dyDescent="0.2">
      <c r="A7794">
        <v>7788</v>
      </c>
      <c r="B7794" t="s">
        <v>54</v>
      </c>
    </row>
    <row r="7795" spans="1:2" x14ac:dyDescent="0.2">
      <c r="A7795">
        <v>7789</v>
      </c>
      <c r="B7795" t="s">
        <v>54</v>
      </c>
    </row>
    <row r="7796" spans="1:2" x14ac:dyDescent="0.2">
      <c r="A7796">
        <v>7790</v>
      </c>
      <c r="B7796" t="s">
        <v>54</v>
      </c>
    </row>
    <row r="7797" spans="1:2" x14ac:dyDescent="0.2">
      <c r="A7797">
        <v>7791</v>
      </c>
      <c r="B7797" t="s">
        <v>54</v>
      </c>
    </row>
    <row r="7798" spans="1:2" x14ac:dyDescent="0.2">
      <c r="A7798">
        <v>7792</v>
      </c>
      <c r="B7798" t="s">
        <v>54</v>
      </c>
    </row>
    <row r="7799" spans="1:2" x14ac:dyDescent="0.2">
      <c r="A7799">
        <v>7793</v>
      </c>
      <c r="B7799" t="s">
        <v>54</v>
      </c>
    </row>
    <row r="7800" spans="1:2" x14ac:dyDescent="0.2">
      <c r="A7800">
        <v>7794</v>
      </c>
      <c r="B7800" t="s">
        <v>54</v>
      </c>
    </row>
    <row r="7801" spans="1:2" x14ac:dyDescent="0.2">
      <c r="A7801">
        <v>7795</v>
      </c>
      <c r="B7801" t="s">
        <v>54</v>
      </c>
    </row>
    <row r="7802" spans="1:2" x14ac:dyDescent="0.2">
      <c r="A7802">
        <v>7796</v>
      </c>
      <c r="B7802" t="s">
        <v>54</v>
      </c>
    </row>
    <row r="7803" spans="1:2" x14ac:dyDescent="0.2">
      <c r="A7803">
        <v>7797</v>
      </c>
      <c r="B7803" t="s">
        <v>54</v>
      </c>
    </row>
    <row r="7804" spans="1:2" x14ac:dyDescent="0.2">
      <c r="A7804">
        <v>7798</v>
      </c>
      <c r="B7804" t="s">
        <v>54</v>
      </c>
    </row>
    <row r="7805" spans="1:2" x14ac:dyDescent="0.2">
      <c r="A7805">
        <v>7799</v>
      </c>
      <c r="B7805" t="s">
        <v>54</v>
      </c>
    </row>
    <row r="7806" spans="1:2" x14ac:dyDescent="0.2">
      <c r="A7806">
        <v>7800</v>
      </c>
      <c r="B7806" t="s">
        <v>54</v>
      </c>
    </row>
    <row r="7807" spans="1:2" x14ac:dyDescent="0.2">
      <c r="A7807">
        <v>7801</v>
      </c>
      <c r="B7807" t="s">
        <v>54</v>
      </c>
    </row>
    <row r="7808" spans="1:2" x14ac:dyDescent="0.2">
      <c r="A7808">
        <v>7802</v>
      </c>
      <c r="B7808" t="s">
        <v>54</v>
      </c>
    </row>
    <row r="7809" spans="1:2" x14ac:dyDescent="0.2">
      <c r="A7809">
        <v>7803</v>
      </c>
      <c r="B7809" t="s">
        <v>54</v>
      </c>
    </row>
    <row r="7810" spans="1:2" x14ac:dyDescent="0.2">
      <c r="A7810">
        <v>7804</v>
      </c>
      <c r="B7810" t="s">
        <v>54</v>
      </c>
    </row>
    <row r="7811" spans="1:2" x14ac:dyDescent="0.2">
      <c r="A7811">
        <v>7805</v>
      </c>
      <c r="B7811" t="s">
        <v>54</v>
      </c>
    </row>
    <row r="7812" spans="1:2" x14ac:dyDescent="0.2">
      <c r="A7812">
        <v>7806</v>
      </c>
      <c r="B7812" t="s">
        <v>54</v>
      </c>
    </row>
    <row r="7813" spans="1:2" x14ac:dyDescent="0.2">
      <c r="A7813">
        <v>7807</v>
      </c>
      <c r="B7813" t="s">
        <v>54</v>
      </c>
    </row>
    <row r="7814" spans="1:2" x14ac:dyDescent="0.2">
      <c r="A7814">
        <v>7808</v>
      </c>
      <c r="B7814" t="s">
        <v>54</v>
      </c>
    </row>
    <row r="7815" spans="1:2" x14ac:dyDescent="0.2">
      <c r="A7815">
        <v>7809</v>
      </c>
      <c r="B7815" t="s">
        <v>54</v>
      </c>
    </row>
    <row r="7816" spans="1:2" x14ac:dyDescent="0.2">
      <c r="A7816">
        <v>7810</v>
      </c>
      <c r="B7816" t="s">
        <v>54</v>
      </c>
    </row>
    <row r="7817" spans="1:2" x14ac:dyDescent="0.2">
      <c r="A7817">
        <v>7811</v>
      </c>
      <c r="B7817" t="s">
        <v>54</v>
      </c>
    </row>
    <row r="7818" spans="1:2" x14ac:dyDescent="0.2">
      <c r="A7818">
        <v>7812</v>
      </c>
      <c r="B7818" t="s">
        <v>54</v>
      </c>
    </row>
    <row r="7819" spans="1:2" x14ac:dyDescent="0.2">
      <c r="A7819">
        <v>7813</v>
      </c>
      <c r="B7819" t="s">
        <v>54</v>
      </c>
    </row>
    <row r="7820" spans="1:2" x14ac:dyDescent="0.2">
      <c r="A7820">
        <v>7814</v>
      </c>
      <c r="B7820" t="s">
        <v>54</v>
      </c>
    </row>
    <row r="7821" spans="1:2" x14ac:dyDescent="0.2">
      <c r="A7821">
        <v>7815</v>
      </c>
      <c r="B7821" t="s">
        <v>54</v>
      </c>
    </row>
    <row r="7822" spans="1:2" x14ac:dyDescent="0.2">
      <c r="A7822">
        <v>7816</v>
      </c>
      <c r="B7822" t="s">
        <v>54</v>
      </c>
    </row>
    <row r="7823" spans="1:2" x14ac:dyDescent="0.2">
      <c r="A7823">
        <v>7817</v>
      </c>
      <c r="B7823" t="s">
        <v>54</v>
      </c>
    </row>
    <row r="7824" spans="1:2" x14ac:dyDescent="0.2">
      <c r="A7824">
        <v>7818</v>
      </c>
      <c r="B7824" t="s">
        <v>54</v>
      </c>
    </row>
    <row r="7825" spans="1:2" x14ac:dyDescent="0.2">
      <c r="A7825">
        <v>7819</v>
      </c>
      <c r="B7825" t="s">
        <v>54</v>
      </c>
    </row>
    <row r="7826" spans="1:2" x14ac:dyDescent="0.2">
      <c r="A7826">
        <v>7820</v>
      </c>
      <c r="B7826" t="s">
        <v>54</v>
      </c>
    </row>
    <row r="7827" spans="1:2" x14ac:dyDescent="0.2">
      <c r="A7827">
        <v>7821</v>
      </c>
      <c r="B7827" t="s">
        <v>54</v>
      </c>
    </row>
    <row r="7828" spans="1:2" x14ac:dyDescent="0.2">
      <c r="A7828">
        <v>7822</v>
      </c>
      <c r="B7828" t="s">
        <v>54</v>
      </c>
    </row>
    <row r="7829" spans="1:2" x14ac:dyDescent="0.2">
      <c r="A7829">
        <v>7823</v>
      </c>
      <c r="B7829" t="s">
        <v>54</v>
      </c>
    </row>
    <row r="7830" spans="1:2" x14ac:dyDescent="0.2">
      <c r="A7830">
        <v>7824</v>
      </c>
      <c r="B7830" t="s">
        <v>54</v>
      </c>
    </row>
    <row r="7831" spans="1:2" x14ac:dyDescent="0.2">
      <c r="A7831">
        <v>7825</v>
      </c>
      <c r="B7831" t="s">
        <v>54</v>
      </c>
    </row>
    <row r="7832" spans="1:2" x14ac:dyDescent="0.2">
      <c r="A7832">
        <v>7826</v>
      </c>
      <c r="B7832" t="s">
        <v>54</v>
      </c>
    </row>
    <row r="7833" spans="1:2" x14ac:dyDescent="0.2">
      <c r="A7833">
        <v>7827</v>
      </c>
      <c r="B7833" t="s">
        <v>54</v>
      </c>
    </row>
    <row r="7834" spans="1:2" x14ac:dyDescent="0.2">
      <c r="A7834">
        <v>7828</v>
      </c>
      <c r="B7834" t="s">
        <v>54</v>
      </c>
    </row>
    <row r="7835" spans="1:2" x14ac:dyDescent="0.2">
      <c r="A7835">
        <v>7829</v>
      </c>
      <c r="B7835" t="s">
        <v>54</v>
      </c>
    </row>
    <row r="7836" spans="1:2" x14ac:dyDescent="0.2">
      <c r="A7836">
        <v>7830</v>
      </c>
      <c r="B7836" t="s">
        <v>54</v>
      </c>
    </row>
    <row r="7837" spans="1:2" x14ac:dyDescent="0.2">
      <c r="A7837">
        <v>7831</v>
      </c>
      <c r="B7837" t="s">
        <v>54</v>
      </c>
    </row>
    <row r="7838" spans="1:2" x14ac:dyDescent="0.2">
      <c r="A7838">
        <v>7832</v>
      </c>
      <c r="B7838" t="s">
        <v>54</v>
      </c>
    </row>
    <row r="7839" spans="1:2" x14ac:dyDescent="0.2">
      <c r="A7839">
        <v>7833</v>
      </c>
      <c r="B7839" t="s">
        <v>54</v>
      </c>
    </row>
    <row r="7840" spans="1:2" x14ac:dyDescent="0.2">
      <c r="A7840">
        <v>7834</v>
      </c>
      <c r="B7840" t="s">
        <v>54</v>
      </c>
    </row>
    <row r="7841" spans="1:2" x14ac:dyDescent="0.2">
      <c r="A7841">
        <v>7835</v>
      </c>
      <c r="B7841" t="s">
        <v>54</v>
      </c>
    </row>
    <row r="7842" spans="1:2" x14ac:dyDescent="0.2">
      <c r="A7842">
        <v>7836</v>
      </c>
      <c r="B7842" t="s">
        <v>54</v>
      </c>
    </row>
    <row r="7843" spans="1:2" x14ac:dyDescent="0.2">
      <c r="A7843">
        <v>7837</v>
      </c>
      <c r="B7843" t="s">
        <v>54</v>
      </c>
    </row>
    <row r="7844" spans="1:2" x14ac:dyDescent="0.2">
      <c r="A7844">
        <v>7838</v>
      </c>
      <c r="B7844" t="s">
        <v>54</v>
      </c>
    </row>
    <row r="7845" spans="1:2" x14ac:dyDescent="0.2">
      <c r="A7845">
        <v>7839</v>
      </c>
      <c r="B7845" t="s">
        <v>54</v>
      </c>
    </row>
    <row r="7846" spans="1:2" x14ac:dyDescent="0.2">
      <c r="A7846">
        <v>7840</v>
      </c>
      <c r="B7846" t="s">
        <v>54</v>
      </c>
    </row>
    <row r="7847" spans="1:2" x14ac:dyDescent="0.2">
      <c r="A7847">
        <v>7841</v>
      </c>
      <c r="B7847" t="s">
        <v>54</v>
      </c>
    </row>
    <row r="7848" spans="1:2" x14ac:dyDescent="0.2">
      <c r="A7848">
        <v>7842</v>
      </c>
      <c r="B7848" t="s">
        <v>54</v>
      </c>
    </row>
    <row r="7849" spans="1:2" x14ac:dyDescent="0.2">
      <c r="A7849">
        <v>7843</v>
      </c>
      <c r="B7849" t="s">
        <v>54</v>
      </c>
    </row>
    <row r="7850" spans="1:2" x14ac:dyDescent="0.2">
      <c r="A7850">
        <v>7844</v>
      </c>
      <c r="B7850" t="s">
        <v>54</v>
      </c>
    </row>
    <row r="7851" spans="1:2" x14ac:dyDescent="0.2">
      <c r="A7851">
        <v>7845</v>
      </c>
      <c r="B7851" t="s">
        <v>54</v>
      </c>
    </row>
    <row r="7852" spans="1:2" x14ac:dyDescent="0.2">
      <c r="A7852">
        <v>7846</v>
      </c>
      <c r="B7852" t="s">
        <v>54</v>
      </c>
    </row>
    <row r="7853" spans="1:2" x14ac:dyDescent="0.2">
      <c r="A7853">
        <v>7847</v>
      </c>
      <c r="B7853" t="s">
        <v>54</v>
      </c>
    </row>
    <row r="7854" spans="1:2" x14ac:dyDescent="0.2">
      <c r="A7854">
        <v>7848</v>
      </c>
      <c r="B7854" t="s">
        <v>54</v>
      </c>
    </row>
    <row r="7855" spans="1:2" x14ac:dyDescent="0.2">
      <c r="A7855">
        <v>7849</v>
      </c>
      <c r="B7855" t="s">
        <v>54</v>
      </c>
    </row>
    <row r="7856" spans="1:2" x14ac:dyDescent="0.2">
      <c r="A7856">
        <v>7850</v>
      </c>
      <c r="B7856" t="s">
        <v>54</v>
      </c>
    </row>
    <row r="7857" spans="1:2" x14ac:dyDescent="0.2">
      <c r="A7857">
        <v>7851</v>
      </c>
      <c r="B7857" t="s">
        <v>54</v>
      </c>
    </row>
    <row r="7858" spans="1:2" x14ac:dyDescent="0.2">
      <c r="A7858">
        <v>7852</v>
      </c>
      <c r="B7858" t="s">
        <v>54</v>
      </c>
    </row>
    <row r="7859" spans="1:2" x14ac:dyDescent="0.2">
      <c r="A7859">
        <v>7853</v>
      </c>
      <c r="B7859" t="s">
        <v>54</v>
      </c>
    </row>
    <row r="7860" spans="1:2" x14ac:dyDescent="0.2">
      <c r="A7860">
        <v>7854</v>
      </c>
      <c r="B7860" t="s">
        <v>54</v>
      </c>
    </row>
    <row r="7861" spans="1:2" x14ac:dyDescent="0.2">
      <c r="A7861">
        <v>7855</v>
      </c>
      <c r="B7861" t="s">
        <v>54</v>
      </c>
    </row>
    <row r="7862" spans="1:2" x14ac:dyDescent="0.2">
      <c r="A7862">
        <v>7856</v>
      </c>
      <c r="B7862" t="s">
        <v>54</v>
      </c>
    </row>
    <row r="7863" spans="1:2" x14ac:dyDescent="0.2">
      <c r="A7863">
        <v>7857</v>
      </c>
      <c r="B7863" t="s">
        <v>54</v>
      </c>
    </row>
    <row r="7864" spans="1:2" x14ac:dyDescent="0.2">
      <c r="A7864">
        <v>7858</v>
      </c>
      <c r="B7864" t="s">
        <v>54</v>
      </c>
    </row>
    <row r="7865" spans="1:2" x14ac:dyDescent="0.2">
      <c r="A7865">
        <v>7859</v>
      </c>
      <c r="B7865" t="s">
        <v>54</v>
      </c>
    </row>
    <row r="7866" spans="1:2" x14ac:dyDescent="0.2">
      <c r="A7866">
        <v>7860</v>
      </c>
      <c r="B7866" t="s">
        <v>54</v>
      </c>
    </row>
    <row r="7867" spans="1:2" x14ac:dyDescent="0.2">
      <c r="A7867">
        <v>7861</v>
      </c>
      <c r="B7867" t="s">
        <v>54</v>
      </c>
    </row>
    <row r="7868" spans="1:2" x14ac:dyDescent="0.2">
      <c r="A7868">
        <v>7862</v>
      </c>
      <c r="B7868" t="s">
        <v>54</v>
      </c>
    </row>
    <row r="7869" spans="1:2" x14ac:dyDescent="0.2">
      <c r="A7869">
        <v>7863</v>
      </c>
      <c r="B7869" t="s">
        <v>54</v>
      </c>
    </row>
    <row r="7870" spans="1:2" x14ac:dyDescent="0.2">
      <c r="A7870">
        <v>7864</v>
      </c>
      <c r="B7870" t="s">
        <v>54</v>
      </c>
    </row>
    <row r="7871" spans="1:2" x14ac:dyDescent="0.2">
      <c r="A7871">
        <v>7865</v>
      </c>
      <c r="B7871" t="s">
        <v>54</v>
      </c>
    </row>
    <row r="7872" spans="1:2" x14ac:dyDescent="0.2">
      <c r="A7872">
        <v>7866</v>
      </c>
      <c r="B7872" t="s">
        <v>54</v>
      </c>
    </row>
    <row r="7873" spans="1:2" x14ac:dyDescent="0.2">
      <c r="A7873">
        <v>7867</v>
      </c>
      <c r="B7873" t="s">
        <v>54</v>
      </c>
    </row>
    <row r="7874" spans="1:2" x14ac:dyDescent="0.2">
      <c r="A7874">
        <v>7868</v>
      </c>
      <c r="B7874" t="s">
        <v>54</v>
      </c>
    </row>
    <row r="7875" spans="1:2" x14ac:dyDescent="0.2">
      <c r="A7875">
        <v>7869</v>
      </c>
      <c r="B7875" t="s">
        <v>54</v>
      </c>
    </row>
    <row r="7876" spans="1:2" x14ac:dyDescent="0.2">
      <c r="A7876">
        <v>7870</v>
      </c>
      <c r="B7876" t="s">
        <v>54</v>
      </c>
    </row>
    <row r="7877" spans="1:2" x14ac:dyDescent="0.2">
      <c r="A7877">
        <v>7871</v>
      </c>
      <c r="B7877" t="s">
        <v>54</v>
      </c>
    </row>
    <row r="7878" spans="1:2" x14ac:dyDescent="0.2">
      <c r="A7878">
        <v>7872</v>
      </c>
      <c r="B7878" t="s">
        <v>54</v>
      </c>
    </row>
    <row r="7879" spans="1:2" x14ac:dyDescent="0.2">
      <c r="A7879">
        <v>7873</v>
      </c>
      <c r="B7879" t="s">
        <v>54</v>
      </c>
    </row>
    <row r="7880" spans="1:2" x14ac:dyDescent="0.2">
      <c r="A7880">
        <v>7874</v>
      </c>
      <c r="B7880" t="s">
        <v>54</v>
      </c>
    </row>
    <row r="7881" spans="1:2" x14ac:dyDescent="0.2">
      <c r="A7881">
        <v>7875</v>
      </c>
      <c r="B7881" t="s">
        <v>54</v>
      </c>
    </row>
    <row r="7882" spans="1:2" x14ac:dyDescent="0.2">
      <c r="A7882">
        <v>7876</v>
      </c>
      <c r="B7882" t="s">
        <v>54</v>
      </c>
    </row>
    <row r="7883" spans="1:2" x14ac:dyDescent="0.2">
      <c r="A7883">
        <v>7877</v>
      </c>
      <c r="B7883" t="s">
        <v>54</v>
      </c>
    </row>
    <row r="7884" spans="1:2" x14ac:dyDescent="0.2">
      <c r="A7884">
        <v>7878</v>
      </c>
      <c r="B7884" t="s">
        <v>54</v>
      </c>
    </row>
    <row r="7885" spans="1:2" x14ac:dyDescent="0.2">
      <c r="A7885">
        <v>7879</v>
      </c>
      <c r="B7885" t="s">
        <v>54</v>
      </c>
    </row>
    <row r="7886" spans="1:2" x14ac:dyDescent="0.2">
      <c r="A7886">
        <v>7880</v>
      </c>
      <c r="B7886" t="s">
        <v>54</v>
      </c>
    </row>
    <row r="7887" spans="1:2" x14ac:dyDescent="0.2">
      <c r="A7887">
        <v>7881</v>
      </c>
      <c r="B7887" t="s">
        <v>54</v>
      </c>
    </row>
    <row r="7888" spans="1:2" x14ac:dyDescent="0.2">
      <c r="A7888">
        <v>7882</v>
      </c>
      <c r="B7888" t="s">
        <v>54</v>
      </c>
    </row>
    <row r="7889" spans="1:2" x14ac:dyDescent="0.2">
      <c r="A7889">
        <v>7883</v>
      </c>
      <c r="B7889" t="s">
        <v>54</v>
      </c>
    </row>
    <row r="7890" spans="1:2" x14ac:dyDescent="0.2">
      <c r="A7890">
        <v>7884</v>
      </c>
      <c r="B7890" t="s">
        <v>54</v>
      </c>
    </row>
    <row r="7891" spans="1:2" x14ac:dyDescent="0.2">
      <c r="A7891">
        <v>7885</v>
      </c>
      <c r="B7891" t="s">
        <v>54</v>
      </c>
    </row>
    <row r="7892" spans="1:2" x14ac:dyDescent="0.2">
      <c r="A7892">
        <v>7886</v>
      </c>
      <c r="B7892" t="s">
        <v>54</v>
      </c>
    </row>
    <row r="7893" spans="1:2" x14ac:dyDescent="0.2">
      <c r="A7893">
        <v>7887</v>
      </c>
      <c r="B7893" t="s">
        <v>54</v>
      </c>
    </row>
    <row r="7894" spans="1:2" x14ac:dyDescent="0.2">
      <c r="A7894">
        <v>7888</v>
      </c>
      <c r="B7894" t="s">
        <v>54</v>
      </c>
    </row>
    <row r="7895" spans="1:2" x14ac:dyDescent="0.2">
      <c r="A7895">
        <v>7889</v>
      </c>
      <c r="B7895" t="s">
        <v>54</v>
      </c>
    </row>
    <row r="7896" spans="1:2" x14ac:dyDescent="0.2">
      <c r="A7896">
        <v>7890</v>
      </c>
      <c r="B7896" t="s">
        <v>54</v>
      </c>
    </row>
    <row r="7897" spans="1:2" x14ac:dyDescent="0.2">
      <c r="A7897">
        <v>7891</v>
      </c>
      <c r="B7897" t="s">
        <v>54</v>
      </c>
    </row>
    <row r="7898" spans="1:2" x14ac:dyDescent="0.2">
      <c r="A7898">
        <v>7892</v>
      </c>
      <c r="B7898" t="s">
        <v>54</v>
      </c>
    </row>
    <row r="7899" spans="1:2" x14ac:dyDescent="0.2">
      <c r="A7899">
        <v>7893</v>
      </c>
      <c r="B7899" t="s">
        <v>54</v>
      </c>
    </row>
    <row r="7900" spans="1:2" x14ac:dyDescent="0.2">
      <c r="A7900">
        <v>7894</v>
      </c>
      <c r="B7900" t="s">
        <v>54</v>
      </c>
    </row>
    <row r="7901" spans="1:2" x14ac:dyDescent="0.2">
      <c r="A7901">
        <v>7895</v>
      </c>
      <c r="B7901" t="s">
        <v>54</v>
      </c>
    </row>
    <row r="7902" spans="1:2" x14ac:dyDescent="0.2">
      <c r="A7902">
        <v>7896</v>
      </c>
      <c r="B7902" t="s">
        <v>54</v>
      </c>
    </row>
    <row r="7903" spans="1:2" x14ac:dyDescent="0.2">
      <c r="A7903">
        <v>7897</v>
      </c>
      <c r="B7903" t="s">
        <v>54</v>
      </c>
    </row>
    <row r="7904" spans="1:2" x14ac:dyDescent="0.2">
      <c r="A7904">
        <v>7898</v>
      </c>
      <c r="B7904" t="s">
        <v>54</v>
      </c>
    </row>
    <row r="7905" spans="1:2" x14ac:dyDescent="0.2">
      <c r="A7905">
        <v>7899</v>
      </c>
      <c r="B7905" t="s">
        <v>54</v>
      </c>
    </row>
    <row r="7906" spans="1:2" x14ac:dyDescent="0.2">
      <c r="A7906">
        <v>7900</v>
      </c>
      <c r="B7906" t="s">
        <v>54</v>
      </c>
    </row>
    <row r="7907" spans="1:2" x14ac:dyDescent="0.2">
      <c r="A7907">
        <v>7901</v>
      </c>
      <c r="B7907" t="s">
        <v>54</v>
      </c>
    </row>
    <row r="7908" spans="1:2" x14ac:dyDescent="0.2">
      <c r="A7908">
        <v>7902</v>
      </c>
      <c r="B7908" t="s">
        <v>54</v>
      </c>
    </row>
    <row r="7909" spans="1:2" x14ac:dyDescent="0.2">
      <c r="A7909">
        <v>7903</v>
      </c>
      <c r="B7909" t="s">
        <v>54</v>
      </c>
    </row>
    <row r="7910" spans="1:2" x14ac:dyDescent="0.2">
      <c r="A7910">
        <v>7904</v>
      </c>
      <c r="B7910" t="s">
        <v>54</v>
      </c>
    </row>
    <row r="7911" spans="1:2" x14ac:dyDescent="0.2">
      <c r="A7911">
        <v>7905</v>
      </c>
      <c r="B7911" t="s">
        <v>54</v>
      </c>
    </row>
    <row r="7912" spans="1:2" x14ac:dyDescent="0.2">
      <c r="A7912">
        <v>7906</v>
      </c>
      <c r="B7912" t="s">
        <v>54</v>
      </c>
    </row>
    <row r="7913" spans="1:2" x14ac:dyDescent="0.2">
      <c r="A7913">
        <v>7907</v>
      </c>
      <c r="B7913" t="s">
        <v>54</v>
      </c>
    </row>
    <row r="7914" spans="1:2" x14ac:dyDescent="0.2">
      <c r="A7914">
        <v>7908</v>
      </c>
      <c r="B7914" t="s">
        <v>54</v>
      </c>
    </row>
    <row r="7915" spans="1:2" x14ac:dyDescent="0.2">
      <c r="A7915">
        <v>7909</v>
      </c>
      <c r="B7915" t="s">
        <v>54</v>
      </c>
    </row>
    <row r="7916" spans="1:2" x14ac:dyDescent="0.2">
      <c r="A7916">
        <v>7910</v>
      </c>
      <c r="B7916" t="s">
        <v>54</v>
      </c>
    </row>
    <row r="7917" spans="1:2" x14ac:dyDescent="0.2">
      <c r="A7917">
        <v>7911</v>
      </c>
      <c r="B7917" t="s">
        <v>54</v>
      </c>
    </row>
    <row r="7918" spans="1:2" x14ac:dyDescent="0.2">
      <c r="A7918">
        <v>7912</v>
      </c>
      <c r="B7918" t="s">
        <v>54</v>
      </c>
    </row>
    <row r="7919" spans="1:2" x14ac:dyDescent="0.2">
      <c r="A7919">
        <v>7913</v>
      </c>
      <c r="B7919" t="s">
        <v>54</v>
      </c>
    </row>
    <row r="7920" spans="1:2" x14ac:dyDescent="0.2">
      <c r="A7920">
        <v>7914</v>
      </c>
      <c r="B7920" t="s">
        <v>54</v>
      </c>
    </row>
    <row r="7921" spans="1:2" x14ac:dyDescent="0.2">
      <c r="A7921">
        <v>7915</v>
      </c>
      <c r="B7921" t="s">
        <v>54</v>
      </c>
    </row>
    <row r="7922" spans="1:2" x14ac:dyDescent="0.2">
      <c r="A7922">
        <v>7916</v>
      </c>
      <c r="B7922" t="s">
        <v>54</v>
      </c>
    </row>
    <row r="7923" spans="1:2" x14ac:dyDescent="0.2">
      <c r="A7923">
        <v>7917</v>
      </c>
      <c r="B7923" t="s">
        <v>54</v>
      </c>
    </row>
    <row r="7924" spans="1:2" x14ac:dyDescent="0.2">
      <c r="A7924">
        <v>7918</v>
      </c>
      <c r="B7924" t="s">
        <v>54</v>
      </c>
    </row>
    <row r="7925" spans="1:2" x14ac:dyDescent="0.2">
      <c r="A7925">
        <v>7919</v>
      </c>
      <c r="B7925" t="s">
        <v>54</v>
      </c>
    </row>
    <row r="7926" spans="1:2" x14ac:dyDescent="0.2">
      <c r="A7926">
        <v>7920</v>
      </c>
      <c r="B7926" t="s">
        <v>54</v>
      </c>
    </row>
    <row r="7927" spans="1:2" x14ac:dyDescent="0.2">
      <c r="A7927">
        <v>7921</v>
      </c>
      <c r="B7927" t="s">
        <v>54</v>
      </c>
    </row>
    <row r="7928" spans="1:2" x14ac:dyDescent="0.2">
      <c r="A7928">
        <v>7922</v>
      </c>
      <c r="B7928" t="s">
        <v>54</v>
      </c>
    </row>
    <row r="7929" spans="1:2" x14ac:dyDescent="0.2">
      <c r="A7929">
        <v>7923</v>
      </c>
      <c r="B7929" t="s">
        <v>54</v>
      </c>
    </row>
    <row r="7930" spans="1:2" x14ac:dyDescent="0.2">
      <c r="A7930">
        <v>7924</v>
      </c>
      <c r="B7930" t="s">
        <v>54</v>
      </c>
    </row>
    <row r="7931" spans="1:2" x14ac:dyDescent="0.2">
      <c r="A7931">
        <v>7925</v>
      </c>
      <c r="B7931" t="s">
        <v>54</v>
      </c>
    </row>
    <row r="7932" spans="1:2" x14ac:dyDescent="0.2">
      <c r="A7932">
        <v>7926</v>
      </c>
      <c r="B7932" t="s">
        <v>54</v>
      </c>
    </row>
    <row r="7933" spans="1:2" x14ac:dyDescent="0.2">
      <c r="A7933">
        <v>7927</v>
      </c>
      <c r="B7933" t="s">
        <v>54</v>
      </c>
    </row>
    <row r="7934" spans="1:2" x14ac:dyDescent="0.2">
      <c r="A7934">
        <v>7928</v>
      </c>
      <c r="B7934" t="s">
        <v>54</v>
      </c>
    </row>
    <row r="7935" spans="1:2" x14ac:dyDescent="0.2">
      <c r="A7935">
        <v>7929</v>
      </c>
      <c r="B7935" t="s">
        <v>54</v>
      </c>
    </row>
    <row r="7936" spans="1:2" x14ac:dyDescent="0.2">
      <c r="A7936">
        <v>7930</v>
      </c>
      <c r="B7936" t="s">
        <v>54</v>
      </c>
    </row>
    <row r="7937" spans="1:2" x14ac:dyDescent="0.2">
      <c r="A7937">
        <v>7931</v>
      </c>
      <c r="B7937" t="s">
        <v>54</v>
      </c>
    </row>
    <row r="7938" spans="1:2" x14ac:dyDescent="0.2">
      <c r="A7938">
        <v>7932</v>
      </c>
      <c r="B7938" t="s">
        <v>54</v>
      </c>
    </row>
    <row r="7939" spans="1:2" x14ac:dyDescent="0.2">
      <c r="A7939">
        <v>7933</v>
      </c>
      <c r="B7939" t="s">
        <v>54</v>
      </c>
    </row>
    <row r="7940" spans="1:2" x14ac:dyDescent="0.2">
      <c r="A7940">
        <v>7934</v>
      </c>
      <c r="B7940" t="s">
        <v>54</v>
      </c>
    </row>
    <row r="7941" spans="1:2" x14ac:dyDescent="0.2">
      <c r="A7941">
        <v>7935</v>
      </c>
      <c r="B7941" t="s">
        <v>54</v>
      </c>
    </row>
    <row r="7942" spans="1:2" x14ac:dyDescent="0.2">
      <c r="A7942">
        <v>7936</v>
      </c>
      <c r="B7942" t="s">
        <v>54</v>
      </c>
    </row>
    <row r="7943" spans="1:2" x14ac:dyDescent="0.2">
      <c r="A7943">
        <v>7937</v>
      </c>
      <c r="B7943" t="s">
        <v>54</v>
      </c>
    </row>
    <row r="7944" spans="1:2" x14ac:dyDescent="0.2">
      <c r="A7944">
        <v>7938</v>
      </c>
      <c r="B7944" t="s">
        <v>54</v>
      </c>
    </row>
    <row r="7945" spans="1:2" x14ac:dyDescent="0.2">
      <c r="A7945">
        <v>7939</v>
      </c>
      <c r="B7945" t="s">
        <v>54</v>
      </c>
    </row>
    <row r="7946" spans="1:2" x14ac:dyDescent="0.2">
      <c r="A7946">
        <v>7940</v>
      </c>
      <c r="B7946" t="s">
        <v>54</v>
      </c>
    </row>
    <row r="7947" spans="1:2" x14ac:dyDescent="0.2">
      <c r="A7947">
        <v>7941</v>
      </c>
      <c r="B7947" t="s">
        <v>54</v>
      </c>
    </row>
    <row r="7948" spans="1:2" x14ac:dyDescent="0.2">
      <c r="A7948">
        <v>7942</v>
      </c>
      <c r="B7948" t="s">
        <v>54</v>
      </c>
    </row>
    <row r="7949" spans="1:2" x14ac:dyDescent="0.2">
      <c r="A7949">
        <v>7943</v>
      </c>
      <c r="B7949" t="s">
        <v>54</v>
      </c>
    </row>
    <row r="7950" spans="1:2" x14ac:dyDescent="0.2">
      <c r="A7950">
        <v>7944</v>
      </c>
      <c r="B7950" t="s">
        <v>54</v>
      </c>
    </row>
    <row r="7951" spans="1:2" x14ac:dyDescent="0.2">
      <c r="A7951">
        <v>7945</v>
      </c>
      <c r="B7951" t="s">
        <v>54</v>
      </c>
    </row>
    <row r="7952" spans="1:2" x14ac:dyDescent="0.2">
      <c r="A7952">
        <v>7946</v>
      </c>
      <c r="B7952" t="s">
        <v>54</v>
      </c>
    </row>
    <row r="7953" spans="1:2" x14ac:dyDescent="0.2">
      <c r="A7953">
        <v>7947</v>
      </c>
      <c r="B7953" t="s">
        <v>54</v>
      </c>
    </row>
    <row r="7954" spans="1:2" x14ac:dyDescent="0.2">
      <c r="A7954">
        <v>7948</v>
      </c>
      <c r="B7954" t="s">
        <v>54</v>
      </c>
    </row>
    <row r="7955" spans="1:2" x14ac:dyDescent="0.2">
      <c r="A7955">
        <v>7949</v>
      </c>
      <c r="B7955" t="s">
        <v>54</v>
      </c>
    </row>
    <row r="7956" spans="1:2" x14ac:dyDescent="0.2">
      <c r="A7956">
        <v>7950</v>
      </c>
      <c r="B7956" t="s">
        <v>54</v>
      </c>
    </row>
    <row r="7957" spans="1:2" x14ac:dyDescent="0.2">
      <c r="A7957">
        <v>7951</v>
      </c>
      <c r="B7957" t="s">
        <v>54</v>
      </c>
    </row>
    <row r="7958" spans="1:2" x14ac:dyDescent="0.2">
      <c r="A7958">
        <v>7952</v>
      </c>
      <c r="B7958" t="s">
        <v>54</v>
      </c>
    </row>
    <row r="7959" spans="1:2" x14ac:dyDescent="0.2">
      <c r="A7959">
        <v>7953</v>
      </c>
      <c r="B7959" t="s">
        <v>54</v>
      </c>
    </row>
    <row r="7960" spans="1:2" x14ac:dyDescent="0.2">
      <c r="A7960">
        <v>7954</v>
      </c>
      <c r="B7960" t="s">
        <v>54</v>
      </c>
    </row>
    <row r="7961" spans="1:2" x14ac:dyDescent="0.2">
      <c r="A7961">
        <v>7955</v>
      </c>
      <c r="B7961" t="s">
        <v>54</v>
      </c>
    </row>
    <row r="7962" spans="1:2" x14ac:dyDescent="0.2">
      <c r="A7962">
        <v>7956</v>
      </c>
      <c r="B7962" t="s">
        <v>54</v>
      </c>
    </row>
    <row r="7963" spans="1:2" x14ac:dyDescent="0.2">
      <c r="A7963">
        <v>7957</v>
      </c>
      <c r="B7963" t="s">
        <v>54</v>
      </c>
    </row>
    <row r="7964" spans="1:2" x14ac:dyDescent="0.2">
      <c r="A7964">
        <v>7958</v>
      </c>
      <c r="B7964" t="s">
        <v>54</v>
      </c>
    </row>
    <row r="7965" spans="1:2" x14ac:dyDescent="0.2">
      <c r="A7965">
        <v>7959</v>
      </c>
      <c r="B7965" t="s">
        <v>54</v>
      </c>
    </row>
    <row r="7966" spans="1:2" x14ac:dyDescent="0.2">
      <c r="A7966">
        <v>7960</v>
      </c>
      <c r="B7966" t="s">
        <v>54</v>
      </c>
    </row>
    <row r="7967" spans="1:2" x14ac:dyDescent="0.2">
      <c r="A7967">
        <v>7961</v>
      </c>
      <c r="B7967" t="s">
        <v>54</v>
      </c>
    </row>
    <row r="7968" spans="1:2" x14ac:dyDescent="0.2">
      <c r="A7968">
        <v>7962</v>
      </c>
      <c r="B7968" t="s">
        <v>54</v>
      </c>
    </row>
    <row r="7969" spans="1:2" x14ac:dyDescent="0.2">
      <c r="A7969">
        <v>7963</v>
      </c>
      <c r="B7969" t="s">
        <v>54</v>
      </c>
    </row>
    <row r="7970" spans="1:2" x14ac:dyDescent="0.2">
      <c r="A7970">
        <v>7964</v>
      </c>
      <c r="B7970" t="s">
        <v>54</v>
      </c>
    </row>
    <row r="7971" spans="1:2" x14ac:dyDescent="0.2">
      <c r="A7971">
        <v>7965</v>
      </c>
      <c r="B7971" t="s">
        <v>54</v>
      </c>
    </row>
    <row r="7972" spans="1:2" x14ac:dyDescent="0.2">
      <c r="A7972">
        <v>7966</v>
      </c>
      <c r="B7972" t="s">
        <v>54</v>
      </c>
    </row>
    <row r="7973" spans="1:2" x14ac:dyDescent="0.2">
      <c r="A7973">
        <v>7967</v>
      </c>
      <c r="B7973" t="s">
        <v>54</v>
      </c>
    </row>
    <row r="7974" spans="1:2" x14ac:dyDescent="0.2">
      <c r="A7974">
        <v>7968</v>
      </c>
      <c r="B7974" t="s">
        <v>54</v>
      </c>
    </row>
    <row r="7975" spans="1:2" x14ac:dyDescent="0.2">
      <c r="A7975">
        <v>7969</v>
      </c>
      <c r="B7975" t="s">
        <v>54</v>
      </c>
    </row>
    <row r="7976" spans="1:2" x14ac:dyDescent="0.2">
      <c r="A7976">
        <v>7970</v>
      </c>
      <c r="B7976" t="s">
        <v>54</v>
      </c>
    </row>
    <row r="7977" spans="1:2" x14ac:dyDescent="0.2">
      <c r="A7977">
        <v>7971</v>
      </c>
      <c r="B7977" t="s">
        <v>54</v>
      </c>
    </row>
    <row r="7978" spans="1:2" x14ac:dyDescent="0.2">
      <c r="A7978">
        <v>7972</v>
      </c>
      <c r="B7978" t="s">
        <v>54</v>
      </c>
    </row>
    <row r="7979" spans="1:2" x14ac:dyDescent="0.2">
      <c r="A7979">
        <v>7973</v>
      </c>
      <c r="B7979" t="s">
        <v>54</v>
      </c>
    </row>
    <row r="7980" spans="1:2" x14ac:dyDescent="0.2">
      <c r="A7980">
        <v>7974</v>
      </c>
      <c r="B7980" t="s">
        <v>54</v>
      </c>
    </row>
    <row r="7981" spans="1:2" x14ac:dyDescent="0.2">
      <c r="A7981">
        <v>7975</v>
      </c>
      <c r="B7981" t="s">
        <v>54</v>
      </c>
    </row>
    <row r="7982" spans="1:2" x14ac:dyDescent="0.2">
      <c r="A7982">
        <v>7976</v>
      </c>
      <c r="B7982" t="s">
        <v>54</v>
      </c>
    </row>
    <row r="7983" spans="1:2" x14ac:dyDescent="0.2">
      <c r="A7983">
        <v>7977</v>
      </c>
      <c r="B7983" t="s">
        <v>54</v>
      </c>
    </row>
    <row r="7984" spans="1:2" x14ac:dyDescent="0.2">
      <c r="A7984">
        <v>7978</v>
      </c>
      <c r="B7984" t="s">
        <v>54</v>
      </c>
    </row>
    <row r="7985" spans="1:2" x14ac:dyDescent="0.2">
      <c r="A7985">
        <v>7979</v>
      </c>
      <c r="B7985" t="s">
        <v>54</v>
      </c>
    </row>
    <row r="7986" spans="1:2" x14ac:dyDescent="0.2">
      <c r="A7986">
        <v>7980</v>
      </c>
      <c r="B7986" t="s">
        <v>54</v>
      </c>
    </row>
    <row r="7987" spans="1:2" x14ac:dyDescent="0.2">
      <c r="A7987">
        <v>7981</v>
      </c>
      <c r="B7987" t="s">
        <v>54</v>
      </c>
    </row>
    <row r="7988" spans="1:2" x14ac:dyDescent="0.2">
      <c r="A7988">
        <v>7982</v>
      </c>
      <c r="B7988" t="s">
        <v>54</v>
      </c>
    </row>
    <row r="7989" spans="1:2" x14ac:dyDescent="0.2">
      <c r="A7989">
        <v>7983</v>
      </c>
      <c r="B7989" t="s">
        <v>54</v>
      </c>
    </row>
    <row r="7990" spans="1:2" x14ac:dyDescent="0.2">
      <c r="A7990">
        <v>7984</v>
      </c>
      <c r="B7990" t="s">
        <v>54</v>
      </c>
    </row>
    <row r="7991" spans="1:2" x14ac:dyDescent="0.2">
      <c r="A7991">
        <v>7985</v>
      </c>
      <c r="B7991" t="s">
        <v>54</v>
      </c>
    </row>
    <row r="7992" spans="1:2" x14ac:dyDescent="0.2">
      <c r="A7992">
        <v>7986</v>
      </c>
      <c r="B7992" t="s">
        <v>54</v>
      </c>
    </row>
    <row r="7993" spans="1:2" x14ac:dyDescent="0.2">
      <c r="A7993">
        <v>7987</v>
      </c>
      <c r="B7993" t="s">
        <v>54</v>
      </c>
    </row>
    <row r="7994" spans="1:2" x14ac:dyDescent="0.2">
      <c r="A7994">
        <v>7988</v>
      </c>
      <c r="B7994" t="s">
        <v>54</v>
      </c>
    </row>
    <row r="7995" spans="1:2" x14ac:dyDescent="0.2">
      <c r="A7995">
        <v>7989</v>
      </c>
      <c r="B7995" t="s">
        <v>54</v>
      </c>
    </row>
    <row r="7996" spans="1:2" x14ac:dyDescent="0.2">
      <c r="A7996">
        <v>7990</v>
      </c>
      <c r="B7996" t="s">
        <v>54</v>
      </c>
    </row>
    <row r="7997" spans="1:2" x14ac:dyDescent="0.2">
      <c r="A7997">
        <v>7991</v>
      </c>
      <c r="B7997" t="s">
        <v>54</v>
      </c>
    </row>
    <row r="7998" spans="1:2" x14ac:dyDescent="0.2">
      <c r="A7998">
        <v>7992</v>
      </c>
      <c r="B7998" t="s">
        <v>54</v>
      </c>
    </row>
    <row r="7999" spans="1:2" x14ac:dyDescent="0.2">
      <c r="A7999">
        <v>7993</v>
      </c>
      <c r="B7999" t="s">
        <v>54</v>
      </c>
    </row>
    <row r="8000" spans="1:2" x14ac:dyDescent="0.2">
      <c r="A8000">
        <v>7994</v>
      </c>
      <c r="B8000" t="s">
        <v>54</v>
      </c>
    </row>
    <row r="8001" spans="1:2" x14ac:dyDescent="0.2">
      <c r="A8001">
        <v>7995</v>
      </c>
      <c r="B8001" t="s">
        <v>54</v>
      </c>
    </row>
    <row r="8002" spans="1:2" x14ac:dyDescent="0.2">
      <c r="A8002">
        <v>7996</v>
      </c>
      <c r="B8002" t="s">
        <v>54</v>
      </c>
    </row>
    <row r="8003" spans="1:2" x14ac:dyDescent="0.2">
      <c r="A8003">
        <v>7997</v>
      </c>
      <c r="B8003" t="s">
        <v>54</v>
      </c>
    </row>
    <row r="8004" spans="1:2" x14ac:dyDescent="0.2">
      <c r="A8004">
        <v>7998</v>
      </c>
      <c r="B8004" t="s">
        <v>54</v>
      </c>
    </row>
    <row r="8005" spans="1:2" x14ac:dyDescent="0.2">
      <c r="A8005">
        <v>7999</v>
      </c>
      <c r="B8005" t="s">
        <v>54</v>
      </c>
    </row>
    <row r="8006" spans="1:2" x14ac:dyDescent="0.2">
      <c r="A8006">
        <v>8000</v>
      </c>
      <c r="B8006" t="s">
        <v>54</v>
      </c>
    </row>
    <row r="8007" spans="1:2" x14ac:dyDescent="0.2">
      <c r="A8007">
        <v>8001</v>
      </c>
      <c r="B8007" t="s">
        <v>54</v>
      </c>
    </row>
    <row r="8008" spans="1:2" x14ac:dyDescent="0.2">
      <c r="A8008">
        <v>8002</v>
      </c>
      <c r="B8008" t="s">
        <v>54</v>
      </c>
    </row>
    <row r="8009" spans="1:2" x14ac:dyDescent="0.2">
      <c r="A8009">
        <v>8003</v>
      </c>
      <c r="B8009" t="s">
        <v>54</v>
      </c>
    </row>
    <row r="8010" spans="1:2" x14ac:dyDescent="0.2">
      <c r="A8010">
        <v>8004</v>
      </c>
      <c r="B8010" t="s">
        <v>54</v>
      </c>
    </row>
    <row r="8011" spans="1:2" x14ac:dyDescent="0.2">
      <c r="A8011">
        <v>8005</v>
      </c>
      <c r="B8011" t="s">
        <v>54</v>
      </c>
    </row>
    <row r="8012" spans="1:2" x14ac:dyDescent="0.2">
      <c r="A8012">
        <v>8006</v>
      </c>
      <c r="B8012" t="s">
        <v>54</v>
      </c>
    </row>
    <row r="8013" spans="1:2" x14ac:dyDescent="0.2">
      <c r="A8013">
        <v>8007</v>
      </c>
      <c r="B8013" t="s">
        <v>54</v>
      </c>
    </row>
    <row r="8014" spans="1:2" x14ac:dyDescent="0.2">
      <c r="A8014">
        <v>8008</v>
      </c>
      <c r="B8014" t="s">
        <v>54</v>
      </c>
    </row>
    <row r="8015" spans="1:2" x14ac:dyDescent="0.2">
      <c r="A8015">
        <v>8009</v>
      </c>
      <c r="B8015" t="s">
        <v>54</v>
      </c>
    </row>
    <row r="8016" spans="1:2" x14ac:dyDescent="0.2">
      <c r="A8016">
        <v>8010</v>
      </c>
      <c r="B8016" t="s">
        <v>54</v>
      </c>
    </row>
    <row r="8017" spans="1:2" x14ac:dyDescent="0.2">
      <c r="A8017">
        <v>8011</v>
      </c>
      <c r="B8017" t="s">
        <v>54</v>
      </c>
    </row>
    <row r="8018" spans="1:2" x14ac:dyDescent="0.2">
      <c r="A8018">
        <v>8012</v>
      </c>
      <c r="B8018" t="s">
        <v>54</v>
      </c>
    </row>
    <row r="8019" spans="1:2" x14ac:dyDescent="0.2">
      <c r="A8019">
        <v>8013</v>
      </c>
      <c r="B8019" t="s">
        <v>54</v>
      </c>
    </row>
    <row r="8020" spans="1:2" x14ac:dyDescent="0.2">
      <c r="A8020">
        <v>8014</v>
      </c>
      <c r="B8020" t="s">
        <v>54</v>
      </c>
    </row>
    <row r="8021" spans="1:2" x14ac:dyDescent="0.2">
      <c r="A8021">
        <v>8015</v>
      </c>
      <c r="B8021" t="s">
        <v>54</v>
      </c>
    </row>
    <row r="8022" spans="1:2" x14ac:dyDescent="0.2">
      <c r="A8022">
        <v>8016</v>
      </c>
      <c r="B8022" t="s">
        <v>54</v>
      </c>
    </row>
    <row r="8023" spans="1:2" x14ac:dyDescent="0.2">
      <c r="A8023">
        <v>8017</v>
      </c>
      <c r="B8023" t="s">
        <v>54</v>
      </c>
    </row>
    <row r="8024" spans="1:2" x14ac:dyDescent="0.2">
      <c r="A8024">
        <v>8018</v>
      </c>
      <c r="B8024" t="s">
        <v>54</v>
      </c>
    </row>
    <row r="8025" spans="1:2" x14ac:dyDescent="0.2">
      <c r="A8025">
        <v>8019</v>
      </c>
      <c r="B8025" t="s">
        <v>54</v>
      </c>
    </row>
    <row r="8026" spans="1:2" x14ac:dyDescent="0.2">
      <c r="A8026">
        <v>8020</v>
      </c>
      <c r="B8026" t="s">
        <v>54</v>
      </c>
    </row>
    <row r="8027" spans="1:2" x14ac:dyDescent="0.2">
      <c r="A8027">
        <v>8021</v>
      </c>
      <c r="B8027" t="s">
        <v>54</v>
      </c>
    </row>
    <row r="8028" spans="1:2" x14ac:dyDescent="0.2">
      <c r="A8028">
        <v>8022</v>
      </c>
      <c r="B8028" t="s">
        <v>54</v>
      </c>
    </row>
    <row r="8029" spans="1:2" x14ac:dyDescent="0.2">
      <c r="A8029">
        <v>8023</v>
      </c>
      <c r="B8029" t="s">
        <v>54</v>
      </c>
    </row>
    <row r="8030" spans="1:2" x14ac:dyDescent="0.2">
      <c r="A8030">
        <v>8024</v>
      </c>
      <c r="B8030" t="s">
        <v>54</v>
      </c>
    </row>
    <row r="8031" spans="1:2" x14ac:dyDescent="0.2">
      <c r="A8031">
        <v>8025</v>
      </c>
      <c r="B8031" t="s">
        <v>54</v>
      </c>
    </row>
    <row r="8032" spans="1:2" x14ac:dyDescent="0.2">
      <c r="A8032">
        <v>8026</v>
      </c>
      <c r="B8032" t="s">
        <v>54</v>
      </c>
    </row>
    <row r="8033" spans="1:2" x14ac:dyDescent="0.2">
      <c r="A8033">
        <v>8027</v>
      </c>
      <c r="B8033" t="s">
        <v>54</v>
      </c>
    </row>
    <row r="8034" spans="1:2" x14ac:dyDescent="0.2">
      <c r="A8034">
        <v>8028</v>
      </c>
      <c r="B8034" t="s">
        <v>54</v>
      </c>
    </row>
    <row r="8035" spans="1:2" x14ac:dyDescent="0.2">
      <c r="A8035">
        <v>8029</v>
      </c>
      <c r="B8035" t="s">
        <v>54</v>
      </c>
    </row>
    <row r="8036" spans="1:2" x14ac:dyDescent="0.2">
      <c r="A8036">
        <v>8030</v>
      </c>
      <c r="B8036" t="s">
        <v>54</v>
      </c>
    </row>
    <row r="8037" spans="1:2" x14ac:dyDescent="0.2">
      <c r="A8037">
        <v>8031</v>
      </c>
      <c r="B8037" t="s">
        <v>54</v>
      </c>
    </row>
    <row r="8038" spans="1:2" x14ac:dyDescent="0.2">
      <c r="A8038">
        <v>8032</v>
      </c>
      <c r="B8038" t="s">
        <v>54</v>
      </c>
    </row>
    <row r="8039" spans="1:2" x14ac:dyDescent="0.2">
      <c r="A8039">
        <v>8033</v>
      </c>
      <c r="B8039" t="s">
        <v>54</v>
      </c>
    </row>
    <row r="8040" spans="1:2" x14ac:dyDescent="0.2">
      <c r="A8040">
        <v>8034</v>
      </c>
      <c r="B8040" t="s">
        <v>54</v>
      </c>
    </row>
    <row r="8041" spans="1:2" x14ac:dyDescent="0.2">
      <c r="A8041">
        <v>8035</v>
      </c>
      <c r="B8041" t="s">
        <v>54</v>
      </c>
    </row>
    <row r="8042" spans="1:2" x14ac:dyDescent="0.2">
      <c r="A8042">
        <v>8036</v>
      </c>
      <c r="B8042" t="s">
        <v>54</v>
      </c>
    </row>
    <row r="8043" spans="1:2" x14ac:dyDescent="0.2">
      <c r="A8043">
        <v>8037</v>
      </c>
      <c r="B8043" t="s">
        <v>54</v>
      </c>
    </row>
    <row r="8044" spans="1:2" x14ac:dyDescent="0.2">
      <c r="A8044">
        <v>8038</v>
      </c>
      <c r="B8044" t="s">
        <v>54</v>
      </c>
    </row>
    <row r="8045" spans="1:2" x14ac:dyDescent="0.2">
      <c r="A8045">
        <v>8039</v>
      </c>
      <c r="B8045" t="s">
        <v>54</v>
      </c>
    </row>
    <row r="8046" spans="1:2" x14ac:dyDescent="0.2">
      <c r="A8046">
        <v>8040</v>
      </c>
      <c r="B8046" t="s">
        <v>54</v>
      </c>
    </row>
    <row r="8047" spans="1:2" x14ac:dyDescent="0.2">
      <c r="A8047">
        <v>8041</v>
      </c>
      <c r="B8047" t="s">
        <v>54</v>
      </c>
    </row>
    <row r="8048" spans="1:2" x14ac:dyDescent="0.2">
      <c r="A8048">
        <v>8042</v>
      </c>
      <c r="B8048" t="s">
        <v>54</v>
      </c>
    </row>
    <row r="8049" spans="1:2" x14ac:dyDescent="0.2">
      <c r="A8049">
        <v>8043</v>
      </c>
      <c r="B8049" t="s">
        <v>54</v>
      </c>
    </row>
    <row r="8050" spans="1:2" x14ac:dyDescent="0.2">
      <c r="A8050">
        <v>8044</v>
      </c>
      <c r="B8050" t="s">
        <v>54</v>
      </c>
    </row>
    <row r="8051" spans="1:2" x14ac:dyDescent="0.2">
      <c r="A8051">
        <v>8045</v>
      </c>
      <c r="B8051" t="s">
        <v>54</v>
      </c>
    </row>
    <row r="8052" spans="1:2" x14ac:dyDescent="0.2">
      <c r="A8052">
        <v>8046</v>
      </c>
      <c r="B8052" t="s">
        <v>54</v>
      </c>
    </row>
    <row r="8053" spans="1:2" x14ac:dyDescent="0.2">
      <c r="A8053">
        <v>8047</v>
      </c>
      <c r="B8053" t="s">
        <v>54</v>
      </c>
    </row>
    <row r="8054" spans="1:2" x14ac:dyDescent="0.2">
      <c r="A8054">
        <v>8048</v>
      </c>
      <c r="B8054" t="s">
        <v>54</v>
      </c>
    </row>
    <row r="8055" spans="1:2" x14ac:dyDescent="0.2">
      <c r="A8055">
        <v>8049</v>
      </c>
      <c r="B8055" t="s">
        <v>54</v>
      </c>
    </row>
    <row r="8056" spans="1:2" x14ac:dyDescent="0.2">
      <c r="A8056">
        <v>8050</v>
      </c>
      <c r="B8056" t="s">
        <v>54</v>
      </c>
    </row>
    <row r="8057" spans="1:2" x14ac:dyDescent="0.2">
      <c r="A8057">
        <v>8051</v>
      </c>
      <c r="B8057" t="s">
        <v>54</v>
      </c>
    </row>
    <row r="8058" spans="1:2" x14ac:dyDescent="0.2">
      <c r="A8058">
        <v>8052</v>
      </c>
      <c r="B8058" t="s">
        <v>54</v>
      </c>
    </row>
    <row r="8059" spans="1:2" x14ac:dyDescent="0.2">
      <c r="A8059">
        <v>8053</v>
      </c>
      <c r="B8059" t="s">
        <v>54</v>
      </c>
    </row>
    <row r="8060" spans="1:2" x14ac:dyDescent="0.2">
      <c r="A8060">
        <v>8054</v>
      </c>
      <c r="B8060" t="s">
        <v>54</v>
      </c>
    </row>
    <row r="8061" spans="1:2" x14ac:dyDescent="0.2">
      <c r="A8061">
        <v>8055</v>
      </c>
      <c r="B8061" t="s">
        <v>54</v>
      </c>
    </row>
    <row r="8062" spans="1:2" x14ac:dyDescent="0.2">
      <c r="A8062">
        <v>8056</v>
      </c>
      <c r="B8062" t="s">
        <v>54</v>
      </c>
    </row>
    <row r="8063" spans="1:2" x14ac:dyDescent="0.2">
      <c r="A8063">
        <v>8057</v>
      </c>
      <c r="B8063" t="s">
        <v>54</v>
      </c>
    </row>
    <row r="8064" spans="1:2" x14ac:dyDescent="0.2">
      <c r="A8064">
        <v>8058</v>
      </c>
      <c r="B8064" t="s">
        <v>54</v>
      </c>
    </row>
    <row r="8065" spans="1:2" x14ac:dyDescent="0.2">
      <c r="A8065">
        <v>8059</v>
      </c>
      <c r="B8065" t="s">
        <v>54</v>
      </c>
    </row>
    <row r="8066" spans="1:2" x14ac:dyDescent="0.2">
      <c r="A8066">
        <v>8060</v>
      </c>
      <c r="B8066" t="s">
        <v>54</v>
      </c>
    </row>
    <row r="8067" spans="1:2" x14ac:dyDescent="0.2">
      <c r="A8067">
        <v>8061</v>
      </c>
      <c r="B8067" t="s">
        <v>54</v>
      </c>
    </row>
    <row r="8068" spans="1:2" x14ac:dyDescent="0.2">
      <c r="A8068">
        <v>8062</v>
      </c>
      <c r="B8068" t="s">
        <v>54</v>
      </c>
    </row>
    <row r="8069" spans="1:2" x14ac:dyDescent="0.2">
      <c r="A8069">
        <v>8063</v>
      </c>
      <c r="B8069" t="s">
        <v>54</v>
      </c>
    </row>
    <row r="8070" spans="1:2" x14ac:dyDescent="0.2">
      <c r="A8070">
        <v>8064</v>
      </c>
      <c r="B8070" t="s">
        <v>54</v>
      </c>
    </row>
    <row r="8071" spans="1:2" x14ac:dyDescent="0.2">
      <c r="A8071">
        <v>8065</v>
      </c>
      <c r="B8071" t="s">
        <v>54</v>
      </c>
    </row>
    <row r="8072" spans="1:2" x14ac:dyDescent="0.2">
      <c r="A8072">
        <v>8066</v>
      </c>
      <c r="B8072" t="s">
        <v>54</v>
      </c>
    </row>
    <row r="8073" spans="1:2" x14ac:dyDescent="0.2">
      <c r="A8073">
        <v>8067</v>
      </c>
      <c r="B8073" t="s">
        <v>54</v>
      </c>
    </row>
    <row r="8074" spans="1:2" x14ac:dyDescent="0.2">
      <c r="A8074">
        <v>8068</v>
      </c>
      <c r="B8074" t="s">
        <v>54</v>
      </c>
    </row>
    <row r="8075" spans="1:2" x14ac:dyDescent="0.2">
      <c r="A8075">
        <v>8069</v>
      </c>
      <c r="B8075" t="s">
        <v>54</v>
      </c>
    </row>
    <row r="8076" spans="1:2" x14ac:dyDescent="0.2">
      <c r="A8076">
        <v>8070</v>
      </c>
      <c r="B8076" t="s">
        <v>54</v>
      </c>
    </row>
    <row r="8077" spans="1:2" x14ac:dyDescent="0.2">
      <c r="A8077">
        <v>8071</v>
      </c>
      <c r="B8077" t="s">
        <v>54</v>
      </c>
    </row>
    <row r="8078" spans="1:2" x14ac:dyDescent="0.2">
      <c r="A8078">
        <v>8072</v>
      </c>
      <c r="B8078" t="s">
        <v>54</v>
      </c>
    </row>
    <row r="8079" spans="1:2" x14ac:dyDescent="0.2">
      <c r="A8079">
        <v>8073</v>
      </c>
      <c r="B8079" t="s">
        <v>54</v>
      </c>
    </row>
    <row r="8080" spans="1:2" x14ac:dyDescent="0.2">
      <c r="A8080">
        <v>8074</v>
      </c>
      <c r="B8080" t="s">
        <v>54</v>
      </c>
    </row>
    <row r="8081" spans="1:2" x14ac:dyDescent="0.2">
      <c r="A8081">
        <v>8075</v>
      </c>
      <c r="B8081" t="s">
        <v>54</v>
      </c>
    </row>
    <row r="8082" spans="1:2" x14ac:dyDescent="0.2">
      <c r="A8082">
        <v>8076</v>
      </c>
      <c r="B8082" t="s">
        <v>54</v>
      </c>
    </row>
    <row r="8083" spans="1:2" x14ac:dyDescent="0.2">
      <c r="A8083">
        <v>8077</v>
      </c>
      <c r="B8083" t="s">
        <v>54</v>
      </c>
    </row>
    <row r="8084" spans="1:2" x14ac:dyDescent="0.2">
      <c r="A8084">
        <v>8078</v>
      </c>
      <c r="B8084" t="s">
        <v>54</v>
      </c>
    </row>
    <row r="8085" spans="1:2" x14ac:dyDescent="0.2">
      <c r="A8085">
        <v>8079</v>
      </c>
      <c r="B8085" t="s">
        <v>54</v>
      </c>
    </row>
    <row r="8086" spans="1:2" x14ac:dyDescent="0.2">
      <c r="A8086">
        <v>8080</v>
      </c>
      <c r="B8086" t="s">
        <v>54</v>
      </c>
    </row>
    <row r="8087" spans="1:2" x14ac:dyDescent="0.2">
      <c r="A8087">
        <v>8081</v>
      </c>
      <c r="B8087" t="s">
        <v>54</v>
      </c>
    </row>
    <row r="8088" spans="1:2" x14ac:dyDescent="0.2">
      <c r="A8088">
        <v>8082</v>
      </c>
      <c r="B8088" t="s">
        <v>54</v>
      </c>
    </row>
    <row r="8089" spans="1:2" x14ac:dyDescent="0.2">
      <c r="A8089">
        <v>8083</v>
      </c>
      <c r="B8089" t="s">
        <v>54</v>
      </c>
    </row>
    <row r="8090" spans="1:2" x14ac:dyDescent="0.2">
      <c r="A8090">
        <v>8084</v>
      </c>
      <c r="B8090" t="s">
        <v>54</v>
      </c>
    </row>
    <row r="8091" spans="1:2" x14ac:dyDescent="0.2">
      <c r="A8091">
        <v>8085</v>
      </c>
      <c r="B8091" t="s">
        <v>54</v>
      </c>
    </row>
    <row r="8092" spans="1:2" x14ac:dyDescent="0.2">
      <c r="A8092">
        <v>8086</v>
      </c>
      <c r="B8092" t="s">
        <v>54</v>
      </c>
    </row>
    <row r="8093" spans="1:2" x14ac:dyDescent="0.2">
      <c r="A8093">
        <v>8087</v>
      </c>
      <c r="B8093" t="s">
        <v>54</v>
      </c>
    </row>
    <row r="8094" spans="1:2" x14ac:dyDescent="0.2">
      <c r="A8094">
        <v>8088</v>
      </c>
      <c r="B8094" t="s">
        <v>54</v>
      </c>
    </row>
    <row r="8095" spans="1:2" x14ac:dyDescent="0.2">
      <c r="A8095">
        <v>8089</v>
      </c>
      <c r="B8095" t="s">
        <v>54</v>
      </c>
    </row>
    <row r="8096" spans="1:2" x14ac:dyDescent="0.2">
      <c r="A8096">
        <v>8090</v>
      </c>
      <c r="B8096" t="s">
        <v>54</v>
      </c>
    </row>
    <row r="8097" spans="1:2" x14ac:dyDescent="0.2">
      <c r="A8097">
        <v>8091</v>
      </c>
      <c r="B8097" t="s">
        <v>54</v>
      </c>
    </row>
    <row r="8098" spans="1:2" x14ac:dyDescent="0.2">
      <c r="A8098">
        <v>8092</v>
      </c>
      <c r="B8098" t="s">
        <v>54</v>
      </c>
    </row>
    <row r="8099" spans="1:2" x14ac:dyDescent="0.2">
      <c r="A8099">
        <v>8093</v>
      </c>
      <c r="B8099" t="s">
        <v>54</v>
      </c>
    </row>
    <row r="8100" spans="1:2" x14ac:dyDescent="0.2">
      <c r="A8100">
        <v>8094</v>
      </c>
      <c r="B8100" t="s">
        <v>54</v>
      </c>
    </row>
    <row r="8101" spans="1:2" x14ac:dyDescent="0.2">
      <c r="A8101">
        <v>8095</v>
      </c>
      <c r="B8101" t="s">
        <v>54</v>
      </c>
    </row>
    <row r="8102" spans="1:2" x14ac:dyDescent="0.2">
      <c r="A8102">
        <v>8096</v>
      </c>
      <c r="B8102" t="s">
        <v>54</v>
      </c>
    </row>
    <row r="8103" spans="1:2" x14ac:dyDescent="0.2">
      <c r="A8103">
        <v>8097</v>
      </c>
      <c r="B8103" t="s">
        <v>54</v>
      </c>
    </row>
    <row r="8104" spans="1:2" x14ac:dyDescent="0.2">
      <c r="A8104">
        <v>8098</v>
      </c>
      <c r="B8104" t="s">
        <v>54</v>
      </c>
    </row>
    <row r="8105" spans="1:2" x14ac:dyDescent="0.2">
      <c r="A8105">
        <v>8099</v>
      </c>
      <c r="B8105" t="s">
        <v>54</v>
      </c>
    </row>
    <row r="8106" spans="1:2" x14ac:dyDescent="0.2">
      <c r="A8106">
        <v>8100</v>
      </c>
      <c r="B8106" t="s">
        <v>54</v>
      </c>
    </row>
    <row r="8107" spans="1:2" x14ac:dyDescent="0.2">
      <c r="A8107">
        <v>8101</v>
      </c>
      <c r="B8107" t="s">
        <v>54</v>
      </c>
    </row>
    <row r="8108" spans="1:2" x14ac:dyDescent="0.2">
      <c r="A8108">
        <v>8102</v>
      </c>
      <c r="B8108" t="s">
        <v>54</v>
      </c>
    </row>
    <row r="8109" spans="1:2" x14ac:dyDescent="0.2">
      <c r="A8109">
        <v>8103</v>
      </c>
      <c r="B8109" t="s">
        <v>54</v>
      </c>
    </row>
    <row r="8110" spans="1:2" x14ac:dyDescent="0.2">
      <c r="A8110">
        <v>8104</v>
      </c>
      <c r="B8110" t="s">
        <v>54</v>
      </c>
    </row>
    <row r="8111" spans="1:2" x14ac:dyDescent="0.2">
      <c r="A8111">
        <v>8105</v>
      </c>
      <c r="B8111" t="s">
        <v>54</v>
      </c>
    </row>
    <row r="8112" spans="1:2" x14ac:dyDescent="0.2">
      <c r="A8112">
        <v>8106</v>
      </c>
      <c r="B8112" t="s">
        <v>54</v>
      </c>
    </row>
    <row r="8113" spans="1:2" x14ac:dyDescent="0.2">
      <c r="A8113">
        <v>8107</v>
      </c>
      <c r="B8113" t="s">
        <v>54</v>
      </c>
    </row>
    <row r="8114" spans="1:2" x14ac:dyDescent="0.2">
      <c r="A8114">
        <v>8108</v>
      </c>
      <c r="B8114" t="s">
        <v>54</v>
      </c>
    </row>
    <row r="8115" spans="1:2" x14ac:dyDescent="0.2">
      <c r="A8115">
        <v>8109</v>
      </c>
      <c r="B8115" t="s">
        <v>54</v>
      </c>
    </row>
    <row r="8116" spans="1:2" x14ac:dyDescent="0.2">
      <c r="A8116">
        <v>8110</v>
      </c>
      <c r="B8116" t="s">
        <v>54</v>
      </c>
    </row>
    <row r="8117" spans="1:2" x14ac:dyDescent="0.2">
      <c r="A8117">
        <v>8111</v>
      </c>
      <c r="B8117" t="s">
        <v>54</v>
      </c>
    </row>
    <row r="8118" spans="1:2" x14ac:dyDescent="0.2">
      <c r="A8118">
        <v>8112</v>
      </c>
      <c r="B8118" t="s">
        <v>54</v>
      </c>
    </row>
    <row r="8119" spans="1:2" x14ac:dyDescent="0.2">
      <c r="A8119">
        <v>8113</v>
      </c>
      <c r="B8119" t="s">
        <v>54</v>
      </c>
    </row>
    <row r="8120" spans="1:2" x14ac:dyDescent="0.2">
      <c r="A8120">
        <v>8114</v>
      </c>
      <c r="B8120" t="s">
        <v>54</v>
      </c>
    </row>
    <row r="8121" spans="1:2" x14ac:dyDescent="0.2">
      <c r="A8121">
        <v>8115</v>
      </c>
      <c r="B8121" t="s">
        <v>54</v>
      </c>
    </row>
    <row r="8122" spans="1:2" x14ac:dyDescent="0.2">
      <c r="A8122">
        <v>8116</v>
      </c>
      <c r="B8122" t="s">
        <v>54</v>
      </c>
    </row>
    <row r="8123" spans="1:2" x14ac:dyDescent="0.2">
      <c r="A8123">
        <v>8117</v>
      </c>
      <c r="B8123" t="s">
        <v>54</v>
      </c>
    </row>
    <row r="8124" spans="1:2" x14ac:dyDescent="0.2">
      <c r="A8124">
        <v>8118</v>
      </c>
      <c r="B8124" t="s">
        <v>54</v>
      </c>
    </row>
    <row r="8125" spans="1:2" x14ac:dyDescent="0.2">
      <c r="A8125">
        <v>8119</v>
      </c>
      <c r="B8125" t="s">
        <v>54</v>
      </c>
    </row>
    <row r="8126" spans="1:2" x14ac:dyDescent="0.2">
      <c r="A8126">
        <v>8120</v>
      </c>
      <c r="B8126" t="s">
        <v>54</v>
      </c>
    </row>
    <row r="8127" spans="1:2" x14ac:dyDescent="0.2">
      <c r="A8127">
        <v>8121</v>
      </c>
      <c r="B8127" t="s">
        <v>54</v>
      </c>
    </row>
    <row r="8128" spans="1:2" x14ac:dyDescent="0.2">
      <c r="A8128">
        <v>8122</v>
      </c>
      <c r="B8128" t="s">
        <v>54</v>
      </c>
    </row>
    <row r="8129" spans="1:2" x14ac:dyDescent="0.2">
      <c r="A8129">
        <v>8123</v>
      </c>
      <c r="B8129" t="s">
        <v>54</v>
      </c>
    </row>
    <row r="8130" spans="1:2" x14ac:dyDescent="0.2">
      <c r="A8130">
        <v>8124</v>
      </c>
      <c r="B8130" t="s">
        <v>54</v>
      </c>
    </row>
    <row r="8131" spans="1:2" x14ac:dyDescent="0.2">
      <c r="A8131">
        <v>8125</v>
      </c>
      <c r="B8131" t="s">
        <v>54</v>
      </c>
    </row>
    <row r="8132" spans="1:2" x14ac:dyDescent="0.2">
      <c r="A8132">
        <v>8126</v>
      </c>
      <c r="B8132" t="s">
        <v>54</v>
      </c>
    </row>
    <row r="8133" spans="1:2" x14ac:dyDescent="0.2">
      <c r="A8133">
        <v>8127</v>
      </c>
      <c r="B8133" t="s">
        <v>54</v>
      </c>
    </row>
    <row r="8134" spans="1:2" x14ac:dyDescent="0.2">
      <c r="A8134">
        <v>8128</v>
      </c>
      <c r="B8134" t="s">
        <v>54</v>
      </c>
    </row>
    <row r="8135" spans="1:2" x14ac:dyDescent="0.2">
      <c r="A8135">
        <v>8129</v>
      </c>
      <c r="B8135" t="s">
        <v>54</v>
      </c>
    </row>
    <row r="8136" spans="1:2" x14ac:dyDescent="0.2">
      <c r="A8136">
        <v>8130</v>
      </c>
      <c r="B8136" t="s">
        <v>54</v>
      </c>
    </row>
    <row r="8137" spans="1:2" x14ac:dyDescent="0.2">
      <c r="A8137">
        <v>8131</v>
      </c>
      <c r="B8137" t="s">
        <v>54</v>
      </c>
    </row>
    <row r="8138" spans="1:2" x14ac:dyDescent="0.2">
      <c r="A8138">
        <v>8132</v>
      </c>
      <c r="B8138" t="s">
        <v>54</v>
      </c>
    </row>
    <row r="8139" spans="1:2" x14ac:dyDescent="0.2">
      <c r="A8139">
        <v>8133</v>
      </c>
      <c r="B8139" t="s">
        <v>54</v>
      </c>
    </row>
    <row r="8140" spans="1:2" x14ac:dyDescent="0.2">
      <c r="A8140">
        <v>8134</v>
      </c>
      <c r="B8140" t="s">
        <v>54</v>
      </c>
    </row>
    <row r="8141" spans="1:2" x14ac:dyDescent="0.2">
      <c r="A8141">
        <v>8135</v>
      </c>
      <c r="B8141" t="s">
        <v>54</v>
      </c>
    </row>
    <row r="8142" spans="1:2" x14ac:dyDescent="0.2">
      <c r="A8142">
        <v>8136</v>
      </c>
      <c r="B8142" t="s">
        <v>54</v>
      </c>
    </row>
    <row r="8143" spans="1:2" x14ac:dyDescent="0.2">
      <c r="A8143">
        <v>8137</v>
      </c>
      <c r="B8143" t="s">
        <v>54</v>
      </c>
    </row>
    <row r="8144" spans="1:2" x14ac:dyDescent="0.2">
      <c r="A8144">
        <v>8138</v>
      </c>
      <c r="B8144" t="s">
        <v>54</v>
      </c>
    </row>
    <row r="8145" spans="1:2" x14ac:dyDescent="0.2">
      <c r="A8145">
        <v>8139</v>
      </c>
      <c r="B8145" t="s">
        <v>54</v>
      </c>
    </row>
    <row r="8146" spans="1:2" x14ac:dyDescent="0.2">
      <c r="A8146">
        <v>8140</v>
      </c>
      <c r="B8146" t="s">
        <v>54</v>
      </c>
    </row>
    <row r="8147" spans="1:2" x14ac:dyDescent="0.2">
      <c r="A8147">
        <v>8141</v>
      </c>
      <c r="B8147" t="s">
        <v>54</v>
      </c>
    </row>
    <row r="8148" spans="1:2" x14ac:dyDescent="0.2">
      <c r="A8148">
        <v>8142</v>
      </c>
      <c r="B8148" t="s">
        <v>54</v>
      </c>
    </row>
    <row r="8149" spans="1:2" x14ac:dyDescent="0.2">
      <c r="A8149">
        <v>8143</v>
      </c>
      <c r="B8149" t="s">
        <v>54</v>
      </c>
    </row>
    <row r="8150" spans="1:2" x14ac:dyDescent="0.2">
      <c r="A8150">
        <v>8144</v>
      </c>
      <c r="B8150" t="s">
        <v>54</v>
      </c>
    </row>
    <row r="8151" spans="1:2" x14ac:dyDescent="0.2">
      <c r="A8151">
        <v>8145</v>
      </c>
      <c r="B8151" t="s">
        <v>54</v>
      </c>
    </row>
    <row r="8152" spans="1:2" x14ac:dyDescent="0.2">
      <c r="A8152">
        <v>8146</v>
      </c>
      <c r="B8152" t="s">
        <v>54</v>
      </c>
    </row>
    <row r="8153" spans="1:2" x14ac:dyDescent="0.2">
      <c r="A8153">
        <v>8147</v>
      </c>
      <c r="B8153" t="s">
        <v>54</v>
      </c>
    </row>
    <row r="8154" spans="1:2" x14ac:dyDescent="0.2">
      <c r="A8154">
        <v>8148</v>
      </c>
      <c r="B8154" t="s">
        <v>54</v>
      </c>
    </row>
    <row r="8155" spans="1:2" x14ac:dyDescent="0.2">
      <c r="A8155">
        <v>8149</v>
      </c>
      <c r="B8155" t="s">
        <v>54</v>
      </c>
    </row>
    <row r="8156" spans="1:2" x14ac:dyDescent="0.2">
      <c r="A8156">
        <v>8150</v>
      </c>
      <c r="B8156" t="s">
        <v>54</v>
      </c>
    </row>
    <row r="8157" spans="1:2" x14ac:dyDescent="0.2">
      <c r="A8157">
        <v>8151</v>
      </c>
      <c r="B8157" t="s">
        <v>54</v>
      </c>
    </row>
    <row r="8158" spans="1:2" x14ac:dyDescent="0.2">
      <c r="A8158">
        <v>8152</v>
      </c>
      <c r="B8158" t="s">
        <v>54</v>
      </c>
    </row>
    <row r="8159" spans="1:2" x14ac:dyDescent="0.2">
      <c r="A8159">
        <v>8153</v>
      </c>
      <c r="B8159" t="s">
        <v>54</v>
      </c>
    </row>
    <row r="8160" spans="1:2" x14ac:dyDescent="0.2">
      <c r="A8160">
        <v>8154</v>
      </c>
      <c r="B8160" t="s">
        <v>54</v>
      </c>
    </row>
    <row r="8161" spans="1:2" x14ac:dyDescent="0.2">
      <c r="A8161">
        <v>8155</v>
      </c>
      <c r="B8161" t="s">
        <v>54</v>
      </c>
    </row>
    <row r="8162" spans="1:2" x14ac:dyDescent="0.2">
      <c r="A8162">
        <v>8156</v>
      </c>
      <c r="B8162" t="s">
        <v>54</v>
      </c>
    </row>
    <row r="8163" spans="1:2" x14ac:dyDescent="0.2">
      <c r="A8163">
        <v>8157</v>
      </c>
      <c r="B8163" t="s">
        <v>54</v>
      </c>
    </row>
    <row r="8164" spans="1:2" x14ac:dyDescent="0.2">
      <c r="A8164">
        <v>8158</v>
      </c>
      <c r="B8164" t="s">
        <v>54</v>
      </c>
    </row>
    <row r="8165" spans="1:2" x14ac:dyDescent="0.2">
      <c r="A8165">
        <v>8159</v>
      </c>
      <c r="B8165" t="s">
        <v>54</v>
      </c>
    </row>
    <row r="8166" spans="1:2" x14ac:dyDescent="0.2">
      <c r="A8166">
        <v>8160</v>
      </c>
      <c r="B8166" t="s">
        <v>54</v>
      </c>
    </row>
    <row r="8167" spans="1:2" x14ac:dyDescent="0.2">
      <c r="A8167">
        <v>8161</v>
      </c>
      <c r="B8167" t="s">
        <v>54</v>
      </c>
    </row>
    <row r="8168" spans="1:2" x14ac:dyDescent="0.2">
      <c r="A8168">
        <v>8162</v>
      </c>
      <c r="B8168" t="s">
        <v>54</v>
      </c>
    </row>
    <row r="8169" spans="1:2" x14ac:dyDescent="0.2">
      <c r="A8169">
        <v>8163</v>
      </c>
      <c r="B8169" t="s">
        <v>54</v>
      </c>
    </row>
    <row r="8170" spans="1:2" x14ac:dyDescent="0.2">
      <c r="A8170">
        <v>8164</v>
      </c>
      <c r="B8170" t="s">
        <v>54</v>
      </c>
    </row>
    <row r="8171" spans="1:2" x14ac:dyDescent="0.2">
      <c r="A8171">
        <v>8165</v>
      </c>
      <c r="B8171" t="s">
        <v>54</v>
      </c>
    </row>
    <row r="8172" spans="1:2" x14ac:dyDescent="0.2">
      <c r="A8172">
        <v>8166</v>
      </c>
      <c r="B8172" t="s">
        <v>54</v>
      </c>
    </row>
    <row r="8173" spans="1:2" x14ac:dyDescent="0.2">
      <c r="A8173">
        <v>8167</v>
      </c>
      <c r="B8173" t="s">
        <v>54</v>
      </c>
    </row>
    <row r="8174" spans="1:2" x14ac:dyDescent="0.2">
      <c r="A8174">
        <v>8168</v>
      </c>
      <c r="B8174" t="s">
        <v>54</v>
      </c>
    </row>
    <row r="8175" spans="1:2" x14ac:dyDescent="0.2">
      <c r="A8175">
        <v>8169</v>
      </c>
      <c r="B8175" t="s">
        <v>54</v>
      </c>
    </row>
    <row r="8176" spans="1:2" x14ac:dyDescent="0.2">
      <c r="A8176">
        <v>8170</v>
      </c>
      <c r="B8176" t="s">
        <v>54</v>
      </c>
    </row>
    <row r="8177" spans="1:2" x14ac:dyDescent="0.2">
      <c r="A8177">
        <v>8171</v>
      </c>
      <c r="B8177" t="s">
        <v>54</v>
      </c>
    </row>
    <row r="8178" spans="1:2" x14ac:dyDescent="0.2">
      <c r="A8178">
        <v>8172</v>
      </c>
      <c r="B8178" t="s">
        <v>54</v>
      </c>
    </row>
    <row r="8179" spans="1:2" x14ac:dyDescent="0.2">
      <c r="A8179">
        <v>8173</v>
      </c>
      <c r="B8179" t="s">
        <v>54</v>
      </c>
    </row>
    <row r="8180" spans="1:2" x14ac:dyDescent="0.2">
      <c r="A8180">
        <v>8174</v>
      </c>
      <c r="B8180" t="s">
        <v>54</v>
      </c>
    </row>
    <row r="8181" spans="1:2" x14ac:dyDescent="0.2">
      <c r="A8181">
        <v>8175</v>
      </c>
      <c r="B8181" t="s">
        <v>54</v>
      </c>
    </row>
    <row r="8182" spans="1:2" x14ac:dyDescent="0.2">
      <c r="A8182">
        <v>8176</v>
      </c>
      <c r="B8182" t="s">
        <v>54</v>
      </c>
    </row>
    <row r="8183" spans="1:2" x14ac:dyDescent="0.2">
      <c r="A8183">
        <v>8177</v>
      </c>
      <c r="B8183" t="s">
        <v>54</v>
      </c>
    </row>
    <row r="8184" spans="1:2" x14ac:dyDescent="0.2">
      <c r="A8184">
        <v>8178</v>
      </c>
      <c r="B8184" t="s">
        <v>54</v>
      </c>
    </row>
    <row r="8185" spans="1:2" x14ac:dyDescent="0.2">
      <c r="A8185">
        <v>8179</v>
      </c>
      <c r="B8185" t="s">
        <v>54</v>
      </c>
    </row>
    <row r="8186" spans="1:2" x14ac:dyDescent="0.2">
      <c r="A8186">
        <v>8180</v>
      </c>
      <c r="B8186" t="s">
        <v>54</v>
      </c>
    </row>
    <row r="8187" spans="1:2" x14ac:dyDescent="0.2">
      <c r="A8187">
        <v>8181</v>
      </c>
      <c r="B8187" t="s">
        <v>54</v>
      </c>
    </row>
    <row r="8188" spans="1:2" x14ac:dyDescent="0.2">
      <c r="A8188">
        <v>8182</v>
      </c>
      <c r="B8188" t="s">
        <v>54</v>
      </c>
    </row>
    <row r="8189" spans="1:2" x14ac:dyDescent="0.2">
      <c r="A8189">
        <v>8183</v>
      </c>
      <c r="B8189" t="s">
        <v>54</v>
      </c>
    </row>
    <row r="8190" spans="1:2" x14ac:dyDescent="0.2">
      <c r="A8190">
        <v>8184</v>
      </c>
      <c r="B8190" t="s">
        <v>54</v>
      </c>
    </row>
    <row r="8191" spans="1:2" x14ac:dyDescent="0.2">
      <c r="A8191">
        <v>8185</v>
      </c>
      <c r="B8191" t="s">
        <v>54</v>
      </c>
    </row>
    <row r="8192" spans="1:2" x14ac:dyDescent="0.2">
      <c r="A8192">
        <v>8186</v>
      </c>
      <c r="B8192" t="s">
        <v>54</v>
      </c>
    </row>
    <row r="8193" spans="1:2" x14ac:dyDescent="0.2">
      <c r="A8193">
        <v>8187</v>
      </c>
      <c r="B8193" t="s">
        <v>54</v>
      </c>
    </row>
    <row r="8194" spans="1:2" x14ac:dyDescent="0.2">
      <c r="A8194">
        <v>8188</v>
      </c>
      <c r="B8194" t="s">
        <v>54</v>
      </c>
    </row>
    <row r="8195" spans="1:2" x14ac:dyDescent="0.2">
      <c r="A8195">
        <v>8189</v>
      </c>
      <c r="B8195" t="s">
        <v>54</v>
      </c>
    </row>
    <row r="8196" spans="1:2" x14ac:dyDescent="0.2">
      <c r="A8196">
        <v>8190</v>
      </c>
      <c r="B8196" t="s">
        <v>54</v>
      </c>
    </row>
    <row r="8197" spans="1:2" x14ac:dyDescent="0.2">
      <c r="A8197">
        <v>8191</v>
      </c>
      <c r="B8197" t="s">
        <v>54</v>
      </c>
    </row>
    <row r="8198" spans="1:2" x14ac:dyDescent="0.2">
      <c r="A8198">
        <v>8192</v>
      </c>
      <c r="B8198" t="s">
        <v>54</v>
      </c>
    </row>
    <row r="8199" spans="1:2" x14ac:dyDescent="0.2">
      <c r="A8199">
        <v>8193</v>
      </c>
      <c r="B8199" t="s">
        <v>54</v>
      </c>
    </row>
    <row r="8200" spans="1:2" x14ac:dyDescent="0.2">
      <c r="A8200">
        <v>8194</v>
      </c>
      <c r="B8200" t="s">
        <v>54</v>
      </c>
    </row>
    <row r="8201" spans="1:2" x14ac:dyDescent="0.2">
      <c r="A8201">
        <v>8195</v>
      </c>
      <c r="B8201" t="s">
        <v>54</v>
      </c>
    </row>
    <row r="8202" spans="1:2" x14ac:dyDescent="0.2">
      <c r="A8202">
        <v>8196</v>
      </c>
      <c r="B8202" t="s">
        <v>54</v>
      </c>
    </row>
    <row r="8203" spans="1:2" x14ac:dyDescent="0.2">
      <c r="A8203">
        <v>8197</v>
      </c>
      <c r="B8203" t="s">
        <v>54</v>
      </c>
    </row>
    <row r="8204" spans="1:2" x14ac:dyDescent="0.2">
      <c r="A8204">
        <v>8198</v>
      </c>
      <c r="B8204" t="s">
        <v>54</v>
      </c>
    </row>
    <row r="8205" spans="1:2" x14ac:dyDescent="0.2">
      <c r="A8205">
        <v>8199</v>
      </c>
      <c r="B8205" t="s">
        <v>54</v>
      </c>
    </row>
    <row r="8206" spans="1:2" x14ac:dyDescent="0.2">
      <c r="A8206">
        <v>8200</v>
      </c>
      <c r="B8206" t="s">
        <v>54</v>
      </c>
    </row>
    <row r="8207" spans="1:2" x14ac:dyDescent="0.2">
      <c r="A8207">
        <v>8201</v>
      </c>
      <c r="B8207" t="s">
        <v>54</v>
      </c>
    </row>
    <row r="8208" spans="1:2" x14ac:dyDescent="0.2">
      <c r="A8208">
        <v>8202</v>
      </c>
      <c r="B8208" t="s">
        <v>54</v>
      </c>
    </row>
    <row r="8209" spans="1:2" x14ac:dyDescent="0.2">
      <c r="A8209">
        <v>8203</v>
      </c>
      <c r="B8209" t="s">
        <v>54</v>
      </c>
    </row>
    <row r="8210" spans="1:2" x14ac:dyDescent="0.2">
      <c r="A8210">
        <v>8204</v>
      </c>
      <c r="B8210" t="s">
        <v>54</v>
      </c>
    </row>
    <row r="8211" spans="1:2" x14ac:dyDescent="0.2">
      <c r="A8211">
        <v>8205</v>
      </c>
      <c r="B8211" t="s">
        <v>54</v>
      </c>
    </row>
    <row r="8212" spans="1:2" x14ac:dyDescent="0.2">
      <c r="A8212">
        <v>8206</v>
      </c>
      <c r="B8212" t="s">
        <v>54</v>
      </c>
    </row>
    <row r="8213" spans="1:2" x14ac:dyDescent="0.2">
      <c r="A8213">
        <v>8207</v>
      </c>
      <c r="B8213" t="s">
        <v>54</v>
      </c>
    </row>
    <row r="8214" spans="1:2" x14ac:dyDescent="0.2">
      <c r="A8214">
        <v>8208</v>
      </c>
      <c r="B8214" t="s">
        <v>54</v>
      </c>
    </row>
    <row r="8215" spans="1:2" x14ac:dyDescent="0.2">
      <c r="A8215">
        <v>8209</v>
      </c>
      <c r="B8215" t="s">
        <v>54</v>
      </c>
    </row>
    <row r="8216" spans="1:2" x14ac:dyDescent="0.2">
      <c r="A8216">
        <v>8210</v>
      </c>
      <c r="B8216" t="s">
        <v>54</v>
      </c>
    </row>
    <row r="8217" spans="1:2" x14ac:dyDescent="0.2">
      <c r="A8217">
        <v>8211</v>
      </c>
      <c r="B8217" t="s">
        <v>54</v>
      </c>
    </row>
    <row r="8218" spans="1:2" x14ac:dyDescent="0.2">
      <c r="A8218">
        <v>8212</v>
      </c>
      <c r="B8218" t="s">
        <v>54</v>
      </c>
    </row>
    <row r="8219" spans="1:2" x14ac:dyDescent="0.2">
      <c r="A8219">
        <v>8213</v>
      </c>
      <c r="B8219" t="s">
        <v>54</v>
      </c>
    </row>
    <row r="8220" spans="1:2" x14ac:dyDescent="0.2">
      <c r="A8220">
        <v>8214</v>
      </c>
      <c r="B8220" t="s">
        <v>54</v>
      </c>
    </row>
    <row r="8221" spans="1:2" x14ac:dyDescent="0.2">
      <c r="A8221">
        <v>8215</v>
      </c>
      <c r="B8221" t="s">
        <v>54</v>
      </c>
    </row>
    <row r="8222" spans="1:2" x14ac:dyDescent="0.2">
      <c r="A8222">
        <v>8216</v>
      </c>
      <c r="B8222" t="s">
        <v>54</v>
      </c>
    </row>
    <row r="8223" spans="1:2" x14ac:dyDescent="0.2">
      <c r="A8223">
        <v>8217</v>
      </c>
      <c r="B8223" t="s">
        <v>54</v>
      </c>
    </row>
    <row r="8224" spans="1:2" x14ac:dyDescent="0.2">
      <c r="A8224">
        <v>8218</v>
      </c>
      <c r="B8224" t="s">
        <v>54</v>
      </c>
    </row>
    <row r="8225" spans="1:2" x14ac:dyDescent="0.2">
      <c r="A8225">
        <v>8219</v>
      </c>
      <c r="B8225" t="s">
        <v>54</v>
      </c>
    </row>
    <row r="8226" spans="1:2" x14ac:dyDescent="0.2">
      <c r="A8226">
        <v>8220</v>
      </c>
      <c r="B8226" t="s">
        <v>54</v>
      </c>
    </row>
    <row r="8227" spans="1:2" x14ac:dyDescent="0.2">
      <c r="A8227">
        <v>8221</v>
      </c>
      <c r="B8227" t="s">
        <v>54</v>
      </c>
    </row>
    <row r="8228" spans="1:2" x14ac:dyDescent="0.2">
      <c r="A8228">
        <v>8222</v>
      </c>
      <c r="B8228" t="s">
        <v>54</v>
      </c>
    </row>
    <row r="8229" spans="1:2" x14ac:dyDescent="0.2">
      <c r="A8229">
        <v>8223</v>
      </c>
      <c r="B8229" t="s">
        <v>54</v>
      </c>
    </row>
    <row r="8230" spans="1:2" x14ac:dyDescent="0.2">
      <c r="A8230">
        <v>8224</v>
      </c>
      <c r="B8230" t="s">
        <v>54</v>
      </c>
    </row>
    <row r="8231" spans="1:2" x14ac:dyDescent="0.2">
      <c r="A8231">
        <v>8225</v>
      </c>
      <c r="B8231" t="s">
        <v>54</v>
      </c>
    </row>
    <row r="8232" spans="1:2" x14ac:dyDescent="0.2">
      <c r="A8232">
        <v>8226</v>
      </c>
      <c r="B8232" t="s">
        <v>54</v>
      </c>
    </row>
    <row r="8233" spans="1:2" x14ac:dyDescent="0.2">
      <c r="A8233">
        <v>8227</v>
      </c>
      <c r="B8233" t="s">
        <v>54</v>
      </c>
    </row>
    <row r="8234" spans="1:2" x14ac:dyDescent="0.2">
      <c r="A8234">
        <v>8228</v>
      </c>
      <c r="B8234" t="s">
        <v>54</v>
      </c>
    </row>
    <row r="8235" spans="1:2" x14ac:dyDescent="0.2">
      <c r="A8235">
        <v>8229</v>
      </c>
      <c r="B8235" t="s">
        <v>54</v>
      </c>
    </row>
    <row r="8236" spans="1:2" x14ac:dyDescent="0.2">
      <c r="A8236">
        <v>8230</v>
      </c>
      <c r="B8236" t="s">
        <v>54</v>
      </c>
    </row>
    <row r="8237" spans="1:2" x14ac:dyDescent="0.2">
      <c r="A8237">
        <v>8231</v>
      </c>
      <c r="B8237" t="s">
        <v>54</v>
      </c>
    </row>
    <row r="8238" spans="1:2" x14ac:dyDescent="0.2">
      <c r="A8238">
        <v>8232</v>
      </c>
      <c r="B8238" t="s">
        <v>54</v>
      </c>
    </row>
    <row r="8239" spans="1:2" x14ac:dyDescent="0.2">
      <c r="A8239">
        <v>8233</v>
      </c>
      <c r="B8239" t="s">
        <v>54</v>
      </c>
    </row>
    <row r="8240" spans="1:2" x14ac:dyDescent="0.2">
      <c r="A8240">
        <v>8234</v>
      </c>
      <c r="B8240" t="s">
        <v>54</v>
      </c>
    </row>
    <row r="8241" spans="1:2" x14ac:dyDescent="0.2">
      <c r="A8241">
        <v>8235</v>
      </c>
      <c r="B8241" t="s">
        <v>54</v>
      </c>
    </row>
    <row r="8242" spans="1:2" x14ac:dyDescent="0.2">
      <c r="A8242">
        <v>8236</v>
      </c>
      <c r="B8242" t="s">
        <v>54</v>
      </c>
    </row>
    <row r="8243" spans="1:2" x14ac:dyDescent="0.2">
      <c r="A8243">
        <v>8237</v>
      </c>
      <c r="B8243" t="s">
        <v>54</v>
      </c>
    </row>
    <row r="8244" spans="1:2" x14ac:dyDescent="0.2">
      <c r="A8244">
        <v>8238</v>
      </c>
      <c r="B8244" t="s">
        <v>54</v>
      </c>
    </row>
    <row r="8245" spans="1:2" x14ac:dyDescent="0.2">
      <c r="A8245">
        <v>8239</v>
      </c>
      <c r="B8245" t="s">
        <v>54</v>
      </c>
    </row>
    <row r="8246" spans="1:2" x14ac:dyDescent="0.2">
      <c r="A8246">
        <v>8240</v>
      </c>
      <c r="B8246" t="s">
        <v>54</v>
      </c>
    </row>
    <row r="8247" spans="1:2" x14ac:dyDescent="0.2">
      <c r="A8247">
        <v>8241</v>
      </c>
      <c r="B8247" t="s">
        <v>54</v>
      </c>
    </row>
    <row r="8248" spans="1:2" x14ac:dyDescent="0.2">
      <c r="A8248">
        <v>8242</v>
      </c>
      <c r="B8248" t="s">
        <v>54</v>
      </c>
    </row>
    <row r="8249" spans="1:2" x14ac:dyDescent="0.2">
      <c r="A8249">
        <v>8243</v>
      </c>
      <c r="B8249" t="s">
        <v>54</v>
      </c>
    </row>
    <row r="8250" spans="1:2" x14ac:dyDescent="0.2">
      <c r="A8250">
        <v>8244</v>
      </c>
      <c r="B8250" t="s">
        <v>54</v>
      </c>
    </row>
    <row r="8251" spans="1:2" x14ac:dyDescent="0.2">
      <c r="A8251">
        <v>8245</v>
      </c>
      <c r="B8251" t="s">
        <v>54</v>
      </c>
    </row>
    <row r="8252" spans="1:2" x14ac:dyDescent="0.2">
      <c r="A8252">
        <v>8246</v>
      </c>
      <c r="B8252" t="s">
        <v>54</v>
      </c>
    </row>
    <row r="8253" spans="1:2" x14ac:dyDescent="0.2">
      <c r="A8253">
        <v>8247</v>
      </c>
      <c r="B8253" t="s">
        <v>54</v>
      </c>
    </row>
    <row r="8254" spans="1:2" x14ac:dyDescent="0.2">
      <c r="A8254">
        <v>8248</v>
      </c>
      <c r="B8254" t="s">
        <v>54</v>
      </c>
    </row>
    <row r="8255" spans="1:2" x14ac:dyDescent="0.2">
      <c r="A8255">
        <v>8249</v>
      </c>
      <c r="B8255" t="s">
        <v>54</v>
      </c>
    </row>
    <row r="8256" spans="1:2" x14ac:dyDescent="0.2">
      <c r="A8256">
        <v>8250</v>
      </c>
      <c r="B8256" t="s">
        <v>54</v>
      </c>
    </row>
    <row r="8257" spans="1:2" x14ac:dyDescent="0.2">
      <c r="A8257">
        <v>8251</v>
      </c>
      <c r="B8257" t="s">
        <v>54</v>
      </c>
    </row>
    <row r="8258" spans="1:2" x14ac:dyDescent="0.2">
      <c r="A8258">
        <v>8252</v>
      </c>
      <c r="B8258" t="s">
        <v>54</v>
      </c>
    </row>
    <row r="8259" spans="1:2" x14ac:dyDescent="0.2">
      <c r="A8259">
        <v>8253</v>
      </c>
      <c r="B8259" t="s">
        <v>54</v>
      </c>
    </row>
    <row r="8260" spans="1:2" x14ac:dyDescent="0.2">
      <c r="A8260">
        <v>8254</v>
      </c>
      <c r="B8260" t="s">
        <v>54</v>
      </c>
    </row>
    <row r="8261" spans="1:2" x14ac:dyDescent="0.2">
      <c r="A8261">
        <v>8255</v>
      </c>
      <c r="B8261" t="s">
        <v>54</v>
      </c>
    </row>
    <row r="8262" spans="1:2" x14ac:dyDescent="0.2">
      <c r="A8262">
        <v>8256</v>
      </c>
      <c r="B8262" t="s">
        <v>54</v>
      </c>
    </row>
    <row r="8263" spans="1:2" x14ac:dyDescent="0.2">
      <c r="A8263">
        <v>8257</v>
      </c>
      <c r="B8263" t="s">
        <v>54</v>
      </c>
    </row>
    <row r="8264" spans="1:2" x14ac:dyDescent="0.2">
      <c r="A8264">
        <v>8258</v>
      </c>
      <c r="B8264" t="s">
        <v>54</v>
      </c>
    </row>
    <row r="8265" spans="1:2" x14ac:dyDescent="0.2">
      <c r="A8265">
        <v>8259</v>
      </c>
      <c r="B8265" t="s">
        <v>54</v>
      </c>
    </row>
    <row r="8266" spans="1:2" x14ac:dyDescent="0.2">
      <c r="A8266">
        <v>8260</v>
      </c>
      <c r="B8266" t="s">
        <v>54</v>
      </c>
    </row>
    <row r="8267" spans="1:2" x14ac:dyDescent="0.2">
      <c r="A8267">
        <v>8261</v>
      </c>
      <c r="B8267" t="s">
        <v>54</v>
      </c>
    </row>
    <row r="8268" spans="1:2" x14ac:dyDescent="0.2">
      <c r="A8268">
        <v>8262</v>
      </c>
      <c r="B8268" t="s">
        <v>54</v>
      </c>
    </row>
    <row r="8269" spans="1:2" x14ac:dyDescent="0.2">
      <c r="A8269">
        <v>8263</v>
      </c>
      <c r="B8269" t="s">
        <v>54</v>
      </c>
    </row>
    <row r="8270" spans="1:2" x14ac:dyDescent="0.2">
      <c r="A8270">
        <v>8264</v>
      </c>
      <c r="B8270" t="s">
        <v>54</v>
      </c>
    </row>
    <row r="8271" spans="1:2" x14ac:dyDescent="0.2">
      <c r="A8271">
        <v>8265</v>
      </c>
      <c r="B8271" t="s">
        <v>54</v>
      </c>
    </row>
    <row r="8272" spans="1:2" x14ac:dyDescent="0.2">
      <c r="A8272">
        <v>8266</v>
      </c>
      <c r="B8272" t="s">
        <v>54</v>
      </c>
    </row>
    <row r="8273" spans="1:2" x14ac:dyDescent="0.2">
      <c r="A8273">
        <v>8267</v>
      </c>
      <c r="B8273" t="s">
        <v>54</v>
      </c>
    </row>
    <row r="8274" spans="1:2" x14ac:dyDescent="0.2">
      <c r="A8274">
        <v>8268</v>
      </c>
      <c r="B8274" t="s">
        <v>54</v>
      </c>
    </row>
    <row r="8275" spans="1:2" x14ac:dyDescent="0.2">
      <c r="A8275">
        <v>8269</v>
      </c>
      <c r="B8275" t="s">
        <v>54</v>
      </c>
    </row>
    <row r="8276" spans="1:2" x14ac:dyDescent="0.2">
      <c r="A8276">
        <v>8270</v>
      </c>
      <c r="B8276" t="s">
        <v>54</v>
      </c>
    </row>
    <row r="8277" spans="1:2" x14ac:dyDescent="0.2">
      <c r="A8277">
        <v>8271</v>
      </c>
      <c r="B8277" t="s">
        <v>54</v>
      </c>
    </row>
    <row r="8278" spans="1:2" x14ac:dyDescent="0.2">
      <c r="A8278">
        <v>8272</v>
      </c>
      <c r="B8278" t="s">
        <v>54</v>
      </c>
    </row>
    <row r="8279" spans="1:2" x14ac:dyDescent="0.2">
      <c r="A8279">
        <v>8273</v>
      </c>
      <c r="B8279" t="s">
        <v>54</v>
      </c>
    </row>
    <row r="8280" spans="1:2" x14ac:dyDescent="0.2">
      <c r="A8280">
        <v>8274</v>
      </c>
      <c r="B8280" t="s">
        <v>54</v>
      </c>
    </row>
    <row r="8281" spans="1:2" x14ac:dyDescent="0.2">
      <c r="A8281">
        <v>8275</v>
      </c>
      <c r="B8281" t="s">
        <v>54</v>
      </c>
    </row>
    <row r="8282" spans="1:2" x14ac:dyDescent="0.2">
      <c r="A8282">
        <v>8276</v>
      </c>
      <c r="B8282" t="s">
        <v>54</v>
      </c>
    </row>
    <row r="8283" spans="1:2" x14ac:dyDescent="0.2">
      <c r="A8283">
        <v>8277</v>
      </c>
      <c r="B8283" t="s">
        <v>54</v>
      </c>
    </row>
    <row r="8284" spans="1:2" x14ac:dyDescent="0.2">
      <c r="A8284">
        <v>8278</v>
      </c>
      <c r="B8284" t="s">
        <v>54</v>
      </c>
    </row>
    <row r="8285" spans="1:2" x14ac:dyDescent="0.2">
      <c r="A8285">
        <v>8279</v>
      </c>
      <c r="B8285" t="s">
        <v>54</v>
      </c>
    </row>
    <row r="8286" spans="1:2" x14ac:dyDescent="0.2">
      <c r="A8286">
        <v>8280</v>
      </c>
      <c r="B8286" t="s">
        <v>54</v>
      </c>
    </row>
    <row r="8287" spans="1:2" x14ac:dyDescent="0.2">
      <c r="A8287">
        <v>8281</v>
      </c>
      <c r="B8287" t="s">
        <v>54</v>
      </c>
    </row>
    <row r="8288" spans="1:2" x14ac:dyDescent="0.2">
      <c r="A8288">
        <v>8282</v>
      </c>
      <c r="B8288" t="s">
        <v>54</v>
      </c>
    </row>
    <row r="8289" spans="1:2" x14ac:dyDescent="0.2">
      <c r="A8289">
        <v>8283</v>
      </c>
      <c r="B8289" t="s">
        <v>54</v>
      </c>
    </row>
    <row r="8290" spans="1:2" x14ac:dyDescent="0.2">
      <c r="A8290">
        <v>8284</v>
      </c>
      <c r="B8290" t="s">
        <v>54</v>
      </c>
    </row>
    <row r="8291" spans="1:2" x14ac:dyDescent="0.2">
      <c r="A8291">
        <v>8285</v>
      </c>
      <c r="B8291" t="s">
        <v>54</v>
      </c>
    </row>
    <row r="8292" spans="1:2" x14ac:dyDescent="0.2">
      <c r="A8292">
        <v>8286</v>
      </c>
      <c r="B8292" t="s">
        <v>54</v>
      </c>
    </row>
    <row r="8293" spans="1:2" x14ac:dyDescent="0.2">
      <c r="A8293">
        <v>8287</v>
      </c>
      <c r="B8293" t="s">
        <v>54</v>
      </c>
    </row>
    <row r="8294" spans="1:2" x14ac:dyDescent="0.2">
      <c r="A8294">
        <v>8288</v>
      </c>
      <c r="B8294" t="s">
        <v>54</v>
      </c>
    </row>
    <row r="8295" spans="1:2" x14ac:dyDescent="0.2">
      <c r="A8295">
        <v>8289</v>
      </c>
      <c r="B8295" t="s">
        <v>54</v>
      </c>
    </row>
    <row r="8296" spans="1:2" x14ac:dyDescent="0.2">
      <c r="A8296">
        <v>8290</v>
      </c>
      <c r="B8296" t="s">
        <v>54</v>
      </c>
    </row>
    <row r="8297" spans="1:2" x14ac:dyDescent="0.2">
      <c r="A8297">
        <v>8291</v>
      </c>
      <c r="B8297" t="s">
        <v>54</v>
      </c>
    </row>
    <row r="8298" spans="1:2" x14ac:dyDescent="0.2">
      <c r="A8298">
        <v>8292</v>
      </c>
      <c r="B8298" t="s">
        <v>54</v>
      </c>
    </row>
    <row r="8299" spans="1:2" x14ac:dyDescent="0.2">
      <c r="A8299">
        <v>8293</v>
      </c>
      <c r="B8299" t="s">
        <v>54</v>
      </c>
    </row>
    <row r="8300" spans="1:2" x14ac:dyDescent="0.2">
      <c r="A8300">
        <v>8294</v>
      </c>
      <c r="B8300" t="s">
        <v>54</v>
      </c>
    </row>
    <row r="8301" spans="1:2" x14ac:dyDescent="0.2">
      <c r="A8301">
        <v>8295</v>
      </c>
      <c r="B8301" t="s">
        <v>54</v>
      </c>
    </row>
    <row r="8302" spans="1:2" x14ac:dyDescent="0.2">
      <c r="A8302">
        <v>8296</v>
      </c>
      <c r="B8302" t="s">
        <v>54</v>
      </c>
    </row>
    <row r="8303" spans="1:2" x14ac:dyDescent="0.2">
      <c r="A8303">
        <v>8297</v>
      </c>
      <c r="B8303" t="s">
        <v>54</v>
      </c>
    </row>
    <row r="8304" spans="1:2" x14ac:dyDescent="0.2">
      <c r="A8304">
        <v>8298</v>
      </c>
      <c r="B8304" t="s">
        <v>54</v>
      </c>
    </row>
    <row r="8305" spans="1:2" x14ac:dyDescent="0.2">
      <c r="A8305">
        <v>8299</v>
      </c>
      <c r="B8305" t="s">
        <v>54</v>
      </c>
    </row>
    <row r="8306" spans="1:2" x14ac:dyDescent="0.2">
      <c r="A8306">
        <v>8300</v>
      </c>
      <c r="B8306" t="s">
        <v>54</v>
      </c>
    </row>
    <row r="8307" spans="1:2" x14ac:dyDescent="0.2">
      <c r="A8307">
        <v>8301</v>
      </c>
      <c r="B8307" t="s">
        <v>54</v>
      </c>
    </row>
    <row r="8308" spans="1:2" x14ac:dyDescent="0.2">
      <c r="A8308">
        <v>8302</v>
      </c>
      <c r="B8308" t="s">
        <v>54</v>
      </c>
    </row>
    <row r="8309" spans="1:2" x14ac:dyDescent="0.2">
      <c r="A8309">
        <v>8303</v>
      </c>
      <c r="B8309" t="s">
        <v>54</v>
      </c>
    </row>
    <row r="8310" spans="1:2" x14ac:dyDescent="0.2">
      <c r="A8310">
        <v>8304</v>
      </c>
      <c r="B8310" t="s">
        <v>54</v>
      </c>
    </row>
    <row r="8311" spans="1:2" x14ac:dyDescent="0.2">
      <c r="A8311">
        <v>8305</v>
      </c>
      <c r="B8311" t="s">
        <v>54</v>
      </c>
    </row>
    <row r="8312" spans="1:2" x14ac:dyDescent="0.2">
      <c r="A8312">
        <v>8306</v>
      </c>
      <c r="B8312" t="s">
        <v>54</v>
      </c>
    </row>
    <row r="8313" spans="1:2" x14ac:dyDescent="0.2">
      <c r="A8313">
        <v>8307</v>
      </c>
      <c r="B8313" t="s">
        <v>54</v>
      </c>
    </row>
    <row r="8314" spans="1:2" x14ac:dyDescent="0.2">
      <c r="A8314">
        <v>8308</v>
      </c>
      <c r="B8314" t="s">
        <v>54</v>
      </c>
    </row>
    <row r="8315" spans="1:2" x14ac:dyDescent="0.2">
      <c r="A8315">
        <v>8309</v>
      </c>
      <c r="B8315" t="s">
        <v>54</v>
      </c>
    </row>
    <row r="8316" spans="1:2" x14ac:dyDescent="0.2">
      <c r="A8316">
        <v>8310</v>
      </c>
      <c r="B8316" t="s">
        <v>54</v>
      </c>
    </row>
    <row r="8317" spans="1:2" x14ac:dyDescent="0.2">
      <c r="A8317">
        <v>8311</v>
      </c>
      <c r="B8317" t="s">
        <v>54</v>
      </c>
    </row>
    <row r="8318" spans="1:2" x14ac:dyDescent="0.2">
      <c r="A8318">
        <v>8312</v>
      </c>
      <c r="B8318" t="s">
        <v>54</v>
      </c>
    </row>
    <row r="8319" spans="1:2" x14ac:dyDescent="0.2">
      <c r="A8319">
        <v>8313</v>
      </c>
      <c r="B8319" t="s">
        <v>54</v>
      </c>
    </row>
    <row r="8320" spans="1:2" x14ac:dyDescent="0.2">
      <c r="A8320">
        <v>8314</v>
      </c>
      <c r="B8320" t="s">
        <v>54</v>
      </c>
    </row>
    <row r="8321" spans="1:2" x14ac:dyDescent="0.2">
      <c r="A8321">
        <v>8315</v>
      </c>
      <c r="B8321" t="s">
        <v>54</v>
      </c>
    </row>
    <row r="8322" spans="1:2" x14ac:dyDescent="0.2">
      <c r="A8322">
        <v>8316</v>
      </c>
      <c r="B8322" t="s">
        <v>54</v>
      </c>
    </row>
    <row r="8323" spans="1:2" x14ac:dyDescent="0.2">
      <c r="A8323">
        <v>8317</v>
      </c>
      <c r="B8323" t="s">
        <v>54</v>
      </c>
    </row>
    <row r="8324" spans="1:2" x14ac:dyDescent="0.2">
      <c r="A8324">
        <v>8318</v>
      </c>
      <c r="B8324" t="s">
        <v>54</v>
      </c>
    </row>
    <row r="8325" spans="1:2" x14ac:dyDescent="0.2">
      <c r="A8325">
        <v>8319</v>
      </c>
      <c r="B8325" t="s">
        <v>54</v>
      </c>
    </row>
    <row r="8326" spans="1:2" x14ac:dyDescent="0.2">
      <c r="A8326">
        <v>8320</v>
      </c>
      <c r="B8326" t="s">
        <v>54</v>
      </c>
    </row>
    <row r="8327" spans="1:2" x14ac:dyDescent="0.2">
      <c r="A8327">
        <v>8321</v>
      </c>
      <c r="B8327" t="s">
        <v>54</v>
      </c>
    </row>
    <row r="8328" spans="1:2" x14ac:dyDescent="0.2">
      <c r="A8328">
        <v>8322</v>
      </c>
      <c r="B8328" t="s">
        <v>54</v>
      </c>
    </row>
    <row r="8329" spans="1:2" x14ac:dyDescent="0.2">
      <c r="A8329">
        <v>8323</v>
      </c>
      <c r="B8329" t="s">
        <v>54</v>
      </c>
    </row>
    <row r="8330" spans="1:2" x14ac:dyDescent="0.2">
      <c r="A8330">
        <v>8324</v>
      </c>
      <c r="B8330" t="s">
        <v>54</v>
      </c>
    </row>
    <row r="8331" spans="1:2" x14ac:dyDescent="0.2">
      <c r="A8331">
        <v>8325</v>
      </c>
      <c r="B8331" t="s">
        <v>54</v>
      </c>
    </row>
    <row r="8332" spans="1:2" x14ac:dyDescent="0.2">
      <c r="A8332">
        <v>8326</v>
      </c>
      <c r="B8332" t="s">
        <v>54</v>
      </c>
    </row>
    <row r="8333" spans="1:2" x14ac:dyDescent="0.2">
      <c r="A8333">
        <v>8327</v>
      </c>
      <c r="B8333" t="s">
        <v>54</v>
      </c>
    </row>
    <row r="8334" spans="1:2" x14ac:dyDescent="0.2">
      <c r="A8334">
        <v>8328</v>
      </c>
      <c r="B8334" t="s">
        <v>54</v>
      </c>
    </row>
    <row r="8335" spans="1:2" x14ac:dyDescent="0.2">
      <c r="A8335">
        <v>8329</v>
      </c>
      <c r="B8335" t="s">
        <v>54</v>
      </c>
    </row>
    <row r="8336" spans="1:2" x14ac:dyDescent="0.2">
      <c r="A8336">
        <v>8330</v>
      </c>
      <c r="B8336" t="s">
        <v>54</v>
      </c>
    </row>
    <row r="8337" spans="1:2" x14ac:dyDescent="0.2">
      <c r="A8337">
        <v>8331</v>
      </c>
      <c r="B8337" t="s">
        <v>54</v>
      </c>
    </row>
    <row r="8338" spans="1:2" x14ac:dyDescent="0.2">
      <c r="A8338">
        <v>8332</v>
      </c>
      <c r="B8338" t="s">
        <v>54</v>
      </c>
    </row>
    <row r="8339" spans="1:2" x14ac:dyDescent="0.2">
      <c r="A8339">
        <v>8333</v>
      </c>
      <c r="B8339" t="s">
        <v>54</v>
      </c>
    </row>
    <row r="8340" spans="1:2" x14ac:dyDescent="0.2">
      <c r="A8340">
        <v>8334</v>
      </c>
      <c r="B8340" t="s">
        <v>54</v>
      </c>
    </row>
    <row r="8341" spans="1:2" x14ac:dyDescent="0.2">
      <c r="A8341">
        <v>8335</v>
      </c>
      <c r="B8341" t="s">
        <v>54</v>
      </c>
    </row>
    <row r="8342" spans="1:2" x14ac:dyDescent="0.2">
      <c r="A8342">
        <v>8336</v>
      </c>
      <c r="B8342" t="s">
        <v>54</v>
      </c>
    </row>
    <row r="8343" spans="1:2" x14ac:dyDescent="0.2">
      <c r="A8343">
        <v>8337</v>
      </c>
      <c r="B8343" t="s">
        <v>54</v>
      </c>
    </row>
    <row r="8344" spans="1:2" x14ac:dyDescent="0.2">
      <c r="A8344">
        <v>8338</v>
      </c>
      <c r="B8344" t="s">
        <v>54</v>
      </c>
    </row>
    <row r="8345" spans="1:2" x14ac:dyDescent="0.2">
      <c r="A8345">
        <v>8339</v>
      </c>
      <c r="B8345" t="s">
        <v>54</v>
      </c>
    </row>
    <row r="8346" spans="1:2" x14ac:dyDescent="0.2">
      <c r="A8346">
        <v>8340</v>
      </c>
      <c r="B8346" t="s">
        <v>54</v>
      </c>
    </row>
    <row r="8347" spans="1:2" x14ac:dyDescent="0.2">
      <c r="A8347">
        <v>8341</v>
      </c>
      <c r="B8347" t="s">
        <v>54</v>
      </c>
    </row>
    <row r="8348" spans="1:2" x14ac:dyDescent="0.2">
      <c r="A8348">
        <v>8342</v>
      </c>
      <c r="B8348" t="s">
        <v>54</v>
      </c>
    </row>
    <row r="8349" spans="1:2" x14ac:dyDescent="0.2">
      <c r="A8349">
        <v>8343</v>
      </c>
      <c r="B8349" t="s">
        <v>54</v>
      </c>
    </row>
    <row r="8350" spans="1:2" x14ac:dyDescent="0.2">
      <c r="A8350">
        <v>8344</v>
      </c>
      <c r="B8350" t="s">
        <v>54</v>
      </c>
    </row>
    <row r="8351" spans="1:2" x14ac:dyDescent="0.2">
      <c r="A8351">
        <v>8345</v>
      </c>
      <c r="B8351" t="s">
        <v>54</v>
      </c>
    </row>
    <row r="8352" spans="1:2" x14ac:dyDescent="0.2">
      <c r="A8352">
        <v>8346</v>
      </c>
      <c r="B8352" t="s">
        <v>54</v>
      </c>
    </row>
    <row r="8353" spans="1:2" x14ac:dyDescent="0.2">
      <c r="A8353">
        <v>8347</v>
      </c>
      <c r="B8353" t="s">
        <v>54</v>
      </c>
    </row>
    <row r="8354" spans="1:2" x14ac:dyDescent="0.2">
      <c r="A8354">
        <v>8348</v>
      </c>
      <c r="B8354" t="s">
        <v>54</v>
      </c>
    </row>
    <row r="8355" spans="1:2" x14ac:dyDescent="0.2">
      <c r="A8355">
        <v>8349</v>
      </c>
      <c r="B8355" t="s">
        <v>54</v>
      </c>
    </row>
    <row r="8356" spans="1:2" x14ac:dyDescent="0.2">
      <c r="A8356">
        <v>8350</v>
      </c>
      <c r="B8356" t="s">
        <v>54</v>
      </c>
    </row>
    <row r="8357" spans="1:2" x14ac:dyDescent="0.2">
      <c r="A8357">
        <v>8351</v>
      </c>
      <c r="B8357" t="s">
        <v>54</v>
      </c>
    </row>
    <row r="8358" spans="1:2" x14ac:dyDescent="0.2">
      <c r="A8358">
        <v>8352</v>
      </c>
      <c r="B8358" t="s">
        <v>54</v>
      </c>
    </row>
    <row r="8359" spans="1:2" x14ac:dyDescent="0.2">
      <c r="A8359">
        <v>8353</v>
      </c>
      <c r="B8359" t="s">
        <v>54</v>
      </c>
    </row>
    <row r="8360" spans="1:2" x14ac:dyDescent="0.2">
      <c r="A8360">
        <v>8354</v>
      </c>
      <c r="B8360" t="s">
        <v>54</v>
      </c>
    </row>
    <row r="8361" spans="1:2" x14ac:dyDescent="0.2">
      <c r="A8361">
        <v>8355</v>
      </c>
      <c r="B8361" t="s">
        <v>54</v>
      </c>
    </row>
    <row r="8362" spans="1:2" x14ac:dyDescent="0.2">
      <c r="A8362">
        <v>8356</v>
      </c>
      <c r="B8362" t="s">
        <v>54</v>
      </c>
    </row>
    <row r="8363" spans="1:2" x14ac:dyDescent="0.2">
      <c r="A8363">
        <v>8357</v>
      </c>
      <c r="B8363" t="s">
        <v>54</v>
      </c>
    </row>
    <row r="8364" spans="1:2" x14ac:dyDescent="0.2">
      <c r="A8364">
        <v>8358</v>
      </c>
      <c r="B8364" t="s">
        <v>54</v>
      </c>
    </row>
    <row r="8365" spans="1:2" x14ac:dyDescent="0.2">
      <c r="A8365">
        <v>8359</v>
      </c>
      <c r="B8365" t="s">
        <v>54</v>
      </c>
    </row>
    <row r="8366" spans="1:2" x14ac:dyDescent="0.2">
      <c r="A8366">
        <v>8360</v>
      </c>
      <c r="B8366" t="s">
        <v>54</v>
      </c>
    </row>
    <row r="8367" spans="1:2" x14ac:dyDescent="0.2">
      <c r="A8367">
        <v>8361</v>
      </c>
      <c r="B8367" t="s">
        <v>54</v>
      </c>
    </row>
    <row r="8368" spans="1:2" x14ac:dyDescent="0.2">
      <c r="A8368">
        <v>8362</v>
      </c>
      <c r="B8368" t="s">
        <v>54</v>
      </c>
    </row>
    <row r="8369" spans="1:2" x14ac:dyDescent="0.2">
      <c r="A8369">
        <v>8363</v>
      </c>
      <c r="B8369" t="s">
        <v>54</v>
      </c>
    </row>
    <row r="8370" spans="1:2" x14ac:dyDescent="0.2">
      <c r="A8370">
        <v>8364</v>
      </c>
      <c r="B8370" t="s">
        <v>54</v>
      </c>
    </row>
    <row r="8371" spans="1:2" x14ac:dyDescent="0.2">
      <c r="A8371">
        <v>8365</v>
      </c>
      <c r="B8371" t="s">
        <v>54</v>
      </c>
    </row>
    <row r="8372" spans="1:2" x14ac:dyDescent="0.2">
      <c r="A8372">
        <v>8366</v>
      </c>
      <c r="B8372" t="s">
        <v>54</v>
      </c>
    </row>
    <row r="8373" spans="1:2" x14ac:dyDescent="0.2">
      <c r="A8373">
        <v>8367</v>
      </c>
      <c r="B8373" t="s">
        <v>54</v>
      </c>
    </row>
    <row r="8374" spans="1:2" x14ac:dyDescent="0.2">
      <c r="A8374">
        <v>8368</v>
      </c>
      <c r="B8374" t="s">
        <v>54</v>
      </c>
    </row>
    <row r="8375" spans="1:2" x14ac:dyDescent="0.2">
      <c r="A8375">
        <v>8369</v>
      </c>
      <c r="B8375" t="s">
        <v>54</v>
      </c>
    </row>
    <row r="8376" spans="1:2" x14ac:dyDescent="0.2">
      <c r="A8376">
        <v>8370</v>
      </c>
      <c r="B8376" t="s">
        <v>54</v>
      </c>
    </row>
    <row r="8377" spans="1:2" x14ac:dyDescent="0.2">
      <c r="A8377">
        <v>8371</v>
      </c>
      <c r="B8377" t="s">
        <v>54</v>
      </c>
    </row>
    <row r="8378" spans="1:2" x14ac:dyDescent="0.2">
      <c r="A8378">
        <v>8372</v>
      </c>
      <c r="B8378" t="s">
        <v>54</v>
      </c>
    </row>
    <row r="8379" spans="1:2" x14ac:dyDescent="0.2">
      <c r="A8379">
        <v>8373</v>
      </c>
      <c r="B8379" t="s">
        <v>54</v>
      </c>
    </row>
    <row r="8380" spans="1:2" x14ac:dyDescent="0.2">
      <c r="A8380">
        <v>8374</v>
      </c>
      <c r="B8380" t="s">
        <v>54</v>
      </c>
    </row>
    <row r="8381" spans="1:2" x14ac:dyDescent="0.2">
      <c r="A8381">
        <v>8375</v>
      </c>
      <c r="B8381" t="s">
        <v>54</v>
      </c>
    </row>
    <row r="8382" spans="1:2" x14ac:dyDescent="0.2">
      <c r="A8382">
        <v>8376</v>
      </c>
      <c r="B8382" t="s">
        <v>54</v>
      </c>
    </row>
    <row r="8383" spans="1:2" x14ac:dyDescent="0.2">
      <c r="A8383">
        <v>8377</v>
      </c>
      <c r="B8383" t="s">
        <v>54</v>
      </c>
    </row>
    <row r="8384" spans="1:2" x14ac:dyDescent="0.2">
      <c r="A8384">
        <v>8378</v>
      </c>
      <c r="B8384" t="s">
        <v>54</v>
      </c>
    </row>
    <row r="8385" spans="1:2" x14ac:dyDescent="0.2">
      <c r="A8385">
        <v>8379</v>
      </c>
      <c r="B8385" t="s">
        <v>54</v>
      </c>
    </row>
    <row r="8386" spans="1:2" x14ac:dyDescent="0.2">
      <c r="A8386">
        <v>8380</v>
      </c>
      <c r="B8386" t="s">
        <v>54</v>
      </c>
    </row>
    <row r="8387" spans="1:2" x14ac:dyDescent="0.2">
      <c r="A8387">
        <v>8381</v>
      </c>
      <c r="B8387" t="s">
        <v>54</v>
      </c>
    </row>
    <row r="8388" spans="1:2" x14ac:dyDescent="0.2">
      <c r="A8388">
        <v>8382</v>
      </c>
      <c r="B8388" t="s">
        <v>54</v>
      </c>
    </row>
    <row r="8389" spans="1:2" x14ac:dyDescent="0.2">
      <c r="A8389">
        <v>8383</v>
      </c>
      <c r="B8389" t="s">
        <v>54</v>
      </c>
    </row>
    <row r="8390" spans="1:2" x14ac:dyDescent="0.2">
      <c r="A8390">
        <v>8384</v>
      </c>
      <c r="B8390" t="s">
        <v>54</v>
      </c>
    </row>
    <row r="8391" spans="1:2" x14ac:dyDescent="0.2">
      <c r="A8391">
        <v>8385</v>
      </c>
      <c r="B8391" t="s">
        <v>54</v>
      </c>
    </row>
    <row r="8392" spans="1:2" x14ac:dyDescent="0.2">
      <c r="A8392">
        <v>8386</v>
      </c>
      <c r="B8392" t="s">
        <v>54</v>
      </c>
    </row>
    <row r="8393" spans="1:2" x14ac:dyDescent="0.2">
      <c r="A8393">
        <v>8387</v>
      </c>
      <c r="B8393" t="s">
        <v>54</v>
      </c>
    </row>
    <row r="8394" spans="1:2" x14ac:dyDescent="0.2">
      <c r="A8394">
        <v>8388</v>
      </c>
      <c r="B8394" t="s">
        <v>54</v>
      </c>
    </row>
    <row r="8395" spans="1:2" x14ac:dyDescent="0.2">
      <c r="A8395">
        <v>8389</v>
      </c>
      <c r="B8395" t="s">
        <v>54</v>
      </c>
    </row>
    <row r="8396" spans="1:2" x14ac:dyDescent="0.2">
      <c r="A8396">
        <v>8390</v>
      </c>
      <c r="B8396" t="s">
        <v>54</v>
      </c>
    </row>
    <row r="8397" spans="1:2" x14ac:dyDescent="0.2">
      <c r="A8397">
        <v>8391</v>
      </c>
      <c r="B8397" t="s">
        <v>54</v>
      </c>
    </row>
    <row r="8398" spans="1:2" x14ac:dyDescent="0.2">
      <c r="A8398">
        <v>8392</v>
      </c>
      <c r="B8398" t="s">
        <v>54</v>
      </c>
    </row>
    <row r="8399" spans="1:2" x14ac:dyDescent="0.2">
      <c r="A8399">
        <v>8393</v>
      </c>
      <c r="B8399" t="s">
        <v>54</v>
      </c>
    </row>
    <row r="8400" spans="1:2" x14ac:dyDescent="0.2">
      <c r="A8400">
        <v>8394</v>
      </c>
      <c r="B8400" t="s">
        <v>54</v>
      </c>
    </row>
    <row r="8401" spans="1:2" x14ac:dyDescent="0.2">
      <c r="A8401">
        <v>8395</v>
      </c>
      <c r="B8401" t="s">
        <v>54</v>
      </c>
    </row>
    <row r="8402" spans="1:2" x14ac:dyDescent="0.2">
      <c r="A8402">
        <v>8396</v>
      </c>
      <c r="B8402" t="s">
        <v>54</v>
      </c>
    </row>
    <row r="8403" spans="1:2" x14ac:dyDescent="0.2">
      <c r="A8403">
        <v>8397</v>
      </c>
      <c r="B8403" t="s">
        <v>54</v>
      </c>
    </row>
    <row r="8404" spans="1:2" x14ac:dyDescent="0.2">
      <c r="A8404">
        <v>8398</v>
      </c>
      <c r="B8404" t="s">
        <v>54</v>
      </c>
    </row>
    <row r="8405" spans="1:2" x14ac:dyDescent="0.2">
      <c r="A8405">
        <v>8399</v>
      </c>
      <c r="B8405" t="s">
        <v>54</v>
      </c>
    </row>
    <row r="8406" spans="1:2" x14ac:dyDescent="0.2">
      <c r="A8406">
        <v>8400</v>
      </c>
      <c r="B8406" t="s">
        <v>54</v>
      </c>
    </row>
    <row r="8407" spans="1:2" x14ac:dyDescent="0.2">
      <c r="A8407">
        <v>8401</v>
      </c>
      <c r="B8407" t="s">
        <v>54</v>
      </c>
    </row>
    <row r="8408" spans="1:2" x14ac:dyDescent="0.2">
      <c r="A8408">
        <v>8402</v>
      </c>
      <c r="B8408" t="s">
        <v>54</v>
      </c>
    </row>
    <row r="8409" spans="1:2" x14ac:dyDescent="0.2">
      <c r="A8409">
        <v>8403</v>
      </c>
      <c r="B8409" t="s">
        <v>54</v>
      </c>
    </row>
    <row r="8410" spans="1:2" x14ac:dyDescent="0.2">
      <c r="A8410">
        <v>8404</v>
      </c>
      <c r="B8410" t="s">
        <v>54</v>
      </c>
    </row>
    <row r="8411" spans="1:2" x14ac:dyDescent="0.2">
      <c r="A8411">
        <v>8405</v>
      </c>
      <c r="B8411" t="s">
        <v>54</v>
      </c>
    </row>
    <row r="8412" spans="1:2" x14ac:dyDescent="0.2">
      <c r="A8412">
        <v>8406</v>
      </c>
      <c r="B8412" t="s">
        <v>54</v>
      </c>
    </row>
    <row r="8413" spans="1:2" x14ac:dyDescent="0.2">
      <c r="A8413">
        <v>8407</v>
      </c>
      <c r="B8413" t="s">
        <v>54</v>
      </c>
    </row>
    <row r="8414" spans="1:2" x14ac:dyDescent="0.2">
      <c r="A8414">
        <v>8408</v>
      </c>
      <c r="B8414" t="s">
        <v>54</v>
      </c>
    </row>
    <row r="8415" spans="1:2" x14ac:dyDescent="0.2">
      <c r="A8415">
        <v>8409</v>
      </c>
      <c r="B8415" t="s">
        <v>54</v>
      </c>
    </row>
    <row r="8416" spans="1:2" x14ac:dyDescent="0.2">
      <c r="A8416">
        <v>8410</v>
      </c>
      <c r="B8416" t="s">
        <v>54</v>
      </c>
    </row>
    <row r="8417" spans="1:2" x14ac:dyDescent="0.2">
      <c r="A8417">
        <v>8411</v>
      </c>
      <c r="B8417" t="s">
        <v>54</v>
      </c>
    </row>
    <row r="8418" spans="1:2" x14ac:dyDescent="0.2">
      <c r="A8418">
        <v>8412</v>
      </c>
      <c r="B8418" t="s">
        <v>54</v>
      </c>
    </row>
    <row r="8419" spans="1:2" x14ac:dyDescent="0.2">
      <c r="A8419">
        <v>8413</v>
      </c>
      <c r="B8419" t="s">
        <v>54</v>
      </c>
    </row>
    <row r="8420" spans="1:2" x14ac:dyDescent="0.2">
      <c r="A8420">
        <v>8414</v>
      </c>
      <c r="B8420" t="s">
        <v>54</v>
      </c>
    </row>
    <row r="8421" spans="1:2" x14ac:dyDescent="0.2">
      <c r="A8421">
        <v>8415</v>
      </c>
      <c r="B8421" t="s">
        <v>54</v>
      </c>
    </row>
    <row r="8422" spans="1:2" x14ac:dyDescent="0.2">
      <c r="A8422">
        <v>8416</v>
      </c>
      <c r="B8422" t="s">
        <v>54</v>
      </c>
    </row>
    <row r="8423" spans="1:2" x14ac:dyDescent="0.2">
      <c r="A8423">
        <v>8417</v>
      </c>
      <c r="B8423" t="s">
        <v>54</v>
      </c>
    </row>
    <row r="8424" spans="1:2" x14ac:dyDescent="0.2">
      <c r="A8424">
        <v>8418</v>
      </c>
      <c r="B8424" t="s">
        <v>54</v>
      </c>
    </row>
    <row r="8425" spans="1:2" x14ac:dyDescent="0.2">
      <c r="A8425">
        <v>8419</v>
      </c>
      <c r="B8425" t="s">
        <v>54</v>
      </c>
    </row>
    <row r="8426" spans="1:2" x14ac:dyDescent="0.2">
      <c r="A8426">
        <v>8420</v>
      </c>
      <c r="B8426" t="s">
        <v>54</v>
      </c>
    </row>
    <row r="8427" spans="1:2" x14ac:dyDescent="0.2">
      <c r="A8427">
        <v>8421</v>
      </c>
      <c r="B8427" t="s">
        <v>54</v>
      </c>
    </row>
    <row r="8428" spans="1:2" x14ac:dyDescent="0.2">
      <c r="A8428">
        <v>8422</v>
      </c>
      <c r="B8428" t="s">
        <v>54</v>
      </c>
    </row>
    <row r="8429" spans="1:2" x14ac:dyDescent="0.2">
      <c r="A8429">
        <v>8423</v>
      </c>
      <c r="B8429" t="s">
        <v>54</v>
      </c>
    </row>
    <row r="8430" spans="1:2" x14ac:dyDescent="0.2">
      <c r="A8430">
        <v>8424</v>
      </c>
      <c r="B8430" t="s">
        <v>54</v>
      </c>
    </row>
    <row r="8431" spans="1:2" x14ac:dyDescent="0.2">
      <c r="A8431">
        <v>8425</v>
      </c>
      <c r="B8431" t="s">
        <v>54</v>
      </c>
    </row>
    <row r="8432" spans="1:2" x14ac:dyDescent="0.2">
      <c r="A8432">
        <v>8426</v>
      </c>
      <c r="B8432" t="s">
        <v>54</v>
      </c>
    </row>
    <row r="8433" spans="1:2" x14ac:dyDescent="0.2">
      <c r="A8433">
        <v>8427</v>
      </c>
      <c r="B8433" t="s">
        <v>54</v>
      </c>
    </row>
    <row r="8434" spans="1:2" x14ac:dyDescent="0.2">
      <c r="A8434">
        <v>8428</v>
      </c>
      <c r="B8434" t="s">
        <v>54</v>
      </c>
    </row>
    <row r="8435" spans="1:2" x14ac:dyDescent="0.2">
      <c r="A8435">
        <v>8429</v>
      </c>
      <c r="B8435" t="s">
        <v>54</v>
      </c>
    </row>
    <row r="8436" spans="1:2" x14ac:dyDescent="0.2">
      <c r="A8436">
        <v>8430</v>
      </c>
      <c r="B8436" t="s">
        <v>54</v>
      </c>
    </row>
    <row r="8437" spans="1:2" x14ac:dyDescent="0.2">
      <c r="A8437">
        <v>8431</v>
      </c>
      <c r="B8437" t="s">
        <v>54</v>
      </c>
    </row>
    <row r="8438" spans="1:2" x14ac:dyDescent="0.2">
      <c r="A8438">
        <v>8432</v>
      </c>
      <c r="B8438" t="s">
        <v>54</v>
      </c>
    </row>
    <row r="8439" spans="1:2" x14ac:dyDescent="0.2">
      <c r="A8439">
        <v>8433</v>
      </c>
      <c r="B8439" t="s">
        <v>54</v>
      </c>
    </row>
    <row r="8440" spans="1:2" x14ac:dyDescent="0.2">
      <c r="A8440">
        <v>8434</v>
      </c>
      <c r="B8440" t="s">
        <v>54</v>
      </c>
    </row>
    <row r="8441" spans="1:2" x14ac:dyDescent="0.2">
      <c r="A8441">
        <v>8435</v>
      </c>
      <c r="B8441" t="s">
        <v>54</v>
      </c>
    </row>
    <row r="8442" spans="1:2" x14ac:dyDescent="0.2">
      <c r="A8442">
        <v>8436</v>
      </c>
      <c r="B8442" t="s">
        <v>54</v>
      </c>
    </row>
    <row r="8443" spans="1:2" x14ac:dyDescent="0.2">
      <c r="A8443">
        <v>8437</v>
      </c>
      <c r="B8443" t="s">
        <v>54</v>
      </c>
    </row>
    <row r="8444" spans="1:2" x14ac:dyDescent="0.2">
      <c r="A8444">
        <v>8438</v>
      </c>
      <c r="B8444" t="s">
        <v>54</v>
      </c>
    </row>
    <row r="8445" spans="1:2" x14ac:dyDescent="0.2">
      <c r="A8445">
        <v>8439</v>
      </c>
      <c r="B8445" t="s">
        <v>54</v>
      </c>
    </row>
    <row r="8446" spans="1:2" x14ac:dyDescent="0.2">
      <c r="A8446">
        <v>8440</v>
      </c>
      <c r="B8446" t="s">
        <v>54</v>
      </c>
    </row>
    <row r="8447" spans="1:2" x14ac:dyDescent="0.2">
      <c r="A8447">
        <v>8441</v>
      </c>
      <c r="B8447" t="s">
        <v>54</v>
      </c>
    </row>
    <row r="8448" spans="1:2" x14ac:dyDescent="0.2">
      <c r="A8448">
        <v>8442</v>
      </c>
      <c r="B8448" t="s">
        <v>54</v>
      </c>
    </row>
    <row r="8449" spans="1:2" x14ac:dyDescent="0.2">
      <c r="A8449">
        <v>8443</v>
      </c>
      <c r="B8449" t="s">
        <v>54</v>
      </c>
    </row>
    <row r="8450" spans="1:2" x14ac:dyDescent="0.2">
      <c r="A8450">
        <v>8444</v>
      </c>
      <c r="B8450" t="s">
        <v>54</v>
      </c>
    </row>
    <row r="8451" spans="1:2" x14ac:dyDescent="0.2">
      <c r="A8451">
        <v>8445</v>
      </c>
      <c r="B8451" t="s">
        <v>54</v>
      </c>
    </row>
    <row r="8452" spans="1:2" x14ac:dyDescent="0.2">
      <c r="A8452">
        <v>8446</v>
      </c>
      <c r="B8452" t="s">
        <v>54</v>
      </c>
    </row>
    <row r="8453" spans="1:2" x14ac:dyDescent="0.2">
      <c r="A8453">
        <v>8447</v>
      </c>
      <c r="B8453" t="s">
        <v>54</v>
      </c>
    </row>
    <row r="8454" spans="1:2" x14ac:dyDescent="0.2">
      <c r="A8454">
        <v>8448</v>
      </c>
      <c r="B8454" t="s">
        <v>54</v>
      </c>
    </row>
    <row r="8455" spans="1:2" x14ac:dyDescent="0.2">
      <c r="A8455">
        <v>8449</v>
      </c>
      <c r="B8455" t="s">
        <v>54</v>
      </c>
    </row>
    <row r="8456" spans="1:2" x14ac:dyDescent="0.2">
      <c r="A8456">
        <v>8450</v>
      </c>
      <c r="B8456" t="s">
        <v>54</v>
      </c>
    </row>
    <row r="8457" spans="1:2" x14ac:dyDescent="0.2">
      <c r="A8457">
        <v>8451</v>
      </c>
      <c r="B8457" t="s">
        <v>54</v>
      </c>
    </row>
    <row r="8458" spans="1:2" x14ac:dyDescent="0.2">
      <c r="A8458">
        <v>8452</v>
      </c>
      <c r="B8458" t="s">
        <v>54</v>
      </c>
    </row>
    <row r="8459" spans="1:2" x14ac:dyDescent="0.2">
      <c r="A8459">
        <v>8453</v>
      </c>
      <c r="B8459" t="s">
        <v>54</v>
      </c>
    </row>
    <row r="8460" spans="1:2" x14ac:dyDescent="0.2">
      <c r="A8460">
        <v>8454</v>
      </c>
      <c r="B8460" t="s">
        <v>54</v>
      </c>
    </row>
    <row r="8461" spans="1:2" x14ac:dyDescent="0.2">
      <c r="A8461">
        <v>8455</v>
      </c>
      <c r="B8461" t="s">
        <v>54</v>
      </c>
    </row>
    <row r="8462" spans="1:2" x14ac:dyDescent="0.2">
      <c r="A8462">
        <v>8456</v>
      </c>
      <c r="B8462" t="s">
        <v>54</v>
      </c>
    </row>
    <row r="8463" spans="1:2" x14ac:dyDescent="0.2">
      <c r="A8463">
        <v>8457</v>
      </c>
      <c r="B8463" t="s">
        <v>54</v>
      </c>
    </row>
    <row r="8464" spans="1:2" x14ac:dyDescent="0.2">
      <c r="A8464">
        <v>8458</v>
      </c>
      <c r="B8464" t="s">
        <v>54</v>
      </c>
    </row>
    <row r="8465" spans="1:2" x14ac:dyDescent="0.2">
      <c r="A8465">
        <v>8459</v>
      </c>
      <c r="B8465" t="s">
        <v>54</v>
      </c>
    </row>
    <row r="8466" spans="1:2" x14ac:dyDescent="0.2">
      <c r="A8466">
        <v>8460</v>
      </c>
      <c r="B8466" t="s">
        <v>54</v>
      </c>
    </row>
    <row r="8467" spans="1:2" x14ac:dyDescent="0.2">
      <c r="A8467">
        <v>8461</v>
      </c>
      <c r="B8467" t="s">
        <v>54</v>
      </c>
    </row>
    <row r="8468" spans="1:2" x14ac:dyDescent="0.2">
      <c r="A8468">
        <v>8462</v>
      </c>
      <c r="B8468" t="s">
        <v>54</v>
      </c>
    </row>
    <row r="8469" spans="1:2" x14ac:dyDescent="0.2">
      <c r="A8469">
        <v>8463</v>
      </c>
      <c r="B8469" t="s">
        <v>54</v>
      </c>
    </row>
    <row r="8470" spans="1:2" x14ac:dyDescent="0.2">
      <c r="A8470">
        <v>8464</v>
      </c>
      <c r="B8470" t="s">
        <v>54</v>
      </c>
    </row>
    <row r="8471" spans="1:2" x14ac:dyDescent="0.2">
      <c r="A8471">
        <v>8465</v>
      </c>
      <c r="B8471" t="s">
        <v>54</v>
      </c>
    </row>
    <row r="8472" spans="1:2" x14ac:dyDescent="0.2">
      <c r="A8472">
        <v>8466</v>
      </c>
      <c r="B8472" t="s">
        <v>54</v>
      </c>
    </row>
    <row r="8473" spans="1:2" x14ac:dyDescent="0.2">
      <c r="A8473">
        <v>8467</v>
      </c>
      <c r="B8473" t="s">
        <v>54</v>
      </c>
    </row>
    <row r="8474" spans="1:2" x14ac:dyDescent="0.2">
      <c r="A8474">
        <v>8468</v>
      </c>
      <c r="B8474" t="s">
        <v>54</v>
      </c>
    </row>
    <row r="8475" spans="1:2" x14ac:dyDescent="0.2">
      <c r="A8475">
        <v>8469</v>
      </c>
      <c r="B8475" t="s">
        <v>54</v>
      </c>
    </row>
    <row r="8476" spans="1:2" x14ac:dyDescent="0.2">
      <c r="A8476">
        <v>8470</v>
      </c>
      <c r="B8476" t="s">
        <v>54</v>
      </c>
    </row>
    <row r="8477" spans="1:2" x14ac:dyDescent="0.2">
      <c r="A8477">
        <v>8471</v>
      </c>
      <c r="B8477" t="s">
        <v>54</v>
      </c>
    </row>
    <row r="8478" spans="1:2" x14ac:dyDescent="0.2">
      <c r="A8478">
        <v>8472</v>
      </c>
      <c r="B8478" t="s">
        <v>54</v>
      </c>
    </row>
    <row r="8479" spans="1:2" x14ac:dyDescent="0.2">
      <c r="A8479">
        <v>8473</v>
      </c>
      <c r="B8479" t="s">
        <v>54</v>
      </c>
    </row>
    <row r="8480" spans="1:2" x14ac:dyDescent="0.2">
      <c r="A8480">
        <v>8474</v>
      </c>
      <c r="B8480" t="s">
        <v>54</v>
      </c>
    </row>
    <row r="8481" spans="1:2" x14ac:dyDescent="0.2">
      <c r="A8481">
        <v>8475</v>
      </c>
      <c r="B8481" t="s">
        <v>54</v>
      </c>
    </row>
    <row r="8482" spans="1:2" x14ac:dyDescent="0.2">
      <c r="A8482">
        <v>8476</v>
      </c>
      <c r="B8482" t="s">
        <v>54</v>
      </c>
    </row>
    <row r="8483" spans="1:2" x14ac:dyDescent="0.2">
      <c r="A8483">
        <v>8477</v>
      </c>
      <c r="B8483" t="s">
        <v>54</v>
      </c>
    </row>
    <row r="8484" spans="1:2" x14ac:dyDescent="0.2">
      <c r="A8484">
        <v>8478</v>
      </c>
      <c r="B8484" t="s">
        <v>54</v>
      </c>
    </row>
    <row r="8485" spans="1:2" x14ac:dyDescent="0.2">
      <c r="A8485">
        <v>8479</v>
      </c>
      <c r="B8485" t="s">
        <v>54</v>
      </c>
    </row>
    <row r="8486" spans="1:2" x14ac:dyDescent="0.2">
      <c r="A8486">
        <v>8480</v>
      </c>
      <c r="B8486" t="s">
        <v>54</v>
      </c>
    </row>
    <row r="8487" spans="1:2" x14ac:dyDescent="0.2">
      <c r="A8487">
        <v>8481</v>
      </c>
      <c r="B8487" t="s">
        <v>54</v>
      </c>
    </row>
    <row r="8488" spans="1:2" x14ac:dyDescent="0.2">
      <c r="A8488">
        <v>8482</v>
      </c>
      <c r="B8488" t="s">
        <v>54</v>
      </c>
    </row>
    <row r="8489" spans="1:2" x14ac:dyDescent="0.2">
      <c r="A8489">
        <v>8483</v>
      </c>
      <c r="B8489" t="s">
        <v>54</v>
      </c>
    </row>
    <row r="8490" spans="1:2" x14ac:dyDescent="0.2">
      <c r="A8490">
        <v>8484</v>
      </c>
      <c r="B8490" t="s">
        <v>54</v>
      </c>
    </row>
    <row r="8491" spans="1:2" x14ac:dyDescent="0.2">
      <c r="A8491">
        <v>8485</v>
      </c>
      <c r="B8491" t="s">
        <v>54</v>
      </c>
    </row>
    <row r="8492" spans="1:2" x14ac:dyDescent="0.2">
      <c r="A8492">
        <v>8486</v>
      </c>
      <c r="B8492" t="s">
        <v>54</v>
      </c>
    </row>
    <row r="8493" spans="1:2" x14ac:dyDescent="0.2">
      <c r="A8493">
        <v>8487</v>
      </c>
      <c r="B8493" t="s">
        <v>54</v>
      </c>
    </row>
    <row r="8494" spans="1:2" x14ac:dyDescent="0.2">
      <c r="A8494">
        <v>8488</v>
      </c>
      <c r="B8494" t="s">
        <v>54</v>
      </c>
    </row>
    <row r="8495" spans="1:2" x14ac:dyDescent="0.2">
      <c r="A8495">
        <v>8489</v>
      </c>
      <c r="B8495" t="s">
        <v>54</v>
      </c>
    </row>
    <row r="8496" spans="1:2" x14ac:dyDescent="0.2">
      <c r="A8496">
        <v>8490</v>
      </c>
      <c r="B8496" t="s">
        <v>54</v>
      </c>
    </row>
    <row r="8497" spans="1:2" x14ac:dyDescent="0.2">
      <c r="A8497">
        <v>8491</v>
      </c>
      <c r="B8497" t="s">
        <v>54</v>
      </c>
    </row>
    <row r="8498" spans="1:2" x14ac:dyDescent="0.2">
      <c r="A8498">
        <v>8492</v>
      </c>
      <c r="B8498" t="s">
        <v>54</v>
      </c>
    </row>
    <row r="8499" spans="1:2" x14ac:dyDescent="0.2">
      <c r="A8499">
        <v>8493</v>
      </c>
      <c r="B8499" t="s">
        <v>54</v>
      </c>
    </row>
    <row r="8500" spans="1:2" x14ac:dyDescent="0.2">
      <c r="A8500">
        <v>8494</v>
      </c>
      <c r="B8500" t="s">
        <v>54</v>
      </c>
    </row>
    <row r="8501" spans="1:2" x14ac:dyDescent="0.2">
      <c r="A8501">
        <v>8495</v>
      </c>
      <c r="B8501" t="s">
        <v>54</v>
      </c>
    </row>
    <row r="8502" spans="1:2" x14ac:dyDescent="0.2">
      <c r="A8502">
        <v>8496</v>
      </c>
      <c r="B8502" t="s">
        <v>54</v>
      </c>
    </row>
    <row r="8503" spans="1:2" x14ac:dyDescent="0.2">
      <c r="A8503">
        <v>8497</v>
      </c>
      <c r="B8503" t="s">
        <v>54</v>
      </c>
    </row>
    <row r="8504" spans="1:2" x14ac:dyDescent="0.2">
      <c r="A8504">
        <v>8498</v>
      </c>
      <c r="B8504" t="s">
        <v>54</v>
      </c>
    </row>
    <row r="8505" spans="1:2" x14ac:dyDescent="0.2">
      <c r="A8505">
        <v>8499</v>
      </c>
      <c r="B8505" t="s">
        <v>54</v>
      </c>
    </row>
    <row r="8506" spans="1:2" x14ac:dyDescent="0.2">
      <c r="A8506">
        <v>8500</v>
      </c>
      <c r="B8506" t="s">
        <v>54</v>
      </c>
    </row>
    <row r="8507" spans="1:2" x14ac:dyDescent="0.2">
      <c r="A8507">
        <v>8501</v>
      </c>
      <c r="B8507" t="s">
        <v>54</v>
      </c>
    </row>
    <row r="8508" spans="1:2" x14ac:dyDescent="0.2">
      <c r="A8508">
        <v>8502</v>
      </c>
      <c r="B8508" t="s">
        <v>54</v>
      </c>
    </row>
    <row r="8509" spans="1:2" x14ac:dyDescent="0.2">
      <c r="A8509">
        <v>8503</v>
      </c>
      <c r="B8509" t="s">
        <v>54</v>
      </c>
    </row>
    <row r="8510" spans="1:2" x14ac:dyDescent="0.2">
      <c r="A8510">
        <v>8504</v>
      </c>
      <c r="B8510" t="s">
        <v>54</v>
      </c>
    </row>
    <row r="8511" spans="1:2" x14ac:dyDescent="0.2">
      <c r="A8511">
        <v>8505</v>
      </c>
      <c r="B8511" t="s">
        <v>54</v>
      </c>
    </row>
    <row r="8512" spans="1:2" x14ac:dyDescent="0.2">
      <c r="A8512">
        <v>8506</v>
      </c>
      <c r="B8512" t="s">
        <v>54</v>
      </c>
    </row>
    <row r="8513" spans="1:2" x14ac:dyDescent="0.2">
      <c r="A8513">
        <v>8507</v>
      </c>
      <c r="B8513" t="s">
        <v>54</v>
      </c>
    </row>
    <row r="8514" spans="1:2" x14ac:dyDescent="0.2">
      <c r="A8514">
        <v>8508</v>
      </c>
      <c r="B8514" t="s">
        <v>54</v>
      </c>
    </row>
    <row r="8515" spans="1:2" x14ac:dyDescent="0.2">
      <c r="A8515">
        <v>8509</v>
      </c>
      <c r="B8515" t="s">
        <v>54</v>
      </c>
    </row>
    <row r="8516" spans="1:2" x14ac:dyDescent="0.2">
      <c r="A8516">
        <v>8510</v>
      </c>
      <c r="B8516" t="s">
        <v>54</v>
      </c>
    </row>
    <row r="8517" spans="1:2" x14ac:dyDescent="0.2">
      <c r="A8517">
        <v>8511</v>
      </c>
      <c r="B8517" t="s">
        <v>54</v>
      </c>
    </row>
    <row r="8518" spans="1:2" x14ac:dyDescent="0.2">
      <c r="A8518">
        <v>8512</v>
      </c>
      <c r="B8518" t="s">
        <v>54</v>
      </c>
    </row>
    <row r="8519" spans="1:2" x14ac:dyDescent="0.2">
      <c r="A8519">
        <v>8513</v>
      </c>
      <c r="B8519" t="s">
        <v>54</v>
      </c>
    </row>
    <row r="8520" spans="1:2" x14ac:dyDescent="0.2">
      <c r="A8520">
        <v>8514</v>
      </c>
      <c r="B8520" t="s">
        <v>54</v>
      </c>
    </row>
    <row r="8521" spans="1:2" x14ac:dyDescent="0.2">
      <c r="A8521">
        <v>8515</v>
      </c>
      <c r="B8521" t="s">
        <v>54</v>
      </c>
    </row>
    <row r="8522" spans="1:2" x14ac:dyDescent="0.2">
      <c r="A8522">
        <v>8516</v>
      </c>
      <c r="B8522" t="s">
        <v>54</v>
      </c>
    </row>
    <row r="8523" spans="1:2" x14ac:dyDescent="0.2">
      <c r="A8523">
        <v>8517</v>
      </c>
      <c r="B8523" t="s">
        <v>54</v>
      </c>
    </row>
    <row r="8524" spans="1:2" x14ac:dyDescent="0.2">
      <c r="A8524">
        <v>8518</v>
      </c>
      <c r="B8524" t="s">
        <v>54</v>
      </c>
    </row>
    <row r="8525" spans="1:2" x14ac:dyDescent="0.2">
      <c r="A8525">
        <v>8519</v>
      </c>
      <c r="B8525" t="s">
        <v>54</v>
      </c>
    </row>
    <row r="8526" spans="1:2" x14ac:dyDescent="0.2">
      <c r="A8526">
        <v>8520</v>
      </c>
      <c r="B8526" t="s">
        <v>54</v>
      </c>
    </row>
    <row r="8527" spans="1:2" x14ac:dyDescent="0.2">
      <c r="A8527">
        <v>8521</v>
      </c>
      <c r="B8527" t="s">
        <v>54</v>
      </c>
    </row>
    <row r="8528" spans="1:2" x14ac:dyDescent="0.2">
      <c r="A8528">
        <v>8522</v>
      </c>
      <c r="B8528" t="s">
        <v>54</v>
      </c>
    </row>
    <row r="8529" spans="1:2" x14ac:dyDescent="0.2">
      <c r="A8529">
        <v>8523</v>
      </c>
      <c r="B8529" t="s">
        <v>54</v>
      </c>
    </row>
    <row r="8530" spans="1:2" x14ac:dyDescent="0.2">
      <c r="A8530">
        <v>8524</v>
      </c>
      <c r="B8530" t="s">
        <v>54</v>
      </c>
    </row>
    <row r="8531" spans="1:2" x14ac:dyDescent="0.2">
      <c r="A8531">
        <v>8525</v>
      </c>
      <c r="B8531" t="s">
        <v>54</v>
      </c>
    </row>
    <row r="8532" spans="1:2" x14ac:dyDescent="0.2">
      <c r="A8532">
        <v>8526</v>
      </c>
      <c r="B8532" t="s">
        <v>54</v>
      </c>
    </row>
    <row r="8533" spans="1:2" x14ac:dyDescent="0.2">
      <c r="A8533">
        <v>8527</v>
      </c>
      <c r="B8533" t="s">
        <v>54</v>
      </c>
    </row>
    <row r="8534" spans="1:2" x14ac:dyDescent="0.2">
      <c r="A8534">
        <v>8528</v>
      </c>
      <c r="B8534" t="s">
        <v>54</v>
      </c>
    </row>
    <row r="8535" spans="1:2" x14ac:dyDescent="0.2">
      <c r="A8535">
        <v>8529</v>
      </c>
      <c r="B8535" t="s">
        <v>54</v>
      </c>
    </row>
    <row r="8536" spans="1:2" x14ac:dyDescent="0.2">
      <c r="A8536">
        <v>8530</v>
      </c>
      <c r="B8536" t="s">
        <v>54</v>
      </c>
    </row>
    <row r="8537" spans="1:2" x14ac:dyDescent="0.2">
      <c r="A8537">
        <v>8531</v>
      </c>
      <c r="B8537" t="s">
        <v>54</v>
      </c>
    </row>
    <row r="8538" spans="1:2" x14ac:dyDescent="0.2">
      <c r="A8538">
        <v>8532</v>
      </c>
      <c r="B8538" t="s">
        <v>54</v>
      </c>
    </row>
    <row r="8539" spans="1:2" x14ac:dyDescent="0.2">
      <c r="A8539">
        <v>8533</v>
      </c>
      <c r="B8539" t="s">
        <v>54</v>
      </c>
    </row>
    <row r="8540" spans="1:2" x14ac:dyDescent="0.2">
      <c r="A8540">
        <v>8534</v>
      </c>
      <c r="B8540" t="s">
        <v>54</v>
      </c>
    </row>
    <row r="8541" spans="1:2" x14ac:dyDescent="0.2">
      <c r="A8541">
        <v>8535</v>
      </c>
      <c r="B8541" t="s">
        <v>54</v>
      </c>
    </row>
    <row r="8542" spans="1:2" x14ac:dyDescent="0.2">
      <c r="A8542">
        <v>8536</v>
      </c>
      <c r="B8542" t="s">
        <v>54</v>
      </c>
    </row>
    <row r="8543" spans="1:2" x14ac:dyDescent="0.2">
      <c r="A8543">
        <v>8537</v>
      </c>
      <c r="B8543" t="s">
        <v>54</v>
      </c>
    </row>
    <row r="8544" spans="1:2" x14ac:dyDescent="0.2">
      <c r="A8544">
        <v>8538</v>
      </c>
      <c r="B8544" t="s">
        <v>54</v>
      </c>
    </row>
    <row r="8545" spans="1:2" x14ac:dyDescent="0.2">
      <c r="A8545">
        <v>8539</v>
      </c>
      <c r="B8545" t="s">
        <v>54</v>
      </c>
    </row>
    <row r="8546" spans="1:2" x14ac:dyDescent="0.2">
      <c r="A8546">
        <v>8540</v>
      </c>
      <c r="B8546" t="s">
        <v>54</v>
      </c>
    </row>
    <row r="8547" spans="1:2" x14ac:dyDescent="0.2">
      <c r="A8547">
        <v>8541</v>
      </c>
      <c r="B8547" t="s">
        <v>54</v>
      </c>
    </row>
    <row r="8548" spans="1:2" x14ac:dyDescent="0.2">
      <c r="A8548">
        <v>8542</v>
      </c>
      <c r="B8548" t="s">
        <v>54</v>
      </c>
    </row>
    <row r="8549" spans="1:2" x14ac:dyDescent="0.2">
      <c r="A8549">
        <v>8543</v>
      </c>
      <c r="B8549" t="s">
        <v>54</v>
      </c>
    </row>
    <row r="8550" spans="1:2" x14ac:dyDescent="0.2">
      <c r="A8550">
        <v>8544</v>
      </c>
      <c r="B8550" t="s">
        <v>54</v>
      </c>
    </row>
    <row r="8551" spans="1:2" x14ac:dyDescent="0.2">
      <c r="A8551">
        <v>8545</v>
      </c>
      <c r="B8551" t="s">
        <v>54</v>
      </c>
    </row>
    <row r="8552" spans="1:2" x14ac:dyDescent="0.2">
      <c r="A8552">
        <v>8546</v>
      </c>
      <c r="B8552" t="s">
        <v>54</v>
      </c>
    </row>
    <row r="8553" spans="1:2" x14ac:dyDescent="0.2">
      <c r="A8553">
        <v>8547</v>
      </c>
      <c r="B8553" t="s">
        <v>54</v>
      </c>
    </row>
    <row r="8554" spans="1:2" x14ac:dyDescent="0.2">
      <c r="A8554">
        <v>8548</v>
      </c>
      <c r="B8554" t="s">
        <v>54</v>
      </c>
    </row>
    <row r="8555" spans="1:2" x14ac:dyDescent="0.2">
      <c r="A8555">
        <v>8549</v>
      </c>
      <c r="B8555" t="s">
        <v>54</v>
      </c>
    </row>
    <row r="8556" spans="1:2" x14ac:dyDescent="0.2">
      <c r="A8556">
        <v>8550</v>
      </c>
      <c r="B8556" t="s">
        <v>54</v>
      </c>
    </row>
    <row r="8557" spans="1:2" x14ac:dyDescent="0.2">
      <c r="A8557">
        <v>8551</v>
      </c>
      <c r="B8557" t="s">
        <v>54</v>
      </c>
    </row>
    <row r="8558" spans="1:2" x14ac:dyDescent="0.2">
      <c r="A8558">
        <v>8552</v>
      </c>
      <c r="B8558" t="s">
        <v>54</v>
      </c>
    </row>
    <row r="8559" spans="1:2" x14ac:dyDescent="0.2">
      <c r="A8559">
        <v>8553</v>
      </c>
      <c r="B8559" t="s">
        <v>54</v>
      </c>
    </row>
    <row r="8560" spans="1:2" x14ac:dyDescent="0.2">
      <c r="A8560">
        <v>8554</v>
      </c>
      <c r="B8560" t="s">
        <v>54</v>
      </c>
    </row>
    <row r="8561" spans="1:2" x14ac:dyDescent="0.2">
      <c r="A8561">
        <v>8555</v>
      </c>
      <c r="B8561" t="s">
        <v>54</v>
      </c>
    </row>
    <row r="8562" spans="1:2" x14ac:dyDescent="0.2">
      <c r="A8562">
        <v>8556</v>
      </c>
      <c r="B8562" t="s">
        <v>54</v>
      </c>
    </row>
    <row r="8563" spans="1:2" x14ac:dyDescent="0.2">
      <c r="A8563">
        <v>8557</v>
      </c>
      <c r="B8563" t="s">
        <v>54</v>
      </c>
    </row>
    <row r="8564" spans="1:2" x14ac:dyDescent="0.2">
      <c r="A8564">
        <v>8558</v>
      </c>
      <c r="B8564" t="s">
        <v>54</v>
      </c>
    </row>
    <row r="8565" spans="1:2" x14ac:dyDescent="0.2">
      <c r="A8565">
        <v>8559</v>
      </c>
      <c r="B8565" t="s">
        <v>54</v>
      </c>
    </row>
    <row r="8566" spans="1:2" x14ac:dyDescent="0.2">
      <c r="A8566">
        <v>8560</v>
      </c>
      <c r="B8566" t="s">
        <v>54</v>
      </c>
    </row>
    <row r="8567" spans="1:2" x14ac:dyDescent="0.2">
      <c r="A8567">
        <v>8561</v>
      </c>
      <c r="B8567" t="s">
        <v>54</v>
      </c>
    </row>
    <row r="8568" spans="1:2" x14ac:dyDescent="0.2">
      <c r="A8568">
        <v>8562</v>
      </c>
      <c r="B8568" t="s">
        <v>54</v>
      </c>
    </row>
    <row r="8569" spans="1:2" x14ac:dyDescent="0.2">
      <c r="A8569">
        <v>8563</v>
      </c>
      <c r="B8569" t="s">
        <v>54</v>
      </c>
    </row>
    <row r="8570" spans="1:2" x14ac:dyDescent="0.2">
      <c r="A8570">
        <v>8564</v>
      </c>
      <c r="B8570" t="s">
        <v>54</v>
      </c>
    </row>
    <row r="8571" spans="1:2" x14ac:dyDescent="0.2">
      <c r="A8571">
        <v>8565</v>
      </c>
      <c r="B8571" t="s">
        <v>54</v>
      </c>
    </row>
    <row r="8572" spans="1:2" x14ac:dyDescent="0.2">
      <c r="A8572">
        <v>8566</v>
      </c>
      <c r="B8572" t="s">
        <v>54</v>
      </c>
    </row>
    <row r="8573" spans="1:2" x14ac:dyDescent="0.2">
      <c r="A8573">
        <v>8567</v>
      </c>
      <c r="B8573" t="s">
        <v>54</v>
      </c>
    </row>
    <row r="8574" spans="1:2" x14ac:dyDescent="0.2">
      <c r="A8574">
        <v>8568</v>
      </c>
      <c r="B8574" t="s">
        <v>54</v>
      </c>
    </row>
    <row r="8575" spans="1:2" x14ac:dyDescent="0.2">
      <c r="A8575">
        <v>8569</v>
      </c>
      <c r="B8575" t="s">
        <v>54</v>
      </c>
    </row>
  </sheetData>
  <mergeCells count="1">
    <mergeCell ref="A4:B4"/>
  </mergeCells>
  <pageMargins left="0.7" right="0.7" top="0.75" bottom="0.75" header="0.3" footer="0.3"/>
  <pageSetup orientation="portrait"/>
  <headerFooter>
    <oddFooter>&amp;C&amp;"Calibri"&amp;10 &amp;K000000_x000D_# CONFIDENTIAL_x000D_&amp;1#&amp;"Aptos"&amp;10&amp;K0000FF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3:G35"/>
  <sheetViews>
    <sheetView workbookViewId="0">
      <selection activeCell="B38" sqref="B38"/>
    </sheetView>
  </sheetViews>
  <sheetFormatPr defaultRowHeight="12.75" x14ac:dyDescent="0.2"/>
  <cols>
    <col min="1" max="1" width="130.140625" bestFit="1" customWidth="1"/>
    <col min="2" max="2" width="21.85546875" bestFit="1" customWidth="1"/>
    <col min="7" max="7" width="13.42578125" customWidth="1"/>
  </cols>
  <sheetData>
    <row r="3" spans="1:7" x14ac:dyDescent="0.2">
      <c r="A3" s="63" t="s">
        <v>4</v>
      </c>
      <c r="B3" t="s">
        <v>55</v>
      </c>
      <c r="E3" s="75"/>
      <c r="F3" s="76" t="s">
        <v>56</v>
      </c>
      <c r="G3" s="77"/>
    </row>
    <row r="4" spans="1:7" x14ac:dyDescent="0.2">
      <c r="A4" s="64" t="s">
        <v>57</v>
      </c>
      <c r="B4" s="67">
        <v>865908.8</v>
      </c>
      <c r="E4" s="75"/>
      <c r="F4" s="78"/>
      <c r="G4" s="79"/>
    </row>
    <row r="5" spans="1:7" x14ac:dyDescent="0.2">
      <c r="A5" s="65">
        <v>12014</v>
      </c>
      <c r="B5" s="67">
        <v>865908.8</v>
      </c>
      <c r="E5" s="75"/>
      <c r="F5" s="80" t="s">
        <v>58</v>
      </c>
      <c r="G5" s="77">
        <f>B35-G3</f>
        <v>-1253618.97</v>
      </c>
    </row>
    <row r="6" spans="1:7" x14ac:dyDescent="0.2">
      <c r="A6" s="66" t="s">
        <v>59</v>
      </c>
      <c r="B6" s="67">
        <v>543000</v>
      </c>
    </row>
    <row r="7" spans="1:7" x14ac:dyDescent="0.2">
      <c r="A7" s="66" t="s">
        <v>60</v>
      </c>
      <c r="B7" s="67">
        <v>322908.79999999999</v>
      </c>
    </row>
    <row r="8" spans="1:7" x14ac:dyDescent="0.2">
      <c r="A8" s="64" t="s">
        <v>35</v>
      </c>
      <c r="B8" s="67">
        <v>-1352553.59</v>
      </c>
    </row>
    <row r="9" spans="1:7" x14ac:dyDescent="0.2">
      <c r="A9" s="65">
        <v>11010</v>
      </c>
      <c r="B9" s="67">
        <v>-1352553.59</v>
      </c>
    </row>
    <row r="10" spans="1:7" x14ac:dyDescent="0.2">
      <c r="A10" s="66" t="s">
        <v>61</v>
      </c>
      <c r="B10" s="67">
        <v>52152.749999999993</v>
      </c>
    </row>
    <row r="11" spans="1:7" x14ac:dyDescent="0.2">
      <c r="A11" s="66" t="s">
        <v>62</v>
      </c>
      <c r="B11" s="67">
        <v>20953.349999999999</v>
      </c>
    </row>
    <row r="12" spans="1:7" x14ac:dyDescent="0.2">
      <c r="A12" s="66" t="s">
        <v>63</v>
      </c>
      <c r="B12" s="67">
        <v>221281.44</v>
      </c>
    </row>
    <row r="13" spans="1:7" x14ac:dyDescent="0.2">
      <c r="A13" s="66" t="s">
        <v>64</v>
      </c>
      <c r="B13" s="67">
        <v>-1646941.13</v>
      </c>
    </row>
    <row r="14" spans="1:7" x14ac:dyDescent="0.2">
      <c r="A14" s="64" t="s">
        <v>65</v>
      </c>
      <c r="B14" s="67">
        <v>44929.56</v>
      </c>
    </row>
    <row r="15" spans="1:7" x14ac:dyDescent="0.2">
      <c r="A15" s="65">
        <v>11016</v>
      </c>
      <c r="B15" s="67">
        <v>44929.56</v>
      </c>
    </row>
    <row r="16" spans="1:7" x14ac:dyDescent="0.2">
      <c r="A16" s="66" t="s">
        <v>66</v>
      </c>
      <c r="B16" s="67">
        <v>44929.56</v>
      </c>
    </row>
    <row r="17" spans="1:2" x14ac:dyDescent="0.2">
      <c r="A17" s="64" t="s">
        <v>11</v>
      </c>
      <c r="B17" s="67">
        <v>68161.14</v>
      </c>
    </row>
    <row r="18" spans="1:2" x14ac:dyDescent="0.2">
      <c r="A18" s="65">
        <v>12012</v>
      </c>
      <c r="B18" s="67">
        <v>68161.14</v>
      </c>
    </row>
    <row r="19" spans="1:2" x14ac:dyDescent="0.2">
      <c r="A19" s="66" t="s">
        <v>67</v>
      </c>
      <c r="B19" s="67">
        <v>68161.14</v>
      </c>
    </row>
    <row r="20" spans="1:2" x14ac:dyDescent="0.2">
      <c r="A20" s="64" t="s">
        <v>68</v>
      </c>
      <c r="B20" s="67">
        <v>-1100000</v>
      </c>
    </row>
    <row r="21" spans="1:2" x14ac:dyDescent="0.2">
      <c r="A21" s="65">
        <v>12022</v>
      </c>
      <c r="B21" s="67">
        <v>-1100000</v>
      </c>
    </row>
    <row r="22" spans="1:2" x14ac:dyDescent="0.2">
      <c r="A22" s="66" t="s">
        <v>69</v>
      </c>
      <c r="B22" s="67">
        <v>-1100000</v>
      </c>
    </row>
    <row r="23" spans="1:2" x14ac:dyDescent="0.2">
      <c r="A23" s="64" t="s">
        <v>39</v>
      </c>
      <c r="B23" s="67">
        <v>-41798.400000000001</v>
      </c>
    </row>
    <row r="24" spans="1:2" x14ac:dyDescent="0.2">
      <c r="A24" s="65">
        <v>12013</v>
      </c>
      <c r="B24" s="67">
        <v>-41798.400000000001</v>
      </c>
    </row>
    <row r="25" spans="1:2" x14ac:dyDescent="0.2">
      <c r="A25" s="66" t="s">
        <v>70</v>
      </c>
      <c r="B25" s="67">
        <v>-41798.400000000001</v>
      </c>
    </row>
    <row r="26" spans="1:2" x14ac:dyDescent="0.2">
      <c r="A26" s="64" t="s">
        <v>71</v>
      </c>
      <c r="B26" s="67">
        <v>200826</v>
      </c>
    </row>
    <row r="27" spans="1:2" x14ac:dyDescent="0.2">
      <c r="A27" s="65">
        <v>11023</v>
      </c>
      <c r="B27" s="67">
        <v>200826</v>
      </c>
    </row>
    <row r="28" spans="1:2" x14ac:dyDescent="0.2">
      <c r="A28" s="66" t="s">
        <v>72</v>
      </c>
      <c r="B28" s="67">
        <v>200826</v>
      </c>
    </row>
    <row r="29" spans="1:2" x14ac:dyDescent="0.2">
      <c r="A29" s="64" t="s">
        <v>73</v>
      </c>
      <c r="B29" s="67">
        <v>7355</v>
      </c>
    </row>
    <row r="30" spans="1:2" x14ac:dyDescent="0.2">
      <c r="A30" s="65">
        <v>12021</v>
      </c>
      <c r="B30" s="67">
        <v>7355</v>
      </c>
    </row>
    <row r="31" spans="1:2" x14ac:dyDescent="0.2">
      <c r="A31" s="66" t="s">
        <v>74</v>
      </c>
      <c r="B31" s="67">
        <v>7355</v>
      </c>
    </row>
    <row r="32" spans="1:2" x14ac:dyDescent="0.2">
      <c r="A32" s="64" t="s">
        <v>75</v>
      </c>
      <c r="B32" s="67">
        <v>53552.52</v>
      </c>
    </row>
    <row r="33" spans="1:2" x14ac:dyDescent="0.2">
      <c r="A33" s="65">
        <v>13006</v>
      </c>
      <c r="B33" s="67">
        <v>53552.52</v>
      </c>
    </row>
    <row r="34" spans="1:2" x14ac:dyDescent="0.2">
      <c r="A34" s="66" t="s">
        <v>76</v>
      </c>
      <c r="B34" s="67">
        <v>53552.52</v>
      </c>
    </row>
    <row r="35" spans="1:2" x14ac:dyDescent="0.2">
      <c r="A35" s="64" t="s">
        <v>41</v>
      </c>
      <c r="B35" s="67">
        <v>-1253618.97</v>
      </c>
    </row>
  </sheetData>
  <pageMargins left="0.7" right="0.7" top="0.75" bottom="0.75" header="0.3" footer="0.3"/>
  <headerFooter>
    <oddFooter>&amp;C&amp;"Calibri"&amp;10 &amp;K000000_x000D_# CONFIDENTIAL_x000D_&amp;1#&amp;"Aptos"&amp;10&amp;K0000FF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3:G35"/>
  <sheetViews>
    <sheetView workbookViewId="0">
      <selection activeCell="F23" sqref="F23"/>
    </sheetView>
  </sheetViews>
  <sheetFormatPr defaultRowHeight="12.75" x14ac:dyDescent="0.2"/>
  <cols>
    <col min="1" max="1" width="119.85546875" bestFit="1" customWidth="1"/>
    <col min="2" max="2" width="21.85546875" bestFit="1" customWidth="1"/>
    <col min="7" max="7" width="12.5703125" bestFit="1" customWidth="1"/>
  </cols>
  <sheetData>
    <row r="3" spans="1:7" x14ac:dyDescent="0.2">
      <c r="A3" s="63" t="s">
        <v>4</v>
      </c>
      <c r="B3" t="s">
        <v>55</v>
      </c>
      <c r="E3" s="75"/>
      <c r="F3" s="76" t="s">
        <v>56</v>
      </c>
      <c r="G3" s="77">
        <f>'[2]Timing Variances'!$C$62</f>
        <v>-1988220.9599999972</v>
      </c>
    </row>
    <row r="4" spans="1:7" x14ac:dyDescent="0.2">
      <c r="A4" s="64" t="s">
        <v>77</v>
      </c>
      <c r="B4" s="67">
        <v>106212.6</v>
      </c>
      <c r="E4" s="75"/>
      <c r="F4" s="78"/>
      <c r="G4" s="79"/>
    </row>
    <row r="5" spans="1:7" x14ac:dyDescent="0.2">
      <c r="A5" s="65">
        <v>11001</v>
      </c>
      <c r="B5" s="67">
        <v>106212.6</v>
      </c>
      <c r="E5" s="75"/>
      <c r="F5" s="80" t="s">
        <v>58</v>
      </c>
      <c r="G5" s="77">
        <f>B35-G3</f>
        <v>-2.7939677238464355E-9</v>
      </c>
    </row>
    <row r="6" spans="1:7" x14ac:dyDescent="0.2">
      <c r="A6" s="66" t="s">
        <v>78</v>
      </c>
      <c r="B6" s="67">
        <v>106212.6</v>
      </c>
    </row>
    <row r="7" spans="1:7" x14ac:dyDescent="0.2">
      <c r="A7" s="64" t="s">
        <v>57</v>
      </c>
      <c r="B7" s="67">
        <v>-252091.2</v>
      </c>
    </row>
    <row r="8" spans="1:7" x14ac:dyDescent="0.2">
      <c r="A8" s="65">
        <v>12014</v>
      </c>
      <c r="B8" s="67">
        <v>-252091.2</v>
      </c>
    </row>
    <row r="9" spans="1:7" x14ac:dyDescent="0.2">
      <c r="A9" s="66" t="s">
        <v>60</v>
      </c>
      <c r="B9" s="67">
        <v>322908.79999999999</v>
      </c>
    </row>
    <row r="10" spans="1:7" x14ac:dyDescent="0.2">
      <c r="A10" s="66" t="s">
        <v>78</v>
      </c>
      <c r="B10" s="67">
        <v>-575000</v>
      </c>
    </row>
    <row r="11" spans="1:7" x14ac:dyDescent="0.2">
      <c r="A11" s="64" t="s">
        <v>32</v>
      </c>
      <c r="B11" s="67">
        <v>335257.60000000009</v>
      </c>
    </row>
    <row r="12" spans="1:7" x14ac:dyDescent="0.2">
      <c r="A12" s="65">
        <v>12015</v>
      </c>
      <c r="B12" s="67">
        <v>335257.60000000009</v>
      </c>
    </row>
    <row r="13" spans="1:7" x14ac:dyDescent="0.2">
      <c r="A13" s="66" t="s">
        <v>78</v>
      </c>
      <c r="B13" s="67">
        <v>335257.60000000009</v>
      </c>
    </row>
    <row r="14" spans="1:7" x14ac:dyDescent="0.2">
      <c r="A14" s="64" t="s">
        <v>35</v>
      </c>
      <c r="B14" s="67">
        <v>-1214443.7</v>
      </c>
    </row>
    <row r="15" spans="1:7" x14ac:dyDescent="0.2">
      <c r="A15" s="65">
        <v>11010</v>
      </c>
      <c r="B15" s="67">
        <v>-1214443.7</v>
      </c>
    </row>
    <row r="16" spans="1:7" x14ac:dyDescent="0.2">
      <c r="A16" s="66" t="s">
        <v>61</v>
      </c>
      <c r="B16" s="67">
        <v>52152.749999999993</v>
      </c>
    </row>
    <row r="17" spans="1:2" x14ac:dyDescent="0.2">
      <c r="A17" s="66" t="s">
        <v>63</v>
      </c>
      <c r="B17" s="67">
        <v>221281.44</v>
      </c>
    </row>
    <row r="18" spans="1:2" x14ac:dyDescent="0.2">
      <c r="A18" s="66" t="s">
        <v>78</v>
      </c>
      <c r="B18" s="67">
        <v>-1487877.89</v>
      </c>
    </row>
    <row r="19" spans="1:2" x14ac:dyDescent="0.2">
      <c r="A19" s="64" t="s">
        <v>65</v>
      </c>
      <c r="B19" s="67">
        <v>575000</v>
      </c>
    </row>
    <row r="20" spans="1:2" x14ac:dyDescent="0.2">
      <c r="A20" s="65">
        <v>11016</v>
      </c>
      <c r="B20" s="67">
        <v>575000</v>
      </c>
    </row>
    <row r="21" spans="1:2" x14ac:dyDescent="0.2">
      <c r="A21" s="66" t="s">
        <v>78</v>
      </c>
      <c r="B21" s="67">
        <v>575000</v>
      </c>
    </row>
    <row r="22" spans="1:2" x14ac:dyDescent="0.2">
      <c r="A22" s="64" t="s">
        <v>11</v>
      </c>
      <c r="B22" s="67">
        <v>68161.14</v>
      </c>
    </row>
    <row r="23" spans="1:2" x14ac:dyDescent="0.2">
      <c r="A23" s="65">
        <v>12012</v>
      </c>
      <c r="B23" s="67">
        <v>68161.14</v>
      </c>
    </row>
    <row r="24" spans="1:2" x14ac:dyDescent="0.2">
      <c r="A24" s="66" t="s">
        <v>67</v>
      </c>
      <c r="B24" s="67">
        <v>68161.14</v>
      </c>
    </row>
    <row r="25" spans="1:2" x14ac:dyDescent="0.2">
      <c r="A25" s="64" t="s">
        <v>39</v>
      </c>
      <c r="B25" s="67">
        <v>-41798.400000000001</v>
      </c>
    </row>
    <row r="26" spans="1:2" x14ac:dyDescent="0.2">
      <c r="A26" s="65">
        <v>12013</v>
      </c>
      <c r="B26" s="67">
        <v>-41798.400000000001</v>
      </c>
    </row>
    <row r="27" spans="1:2" x14ac:dyDescent="0.2">
      <c r="A27" s="66" t="s">
        <v>70</v>
      </c>
      <c r="B27" s="67">
        <v>-41798.400000000001</v>
      </c>
    </row>
    <row r="28" spans="1:2" x14ac:dyDescent="0.2">
      <c r="A28" s="64" t="s">
        <v>71</v>
      </c>
      <c r="B28" s="67">
        <v>200826</v>
      </c>
    </row>
    <row r="29" spans="1:2" x14ac:dyDescent="0.2">
      <c r="A29" s="65">
        <v>11023</v>
      </c>
      <c r="B29" s="67">
        <v>200826</v>
      </c>
    </row>
    <row r="30" spans="1:2" x14ac:dyDescent="0.2">
      <c r="A30" s="66" t="s">
        <v>72</v>
      </c>
      <c r="B30" s="67">
        <v>200826</v>
      </c>
    </row>
    <row r="31" spans="1:2" x14ac:dyDescent="0.2">
      <c r="A31" s="64" t="s">
        <v>73</v>
      </c>
      <c r="B31" s="67">
        <v>-1765345</v>
      </c>
    </row>
    <row r="32" spans="1:2" x14ac:dyDescent="0.2">
      <c r="A32" s="65">
        <v>12021</v>
      </c>
      <c r="B32" s="67">
        <v>-1765345</v>
      </c>
    </row>
    <row r="33" spans="1:2" x14ac:dyDescent="0.2">
      <c r="A33" s="66" t="s">
        <v>74</v>
      </c>
      <c r="B33" s="67">
        <v>7355</v>
      </c>
    </row>
    <row r="34" spans="1:2" x14ac:dyDescent="0.2">
      <c r="A34" s="66" t="s">
        <v>78</v>
      </c>
      <c r="B34" s="67">
        <v>-1772700</v>
      </c>
    </row>
    <row r="35" spans="1:2" x14ac:dyDescent="0.2">
      <c r="A35" s="64" t="s">
        <v>41</v>
      </c>
      <c r="B35" s="67">
        <v>-1988220.96</v>
      </c>
    </row>
  </sheetData>
  <pageMargins left="0.7" right="0.7" top="0.75" bottom="0.75" header="0.3" footer="0.3"/>
  <headerFooter>
    <oddFooter>&amp;C&amp;"Calibri"&amp;10 &amp;K000000_x000D_# CONFIDENTIAL_x000D_&amp;1#&amp;"Aptos"&amp;10&amp;K0000FF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3:B54"/>
  <sheetViews>
    <sheetView workbookViewId="0">
      <selection activeCell="G37" sqref="G37"/>
    </sheetView>
  </sheetViews>
  <sheetFormatPr defaultRowHeight="12.75" x14ac:dyDescent="0.2"/>
  <cols>
    <col min="1" max="1" width="119.85546875" bestFit="1" customWidth="1"/>
    <col min="2" max="2" width="21.85546875" bestFit="1" customWidth="1"/>
  </cols>
  <sheetData>
    <row r="3" spans="1:2" x14ac:dyDescent="0.2">
      <c r="A3" s="63" t="s">
        <v>4</v>
      </c>
      <c r="B3" t="s">
        <v>55</v>
      </c>
    </row>
    <row r="4" spans="1:2" x14ac:dyDescent="0.2">
      <c r="A4" s="64" t="s">
        <v>77</v>
      </c>
      <c r="B4" s="67">
        <v>29762.6</v>
      </c>
    </row>
    <row r="5" spans="1:2" x14ac:dyDescent="0.2">
      <c r="A5" s="65">
        <v>11001</v>
      </c>
      <c r="B5" s="67">
        <v>29762.6</v>
      </c>
    </row>
    <row r="6" spans="1:2" x14ac:dyDescent="0.2">
      <c r="A6" s="66" t="s">
        <v>78</v>
      </c>
      <c r="B6" s="67">
        <v>29762.6</v>
      </c>
    </row>
    <row r="7" spans="1:2" x14ac:dyDescent="0.2">
      <c r="A7" s="64" t="s">
        <v>57</v>
      </c>
      <c r="B7" s="67">
        <v>-252091.2</v>
      </c>
    </row>
    <row r="8" spans="1:2" x14ac:dyDescent="0.2">
      <c r="A8" s="65">
        <v>12014</v>
      </c>
      <c r="B8" s="67">
        <v>-252091.2</v>
      </c>
    </row>
    <row r="9" spans="1:2" x14ac:dyDescent="0.2">
      <c r="A9" s="66" t="s">
        <v>60</v>
      </c>
      <c r="B9" s="67">
        <v>322908.79999999999</v>
      </c>
    </row>
    <row r="10" spans="1:2" x14ac:dyDescent="0.2">
      <c r="A10" s="66" t="s">
        <v>79</v>
      </c>
      <c r="B10" s="67">
        <v>-575000</v>
      </c>
    </row>
    <row r="11" spans="1:2" x14ac:dyDescent="0.2">
      <c r="A11" s="64" t="s">
        <v>32</v>
      </c>
      <c r="B11" s="67">
        <v>335257.59999999998</v>
      </c>
    </row>
    <row r="12" spans="1:2" x14ac:dyDescent="0.2">
      <c r="A12" s="65">
        <v>12015</v>
      </c>
      <c r="B12" s="67">
        <v>335257.59999999998</v>
      </c>
    </row>
    <row r="13" spans="1:2" x14ac:dyDescent="0.2">
      <c r="A13" s="66" t="s">
        <v>80</v>
      </c>
      <c r="B13" s="67">
        <v>369435.6</v>
      </c>
    </row>
    <row r="14" spans="1:2" x14ac:dyDescent="0.2">
      <c r="A14" s="66" t="s">
        <v>81</v>
      </c>
      <c r="B14" s="67">
        <v>-34178</v>
      </c>
    </row>
    <row r="15" spans="1:2" x14ac:dyDescent="0.2">
      <c r="A15" s="64" t="s">
        <v>35</v>
      </c>
      <c r="B15" s="67">
        <v>-508197.14000000007</v>
      </c>
    </row>
    <row r="16" spans="1:2" x14ac:dyDescent="0.2">
      <c r="A16" s="65">
        <v>11010</v>
      </c>
      <c r="B16" s="67">
        <v>-508197.14000000007</v>
      </c>
    </row>
    <row r="17" spans="1:2" x14ac:dyDescent="0.2">
      <c r="A17" s="66" t="s">
        <v>82</v>
      </c>
      <c r="B17" s="67">
        <v>270985</v>
      </c>
    </row>
    <row r="18" spans="1:2" x14ac:dyDescent="0.2">
      <c r="A18" s="66" t="s">
        <v>61</v>
      </c>
      <c r="B18" s="67">
        <v>52152.749999999993</v>
      </c>
    </row>
    <row r="19" spans="1:2" x14ac:dyDescent="0.2">
      <c r="A19" s="66" t="s">
        <v>83</v>
      </c>
      <c r="B19" s="67">
        <v>128000</v>
      </c>
    </row>
    <row r="20" spans="1:2" x14ac:dyDescent="0.2">
      <c r="A20" s="66" t="s">
        <v>84</v>
      </c>
      <c r="B20" s="67">
        <v>456543</v>
      </c>
    </row>
    <row r="21" spans="1:2" x14ac:dyDescent="0.2">
      <c r="A21" s="66" t="s">
        <v>85</v>
      </c>
      <c r="B21" s="67">
        <v>-1415877.89</v>
      </c>
    </row>
    <row r="22" spans="1:2" x14ac:dyDescent="0.2">
      <c r="A22" s="64" t="s">
        <v>65</v>
      </c>
      <c r="B22" s="67">
        <v>575000</v>
      </c>
    </row>
    <row r="23" spans="1:2" x14ac:dyDescent="0.2">
      <c r="A23" s="65">
        <v>11016</v>
      </c>
      <c r="B23" s="67">
        <v>575000</v>
      </c>
    </row>
    <row r="24" spans="1:2" x14ac:dyDescent="0.2">
      <c r="A24" s="66" t="s">
        <v>79</v>
      </c>
      <c r="B24" s="67">
        <v>575000</v>
      </c>
    </row>
    <row r="25" spans="1:2" x14ac:dyDescent="0.2">
      <c r="A25" s="64" t="s">
        <v>11</v>
      </c>
      <c r="B25" s="67">
        <v>80451.039999999994</v>
      </c>
    </row>
    <row r="26" spans="1:2" x14ac:dyDescent="0.2">
      <c r="A26" s="65">
        <v>12012</v>
      </c>
      <c r="B26" s="67">
        <v>80451.039999999994</v>
      </c>
    </row>
    <row r="27" spans="1:2" x14ac:dyDescent="0.2">
      <c r="A27" s="66" t="s">
        <v>67</v>
      </c>
      <c r="B27" s="67">
        <v>68161.14</v>
      </c>
    </row>
    <row r="28" spans="1:2" x14ac:dyDescent="0.2">
      <c r="A28" s="66" t="s">
        <v>78</v>
      </c>
      <c r="B28" s="67">
        <v>12289.9</v>
      </c>
    </row>
    <row r="29" spans="1:2" x14ac:dyDescent="0.2">
      <c r="A29" s="64" t="s">
        <v>39</v>
      </c>
      <c r="B29" s="67">
        <v>-32743.78</v>
      </c>
    </row>
    <row r="30" spans="1:2" x14ac:dyDescent="0.2">
      <c r="A30" s="65">
        <v>12013</v>
      </c>
      <c r="B30" s="67">
        <v>-32743.78</v>
      </c>
    </row>
    <row r="31" spans="1:2" x14ac:dyDescent="0.2">
      <c r="A31" s="66" t="s">
        <v>86</v>
      </c>
      <c r="B31" s="67">
        <v>-41798.400000000001</v>
      </c>
    </row>
    <row r="32" spans="1:2" x14ac:dyDescent="0.2">
      <c r="A32" s="66" t="s">
        <v>87</v>
      </c>
      <c r="B32" s="67">
        <v>9054.6200000000008</v>
      </c>
    </row>
    <row r="33" spans="1:2" x14ac:dyDescent="0.2">
      <c r="A33" s="64" t="s">
        <v>71</v>
      </c>
      <c r="B33" s="67">
        <v>200826</v>
      </c>
    </row>
    <row r="34" spans="1:2" x14ac:dyDescent="0.2">
      <c r="A34" s="65">
        <v>11023</v>
      </c>
      <c r="B34" s="67">
        <v>200826</v>
      </c>
    </row>
    <row r="35" spans="1:2" x14ac:dyDescent="0.2">
      <c r="A35" s="66" t="s">
        <v>88</v>
      </c>
      <c r="B35" s="67">
        <v>200826</v>
      </c>
    </row>
    <row r="36" spans="1:2" x14ac:dyDescent="0.2">
      <c r="A36" s="64" t="s">
        <v>89</v>
      </c>
      <c r="B36" s="67">
        <v>73709.27</v>
      </c>
    </row>
    <row r="37" spans="1:2" x14ac:dyDescent="0.2">
      <c r="A37" s="65">
        <v>11024</v>
      </c>
      <c r="B37" s="67">
        <v>73709.27</v>
      </c>
    </row>
    <row r="38" spans="1:2" x14ac:dyDescent="0.2">
      <c r="A38" s="66" t="s">
        <v>90</v>
      </c>
      <c r="B38" s="67">
        <v>73709.27</v>
      </c>
    </row>
    <row r="39" spans="1:2" x14ac:dyDescent="0.2">
      <c r="A39" s="64" t="s">
        <v>73</v>
      </c>
      <c r="B39" s="67">
        <v>7355</v>
      </c>
    </row>
    <row r="40" spans="1:2" x14ac:dyDescent="0.2">
      <c r="A40" s="65">
        <v>12021</v>
      </c>
      <c r="B40" s="67">
        <v>7355</v>
      </c>
    </row>
    <row r="41" spans="1:2" x14ac:dyDescent="0.2">
      <c r="A41" s="66" t="s">
        <v>74</v>
      </c>
      <c r="B41" s="67">
        <v>7355</v>
      </c>
    </row>
    <row r="42" spans="1:2" x14ac:dyDescent="0.2">
      <c r="A42" s="64" t="s">
        <v>91</v>
      </c>
      <c r="B42" s="67">
        <v>-6022.3600000000006</v>
      </c>
    </row>
    <row r="43" spans="1:2" x14ac:dyDescent="0.2">
      <c r="A43" s="65">
        <v>12016</v>
      </c>
      <c r="B43" s="67">
        <v>-6022.3600000000006</v>
      </c>
    </row>
    <row r="44" spans="1:2" x14ac:dyDescent="0.2">
      <c r="A44" s="66" t="s">
        <v>92</v>
      </c>
      <c r="B44" s="67">
        <v>-4784.22</v>
      </c>
    </row>
    <row r="45" spans="1:2" x14ac:dyDescent="0.2">
      <c r="A45" s="66" t="s">
        <v>93</v>
      </c>
      <c r="B45" s="67">
        <v>-1238.1400000000001</v>
      </c>
    </row>
    <row r="46" spans="1:2" x14ac:dyDescent="0.2">
      <c r="A46" s="64" t="s">
        <v>75</v>
      </c>
      <c r="B46" s="67">
        <v>-178677.57</v>
      </c>
    </row>
    <row r="47" spans="1:2" x14ac:dyDescent="0.2">
      <c r="A47" s="65">
        <v>13006</v>
      </c>
      <c r="B47" s="67">
        <v>-178677.57</v>
      </c>
    </row>
    <row r="48" spans="1:2" x14ac:dyDescent="0.2">
      <c r="A48" s="66" t="s">
        <v>94</v>
      </c>
      <c r="B48" s="67">
        <v>-45396.3</v>
      </c>
    </row>
    <row r="49" spans="1:2" x14ac:dyDescent="0.2">
      <c r="A49" s="66" t="s">
        <v>84</v>
      </c>
      <c r="B49" s="67">
        <v>-96517.01</v>
      </c>
    </row>
    <row r="50" spans="1:2" x14ac:dyDescent="0.2">
      <c r="A50" s="66" t="s">
        <v>95</v>
      </c>
      <c r="B50" s="67">
        <v>-36764.259999999987</v>
      </c>
    </row>
    <row r="51" spans="1:2" x14ac:dyDescent="0.2">
      <c r="A51" s="64" t="s">
        <v>37</v>
      </c>
      <c r="B51" s="67">
        <v>-22112.74</v>
      </c>
    </row>
    <row r="52" spans="1:2" x14ac:dyDescent="0.2">
      <c r="A52" s="65">
        <v>13001</v>
      </c>
      <c r="B52" s="67">
        <v>-22112.74</v>
      </c>
    </row>
    <row r="53" spans="1:2" x14ac:dyDescent="0.2">
      <c r="A53" s="66" t="s">
        <v>96</v>
      </c>
      <c r="B53" s="67">
        <v>-22112.74</v>
      </c>
    </row>
    <row r="54" spans="1:2" x14ac:dyDescent="0.2">
      <c r="A54" s="64" t="s">
        <v>41</v>
      </c>
      <c r="B54" s="67">
        <v>302516.71999999991</v>
      </c>
    </row>
  </sheetData>
  <pageMargins left="0.7" right="0.7" top="0.75" bottom="0.75" header="0.3" footer="0.3"/>
  <headerFooter>
    <oddFooter>&amp;C&amp;"Calibri"&amp;10 &amp;K000000_x000D_# CONFIDENTIAL_x000D_&amp;1#&amp;"Aptos"&amp;10&amp;K0000FF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3:D34"/>
  <sheetViews>
    <sheetView workbookViewId="0">
      <selection activeCell="D20" sqref="D20"/>
    </sheetView>
  </sheetViews>
  <sheetFormatPr defaultRowHeight="12.75" x14ac:dyDescent="0.2"/>
  <cols>
    <col min="1" max="1" width="138.42578125" customWidth="1"/>
    <col min="2" max="2" width="21.85546875" bestFit="1" customWidth="1"/>
  </cols>
  <sheetData>
    <row r="3" spans="1:4" x14ac:dyDescent="0.2">
      <c r="A3" s="63" t="s">
        <v>4</v>
      </c>
      <c r="B3" t="s">
        <v>55</v>
      </c>
    </row>
    <row r="4" spans="1:4" x14ac:dyDescent="0.2">
      <c r="A4" s="64" t="s">
        <v>77</v>
      </c>
      <c r="B4" s="67">
        <v>29762.6</v>
      </c>
    </row>
    <row r="5" spans="1:4" x14ac:dyDescent="0.2">
      <c r="A5" s="137" t="s">
        <v>78</v>
      </c>
      <c r="B5" s="67">
        <v>29762.6</v>
      </c>
    </row>
    <row r="6" spans="1:4" x14ac:dyDescent="0.2">
      <c r="A6" s="64" t="s">
        <v>23</v>
      </c>
      <c r="B6" s="67">
        <v>-183844.21</v>
      </c>
    </row>
    <row r="7" spans="1:4" x14ac:dyDescent="0.2">
      <c r="A7" s="137" t="s">
        <v>78</v>
      </c>
      <c r="B7" s="67">
        <v>-130197.21</v>
      </c>
    </row>
    <row r="8" spans="1:4" x14ac:dyDescent="0.2">
      <c r="A8" s="138" t="s">
        <v>97</v>
      </c>
      <c r="B8" s="139">
        <v>-53647</v>
      </c>
      <c r="D8" s="85" t="s">
        <v>98</v>
      </c>
    </row>
    <row r="9" spans="1:4" x14ac:dyDescent="0.2">
      <c r="A9" s="64" t="s">
        <v>57</v>
      </c>
      <c r="B9" s="67">
        <v>322908.79999999999</v>
      </c>
    </row>
    <row r="10" spans="1:4" x14ac:dyDescent="0.2">
      <c r="A10" s="138" t="s">
        <v>99</v>
      </c>
      <c r="B10" s="139">
        <v>322908.79999999999</v>
      </c>
      <c r="D10" s="85" t="s">
        <v>100</v>
      </c>
    </row>
    <row r="11" spans="1:4" x14ac:dyDescent="0.2">
      <c r="A11" s="64" t="s">
        <v>32</v>
      </c>
      <c r="B11" s="67">
        <v>335257.60000000009</v>
      </c>
    </row>
    <row r="12" spans="1:4" x14ac:dyDescent="0.2">
      <c r="A12" s="138" t="s">
        <v>101</v>
      </c>
      <c r="B12" s="139">
        <v>335257.60000000009</v>
      </c>
      <c r="D12" s="85" t="s">
        <v>102</v>
      </c>
    </row>
    <row r="13" spans="1:4" x14ac:dyDescent="0.2">
      <c r="A13" s="64" t="s">
        <v>35</v>
      </c>
      <c r="B13" s="67">
        <v>99921.099999999977</v>
      </c>
    </row>
    <row r="14" spans="1:4" x14ac:dyDescent="0.2">
      <c r="A14" s="137" t="s">
        <v>61</v>
      </c>
      <c r="B14" s="67">
        <v>52152.749999999993</v>
      </c>
    </row>
    <row r="15" spans="1:4" x14ac:dyDescent="0.2">
      <c r="A15" s="143" t="s">
        <v>103</v>
      </c>
      <c r="B15" s="144">
        <v>18800</v>
      </c>
      <c r="D15" s="85" t="s">
        <v>104</v>
      </c>
    </row>
    <row r="16" spans="1:4" x14ac:dyDescent="0.2">
      <c r="A16" s="140" t="s">
        <v>83</v>
      </c>
      <c r="B16" s="141">
        <v>398985</v>
      </c>
      <c r="D16" s="85" t="s">
        <v>105</v>
      </c>
    </row>
    <row r="17" spans="1:4" x14ac:dyDescent="0.2">
      <c r="A17" s="140" t="s">
        <v>106</v>
      </c>
      <c r="B17" s="141">
        <v>-370016.65</v>
      </c>
      <c r="D17" s="85" t="s">
        <v>105</v>
      </c>
    </row>
    <row r="18" spans="1:4" x14ac:dyDescent="0.2">
      <c r="A18" s="64" t="s">
        <v>11</v>
      </c>
      <c r="B18" s="67">
        <v>80451.039999999994</v>
      </c>
    </row>
    <row r="19" spans="1:4" x14ac:dyDescent="0.2">
      <c r="A19" s="137" t="s">
        <v>107</v>
      </c>
      <c r="B19" s="67">
        <v>12289.9</v>
      </c>
    </row>
    <row r="20" spans="1:4" x14ac:dyDescent="0.2">
      <c r="A20" s="138" t="s">
        <v>67</v>
      </c>
      <c r="B20" s="139">
        <v>68161.14</v>
      </c>
      <c r="D20" s="85" t="s">
        <v>108</v>
      </c>
    </row>
    <row r="21" spans="1:4" x14ac:dyDescent="0.2">
      <c r="A21" s="64" t="s">
        <v>39</v>
      </c>
      <c r="B21" s="67">
        <v>-32743.78</v>
      </c>
    </row>
    <row r="22" spans="1:4" x14ac:dyDescent="0.2">
      <c r="A22" s="138" t="s">
        <v>86</v>
      </c>
      <c r="B22" s="139">
        <v>-41798.400000000001</v>
      </c>
      <c r="D22" s="85" t="s">
        <v>109</v>
      </c>
    </row>
    <row r="23" spans="1:4" x14ac:dyDescent="0.2">
      <c r="A23" s="143" t="s">
        <v>110</v>
      </c>
      <c r="B23" s="144">
        <v>9054.6200000000008</v>
      </c>
      <c r="D23" s="85" t="s">
        <v>111</v>
      </c>
    </row>
    <row r="24" spans="1:4" x14ac:dyDescent="0.2">
      <c r="A24" s="64" t="s">
        <v>71</v>
      </c>
      <c r="B24" s="67">
        <v>200826</v>
      </c>
    </row>
    <row r="25" spans="1:4" x14ac:dyDescent="0.2">
      <c r="A25" s="145" t="s">
        <v>88</v>
      </c>
      <c r="B25" s="146">
        <v>200826</v>
      </c>
      <c r="D25" s="85" t="s">
        <v>112</v>
      </c>
    </row>
    <row r="26" spans="1:4" x14ac:dyDescent="0.2">
      <c r="A26" s="64" t="s">
        <v>89</v>
      </c>
      <c r="B26" s="67">
        <v>1553790.76</v>
      </c>
    </row>
    <row r="27" spans="1:4" x14ac:dyDescent="0.2">
      <c r="A27" s="143" t="s">
        <v>113</v>
      </c>
      <c r="B27" s="144">
        <v>1553790.76</v>
      </c>
      <c r="D27" s="85" t="s">
        <v>114</v>
      </c>
    </row>
    <row r="28" spans="1:4" x14ac:dyDescent="0.2">
      <c r="A28" s="64" t="s">
        <v>73</v>
      </c>
      <c r="B28" s="67">
        <v>7355</v>
      </c>
    </row>
    <row r="29" spans="1:4" x14ac:dyDescent="0.2">
      <c r="A29" s="145" t="s">
        <v>74</v>
      </c>
      <c r="B29" s="146">
        <v>7355</v>
      </c>
      <c r="D29" s="85" t="s">
        <v>115</v>
      </c>
    </row>
    <row r="30" spans="1:4" x14ac:dyDescent="0.2">
      <c r="A30" s="64" t="s">
        <v>75</v>
      </c>
      <c r="B30" s="67">
        <v>-45396.3</v>
      </c>
    </row>
    <row r="31" spans="1:4" x14ac:dyDescent="0.2">
      <c r="A31" s="137" t="s">
        <v>116</v>
      </c>
      <c r="B31" s="67">
        <v>-45396.3</v>
      </c>
    </row>
    <row r="32" spans="1:4" x14ac:dyDescent="0.2">
      <c r="A32" s="64" t="s">
        <v>8</v>
      </c>
      <c r="B32" s="67">
        <v>-37685.19</v>
      </c>
    </row>
    <row r="33" spans="1:2" x14ac:dyDescent="0.2">
      <c r="A33" s="137" t="s">
        <v>117</v>
      </c>
      <c r="B33" s="67">
        <v>-37685.19</v>
      </c>
    </row>
    <row r="34" spans="1:2" x14ac:dyDescent="0.2">
      <c r="A34" s="64" t="s">
        <v>41</v>
      </c>
      <c r="B34" s="67">
        <v>2330603.42</v>
      </c>
    </row>
  </sheetData>
  <pageMargins left="0.7" right="0.7" top="0.75" bottom="0.75" header="0.3" footer="0.3"/>
  <headerFooter>
    <oddFooter>&amp;C&amp;"Calibri"&amp;10 &amp;K000000_x000D_# CONFIDENTIAL_x000D_&amp;1#&amp;"Aptos"&amp;10&amp;K0000FF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3:D29"/>
  <sheetViews>
    <sheetView zoomScale="80" zoomScaleNormal="80" workbookViewId="0">
      <selection activeCell="A31" sqref="A31"/>
    </sheetView>
  </sheetViews>
  <sheetFormatPr defaultRowHeight="12.75" x14ac:dyDescent="0.2"/>
  <cols>
    <col min="1" max="1" width="155.140625" bestFit="1" customWidth="1"/>
    <col min="2" max="2" width="21.5703125" bestFit="1" customWidth="1"/>
  </cols>
  <sheetData>
    <row r="3" spans="1:4" x14ac:dyDescent="0.2">
      <c r="A3" s="63" t="s">
        <v>4</v>
      </c>
      <c r="B3" t="s">
        <v>55</v>
      </c>
    </row>
    <row r="4" spans="1:4" x14ac:dyDescent="0.2">
      <c r="A4" s="64" t="s">
        <v>77</v>
      </c>
      <c r="B4" s="67">
        <v>29762.6</v>
      </c>
    </row>
    <row r="5" spans="1:4" x14ac:dyDescent="0.2">
      <c r="A5" s="137" t="s">
        <v>78</v>
      </c>
      <c r="B5" s="67">
        <v>29762.6</v>
      </c>
    </row>
    <row r="6" spans="1:4" x14ac:dyDescent="0.2">
      <c r="A6" s="64" t="s">
        <v>23</v>
      </c>
      <c r="B6" s="67">
        <v>-53647</v>
      </c>
    </row>
    <row r="7" spans="1:4" x14ac:dyDescent="0.2">
      <c r="A7" s="138" t="s">
        <v>97</v>
      </c>
      <c r="B7" s="139">
        <v>-53647</v>
      </c>
    </row>
    <row r="8" spans="1:4" x14ac:dyDescent="0.2">
      <c r="A8" s="64" t="s">
        <v>57</v>
      </c>
      <c r="B8" s="67">
        <v>-10602091.199999999</v>
      </c>
      <c r="D8" s="85" t="s">
        <v>98</v>
      </c>
    </row>
    <row r="9" spans="1:4" x14ac:dyDescent="0.2">
      <c r="A9" s="137" t="s">
        <v>78</v>
      </c>
      <c r="B9" s="67">
        <v>-10925000</v>
      </c>
    </row>
    <row r="10" spans="1:4" x14ac:dyDescent="0.2">
      <c r="A10" s="138" t="s">
        <v>99</v>
      </c>
      <c r="B10" s="139">
        <v>322908.79999999999</v>
      </c>
      <c r="D10" s="85" t="s">
        <v>100</v>
      </c>
    </row>
    <row r="11" spans="1:4" x14ac:dyDescent="0.2">
      <c r="A11" s="64" t="s">
        <v>32</v>
      </c>
      <c r="B11" s="67">
        <v>335257.60000000009</v>
      </c>
    </row>
    <row r="12" spans="1:4" x14ac:dyDescent="0.2">
      <c r="A12" s="138" t="s">
        <v>101</v>
      </c>
      <c r="B12" s="139">
        <v>335257.60000000009</v>
      </c>
      <c r="D12" s="85" t="s">
        <v>102</v>
      </c>
    </row>
    <row r="13" spans="1:4" x14ac:dyDescent="0.2">
      <c r="A13" s="64" t="s">
        <v>35</v>
      </c>
      <c r="B13" s="67">
        <v>52152.749999999993</v>
      </c>
    </row>
    <row r="14" spans="1:4" x14ac:dyDescent="0.2">
      <c r="A14" s="137" t="s">
        <v>61</v>
      </c>
      <c r="B14" s="67">
        <v>52152.749999999993</v>
      </c>
    </row>
    <row r="15" spans="1:4" x14ac:dyDescent="0.2">
      <c r="A15" s="64" t="s">
        <v>11</v>
      </c>
      <c r="B15" s="67">
        <v>80451.039999999994</v>
      </c>
      <c r="D15" s="85" t="s">
        <v>104</v>
      </c>
    </row>
    <row r="16" spans="1:4" x14ac:dyDescent="0.2">
      <c r="A16" s="137" t="s">
        <v>107</v>
      </c>
      <c r="B16" s="67">
        <v>12289.9</v>
      </c>
      <c r="D16" s="85" t="s">
        <v>105</v>
      </c>
    </row>
    <row r="17" spans="1:4" x14ac:dyDescent="0.2">
      <c r="A17" s="138" t="s">
        <v>67</v>
      </c>
      <c r="B17" s="139">
        <v>68161.14</v>
      </c>
      <c r="D17" s="85" t="s">
        <v>105</v>
      </c>
    </row>
    <row r="18" spans="1:4" x14ac:dyDescent="0.2">
      <c r="A18" s="64" t="s">
        <v>39</v>
      </c>
      <c r="B18" s="67">
        <v>86843.47</v>
      </c>
    </row>
    <row r="19" spans="1:4" x14ac:dyDescent="0.2">
      <c r="A19" s="138" t="s">
        <v>86</v>
      </c>
      <c r="B19" s="139">
        <v>-41798.400000000001</v>
      </c>
    </row>
    <row r="20" spans="1:4" x14ac:dyDescent="0.2">
      <c r="A20" s="137" t="s">
        <v>78</v>
      </c>
      <c r="B20" s="67">
        <v>128641.87</v>
      </c>
      <c r="D20" s="85" t="s">
        <v>108</v>
      </c>
    </row>
    <row r="21" spans="1:4" x14ac:dyDescent="0.2">
      <c r="A21" s="64" t="s">
        <v>71</v>
      </c>
      <c r="B21" s="67">
        <v>-77500</v>
      </c>
    </row>
    <row r="22" spans="1:4" x14ac:dyDescent="0.2">
      <c r="A22" s="137" t="s">
        <v>78</v>
      </c>
      <c r="B22" s="67">
        <v>-77500</v>
      </c>
      <c r="D22" s="85" t="s">
        <v>109</v>
      </c>
    </row>
    <row r="23" spans="1:4" x14ac:dyDescent="0.2">
      <c r="A23" s="64" t="s">
        <v>73</v>
      </c>
      <c r="B23" s="67">
        <v>7355</v>
      </c>
      <c r="D23" s="85" t="s">
        <v>111</v>
      </c>
    </row>
    <row r="24" spans="1:4" x14ac:dyDescent="0.2">
      <c r="A24" s="145" t="s">
        <v>74</v>
      </c>
      <c r="B24" s="146">
        <v>7355</v>
      </c>
    </row>
    <row r="25" spans="1:4" x14ac:dyDescent="0.2">
      <c r="A25" s="64" t="s">
        <v>68</v>
      </c>
      <c r="B25" s="67">
        <v>558594.32999999996</v>
      </c>
      <c r="D25" s="85" t="s">
        <v>112</v>
      </c>
    </row>
    <row r="26" spans="1:4" x14ac:dyDescent="0.2">
      <c r="A26" s="137" t="s">
        <v>78</v>
      </c>
      <c r="B26" s="67">
        <v>558594.32999999996</v>
      </c>
    </row>
    <row r="27" spans="1:4" x14ac:dyDescent="0.2">
      <c r="A27" s="64" t="s">
        <v>41</v>
      </c>
      <c r="B27" s="67">
        <v>-9582821.4100000001</v>
      </c>
      <c r="D27" s="85" t="s">
        <v>114</v>
      </c>
    </row>
    <row r="29" spans="1:4" x14ac:dyDescent="0.2">
      <c r="D29" s="85" t="s">
        <v>115</v>
      </c>
    </row>
  </sheetData>
  <pageMargins left="0.7" right="0.7" top="0.75" bottom="0.75" header="0.3" footer="0.3"/>
  <headerFooter>
    <oddFooter>&amp;C&amp;"Calibri"&amp;10 &amp;K000000_x000D_# CONFIDENTIAL_x000D_&amp;1#&amp;"Aptos"&amp;10&amp;K0000FF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3:D29"/>
  <sheetViews>
    <sheetView zoomScale="80" zoomScaleNormal="80" workbookViewId="0">
      <selection activeCell="A26" activeCellId="9" sqref="A4 A7 A9 A11 A14 A17 A20 A22 A24 A26"/>
    </sheetView>
  </sheetViews>
  <sheetFormatPr defaultRowHeight="12.75" x14ac:dyDescent="0.2"/>
  <cols>
    <col min="1" max="1" width="122" bestFit="1" customWidth="1"/>
    <col min="2" max="2" width="24.140625" bestFit="1" customWidth="1"/>
    <col min="4" max="4" width="13.5703125" customWidth="1"/>
  </cols>
  <sheetData>
    <row r="3" spans="1:4" x14ac:dyDescent="0.2">
      <c r="A3" s="63" t="s">
        <v>4</v>
      </c>
      <c r="B3" t="s">
        <v>55</v>
      </c>
    </row>
    <row r="4" spans="1:4" x14ac:dyDescent="0.2">
      <c r="A4" s="64" t="s">
        <v>77</v>
      </c>
      <c r="B4" s="67">
        <v>4762.6000000000022</v>
      </c>
    </row>
    <row r="5" spans="1:4" x14ac:dyDescent="0.2">
      <c r="A5" s="137" t="s">
        <v>118</v>
      </c>
      <c r="B5" s="67">
        <v>29762.6</v>
      </c>
      <c r="D5" t="s">
        <v>119</v>
      </c>
    </row>
    <row r="6" spans="1:4" x14ac:dyDescent="0.2">
      <c r="A6" s="137" t="s">
        <v>120</v>
      </c>
      <c r="B6" s="67">
        <v>-25000</v>
      </c>
      <c r="D6" t="s">
        <v>121</v>
      </c>
    </row>
    <row r="7" spans="1:4" x14ac:dyDescent="0.2">
      <c r="A7" s="64" t="s">
        <v>23</v>
      </c>
      <c r="B7" s="67">
        <v>-53647</v>
      </c>
    </row>
    <row r="8" spans="1:4" x14ac:dyDescent="0.2">
      <c r="A8" s="138" t="s">
        <v>97</v>
      </c>
      <c r="B8" s="139">
        <v>-53647</v>
      </c>
      <c r="D8" s="85" t="s">
        <v>98</v>
      </c>
    </row>
    <row r="9" spans="1:4" x14ac:dyDescent="0.2">
      <c r="A9" s="64" t="s">
        <v>57</v>
      </c>
      <c r="B9" s="67">
        <v>322908.79999999999</v>
      </c>
    </row>
    <row r="10" spans="1:4" x14ac:dyDescent="0.2">
      <c r="A10" s="138" t="s">
        <v>99</v>
      </c>
      <c r="B10" s="139">
        <v>322908.79999999999</v>
      </c>
      <c r="D10" s="85" t="s">
        <v>100</v>
      </c>
    </row>
    <row r="11" spans="1:4" x14ac:dyDescent="0.2">
      <c r="A11" s="64" t="s">
        <v>35</v>
      </c>
      <c r="B11" s="67">
        <v>2141402.75</v>
      </c>
    </row>
    <row r="12" spans="1:4" x14ac:dyDescent="0.2">
      <c r="A12" s="137" t="s">
        <v>61</v>
      </c>
      <c r="B12" s="67">
        <v>52152.749999999993</v>
      </c>
      <c r="D12" s="85" t="s">
        <v>102</v>
      </c>
    </row>
    <row r="13" spans="1:4" x14ac:dyDescent="0.2">
      <c r="A13" s="137" t="s">
        <v>122</v>
      </c>
      <c r="B13" s="67">
        <v>2089250</v>
      </c>
      <c r="D13" s="85" t="s">
        <v>123</v>
      </c>
    </row>
    <row r="14" spans="1:4" x14ac:dyDescent="0.2">
      <c r="A14" s="64" t="s">
        <v>11</v>
      </c>
      <c r="B14" s="67">
        <v>80451.039999999994</v>
      </c>
    </row>
    <row r="15" spans="1:4" x14ac:dyDescent="0.2">
      <c r="A15" s="137" t="s">
        <v>107</v>
      </c>
      <c r="B15" s="67">
        <v>12289.9</v>
      </c>
      <c r="D15" s="85"/>
    </row>
    <row r="16" spans="1:4" x14ac:dyDescent="0.2">
      <c r="A16" s="138" t="s">
        <v>67</v>
      </c>
      <c r="B16" s="139">
        <v>68161.14</v>
      </c>
      <c r="D16" s="85"/>
    </row>
    <row r="17" spans="1:4" x14ac:dyDescent="0.2">
      <c r="A17" s="64" t="s">
        <v>39</v>
      </c>
      <c r="B17" s="67">
        <v>-17423.400000000001</v>
      </c>
      <c r="D17" s="85"/>
    </row>
    <row r="18" spans="1:4" x14ac:dyDescent="0.2">
      <c r="A18" s="138" t="s">
        <v>86</v>
      </c>
      <c r="B18" s="139">
        <v>-41798.400000000001</v>
      </c>
    </row>
    <row r="19" spans="1:4" x14ac:dyDescent="0.2">
      <c r="A19" s="137" t="s">
        <v>118</v>
      </c>
      <c r="B19" s="67">
        <v>24375</v>
      </c>
      <c r="D19" t="s">
        <v>124</v>
      </c>
    </row>
    <row r="20" spans="1:4" x14ac:dyDescent="0.2">
      <c r="A20" s="64" t="s">
        <v>71</v>
      </c>
      <c r="B20" s="67">
        <v>971656.3</v>
      </c>
      <c r="D20" s="85"/>
    </row>
    <row r="21" spans="1:4" x14ac:dyDescent="0.2">
      <c r="A21" s="137" t="s">
        <v>125</v>
      </c>
      <c r="B21" s="67">
        <v>971656.3</v>
      </c>
      <c r="D21" t="s">
        <v>126</v>
      </c>
    </row>
    <row r="22" spans="1:4" x14ac:dyDescent="0.2">
      <c r="A22" s="64" t="s">
        <v>73</v>
      </c>
      <c r="B22" s="67">
        <v>7355</v>
      </c>
      <c r="D22" s="85" t="s">
        <v>109</v>
      </c>
    </row>
    <row r="23" spans="1:4" x14ac:dyDescent="0.2">
      <c r="A23" s="145" t="s">
        <v>74</v>
      </c>
      <c r="B23" s="146">
        <v>7355</v>
      </c>
      <c r="D23" s="85" t="s">
        <v>111</v>
      </c>
    </row>
    <row r="24" spans="1:4" x14ac:dyDescent="0.2">
      <c r="A24" s="64" t="s">
        <v>68</v>
      </c>
      <c r="B24" s="67">
        <v>-85230.24</v>
      </c>
    </row>
    <row r="25" spans="1:4" x14ac:dyDescent="0.2">
      <c r="A25" s="137" t="s">
        <v>127</v>
      </c>
      <c r="B25" s="67">
        <v>-85230.24</v>
      </c>
      <c r="D25" s="85" t="s">
        <v>112</v>
      </c>
    </row>
    <row r="26" spans="1:4" x14ac:dyDescent="0.2">
      <c r="A26" s="64" t="s">
        <v>128</v>
      </c>
      <c r="B26" s="67">
        <v>-1065122.54</v>
      </c>
    </row>
    <row r="27" spans="1:4" x14ac:dyDescent="0.2">
      <c r="A27" s="137" t="s">
        <v>129</v>
      </c>
      <c r="B27" s="67">
        <v>-1065122.54</v>
      </c>
      <c r="D27" s="85" t="s">
        <v>114</v>
      </c>
    </row>
    <row r="28" spans="1:4" x14ac:dyDescent="0.2">
      <c r="A28" s="64" t="s">
        <v>41</v>
      </c>
      <c r="B28" s="67">
        <v>2307113.31</v>
      </c>
    </row>
    <row r="29" spans="1:4" x14ac:dyDescent="0.2">
      <c r="D29" s="85" t="s">
        <v>115</v>
      </c>
    </row>
  </sheetData>
  <pageMargins left="0.7" right="0.7" top="0.75" bottom="0.75" header="0.3" footer="0.3"/>
  <headerFooter>
    <oddFooter>&amp;C&amp;"Calibri"&amp;10 &amp;K000000_x000D_# CONFIDENTIAL_x000D_&amp;1#&amp;"Aptos"&amp;10&amp;K0000FF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3:E33"/>
  <sheetViews>
    <sheetView zoomScaleNormal="100" workbookViewId="0">
      <selection activeCell="A37" sqref="A37"/>
    </sheetView>
  </sheetViews>
  <sheetFormatPr defaultRowHeight="12.75" x14ac:dyDescent="0.2"/>
  <cols>
    <col min="1" max="1" width="122" bestFit="1" customWidth="1"/>
    <col min="2" max="2" width="24.140625" bestFit="1" customWidth="1"/>
    <col min="4" max="4" width="13.5703125" customWidth="1"/>
  </cols>
  <sheetData>
    <row r="3" spans="1:5" x14ac:dyDescent="0.2">
      <c r="A3" s="63" t="s">
        <v>4</v>
      </c>
      <c r="B3" t="s">
        <v>55</v>
      </c>
    </row>
    <row r="4" spans="1:5" x14ac:dyDescent="0.2">
      <c r="A4" s="64" t="s">
        <v>77</v>
      </c>
      <c r="B4" s="67">
        <v>-25292.18</v>
      </c>
    </row>
    <row r="5" spans="1:5" x14ac:dyDescent="0.2">
      <c r="A5" s="137" t="s">
        <v>118</v>
      </c>
      <c r="B5" s="67">
        <v>29762.6</v>
      </c>
      <c r="D5" s="85" t="s">
        <v>119</v>
      </c>
      <c r="E5" s="85" t="s">
        <v>130</v>
      </c>
    </row>
    <row r="6" spans="1:5" x14ac:dyDescent="0.2">
      <c r="A6" s="152" t="s">
        <v>120</v>
      </c>
      <c r="B6" s="153">
        <v>-30054.78</v>
      </c>
      <c r="D6" s="85" t="s">
        <v>131</v>
      </c>
    </row>
    <row r="7" spans="1:5" x14ac:dyDescent="0.2">
      <c r="A7" s="143" t="s">
        <v>132</v>
      </c>
      <c r="B7" s="144">
        <v>-25000</v>
      </c>
      <c r="D7" s="85" t="s">
        <v>133</v>
      </c>
    </row>
    <row r="8" spans="1:5" x14ac:dyDescent="0.2">
      <c r="A8" s="64" t="s">
        <v>23</v>
      </c>
      <c r="B8" s="67">
        <v>-53647</v>
      </c>
      <c r="D8" s="85"/>
    </row>
    <row r="9" spans="1:5" x14ac:dyDescent="0.2">
      <c r="A9" s="138" t="s">
        <v>97</v>
      </c>
      <c r="B9" s="139">
        <v>-53647</v>
      </c>
      <c r="D9" s="85" t="s">
        <v>134</v>
      </c>
    </row>
    <row r="10" spans="1:5" x14ac:dyDescent="0.2">
      <c r="A10" s="64" t="s">
        <v>57</v>
      </c>
      <c r="B10" s="67">
        <v>491772.46</v>
      </c>
      <c r="D10" s="85"/>
    </row>
    <row r="11" spans="1:5" x14ac:dyDescent="0.2">
      <c r="A11" s="138" t="s">
        <v>99</v>
      </c>
      <c r="B11" s="139">
        <v>322908.79999999999</v>
      </c>
    </row>
    <row r="12" spans="1:5" x14ac:dyDescent="0.2">
      <c r="A12" s="154" t="s">
        <v>135</v>
      </c>
      <c r="B12" s="155">
        <v>168863.66</v>
      </c>
      <c r="D12" s="85"/>
    </row>
    <row r="13" spans="1:5" x14ac:dyDescent="0.2">
      <c r="A13" s="64" t="s">
        <v>35</v>
      </c>
      <c r="B13" s="67">
        <v>52152.749999999993</v>
      </c>
      <c r="D13" s="85"/>
    </row>
    <row r="14" spans="1:5" x14ac:dyDescent="0.2">
      <c r="A14" s="137" t="s">
        <v>61</v>
      </c>
      <c r="B14" s="67">
        <v>52152.749999999993</v>
      </c>
      <c r="D14" s="85" t="s">
        <v>136</v>
      </c>
      <c r="E14" s="85" t="s">
        <v>137</v>
      </c>
    </row>
    <row r="15" spans="1:5" x14ac:dyDescent="0.2">
      <c r="A15" s="64" t="s">
        <v>11</v>
      </c>
      <c r="B15" s="67">
        <v>80451.039999999994</v>
      </c>
      <c r="D15" s="85"/>
    </row>
    <row r="16" spans="1:5" x14ac:dyDescent="0.2">
      <c r="A16" s="137" t="s">
        <v>107</v>
      </c>
      <c r="B16" s="67">
        <v>12289.9</v>
      </c>
      <c r="D16" s="85" t="s">
        <v>138</v>
      </c>
      <c r="E16" s="85" t="s">
        <v>139</v>
      </c>
    </row>
    <row r="17" spans="1:4" x14ac:dyDescent="0.2">
      <c r="A17" s="138" t="s">
        <v>67</v>
      </c>
      <c r="B17" s="139">
        <v>68161.14</v>
      </c>
      <c r="D17" s="85"/>
    </row>
    <row r="18" spans="1:4" x14ac:dyDescent="0.2">
      <c r="A18" s="64" t="s">
        <v>39</v>
      </c>
      <c r="B18" s="67">
        <v>-17423.400000000001</v>
      </c>
    </row>
    <row r="19" spans="1:4" x14ac:dyDescent="0.2">
      <c r="A19" s="138" t="s">
        <v>86</v>
      </c>
      <c r="B19" s="139">
        <v>-41798.400000000001</v>
      </c>
      <c r="D19" s="85" t="s">
        <v>140</v>
      </c>
    </row>
    <row r="20" spans="1:4" x14ac:dyDescent="0.2">
      <c r="A20" s="137" t="s">
        <v>118</v>
      </c>
      <c r="B20" s="67">
        <v>24375</v>
      </c>
      <c r="D20" s="85" t="s">
        <v>141</v>
      </c>
    </row>
    <row r="21" spans="1:4" x14ac:dyDescent="0.2">
      <c r="A21" s="64" t="s">
        <v>71</v>
      </c>
      <c r="B21" s="67">
        <v>971656.3</v>
      </c>
    </row>
    <row r="22" spans="1:4" x14ac:dyDescent="0.2">
      <c r="A22" s="154" t="s">
        <v>125</v>
      </c>
      <c r="B22" s="155">
        <v>971656.3</v>
      </c>
      <c r="D22" s="85" t="s">
        <v>142</v>
      </c>
    </row>
    <row r="23" spans="1:4" x14ac:dyDescent="0.2">
      <c r="A23" s="64" t="s">
        <v>73</v>
      </c>
      <c r="B23" s="67">
        <v>7355</v>
      </c>
      <c r="D23" s="85"/>
    </row>
    <row r="24" spans="1:4" x14ac:dyDescent="0.2">
      <c r="A24" s="145" t="s">
        <v>74</v>
      </c>
      <c r="B24" s="146">
        <v>133855</v>
      </c>
      <c r="D24" s="85" t="s">
        <v>143</v>
      </c>
    </row>
    <row r="25" spans="1:4" x14ac:dyDescent="0.2">
      <c r="A25" s="145" t="s">
        <v>144</v>
      </c>
      <c r="B25" s="146">
        <v>-126500</v>
      </c>
      <c r="D25" s="85" t="s">
        <v>143</v>
      </c>
    </row>
    <row r="26" spans="1:4" x14ac:dyDescent="0.2">
      <c r="A26" s="64" t="s">
        <v>68</v>
      </c>
      <c r="B26" s="67">
        <v>-1239252.58</v>
      </c>
    </row>
    <row r="27" spans="1:4" x14ac:dyDescent="0.2">
      <c r="A27" s="137" t="s">
        <v>145</v>
      </c>
      <c r="B27" s="67">
        <v>-85230.24</v>
      </c>
      <c r="D27" s="85" t="s">
        <v>146</v>
      </c>
    </row>
    <row r="28" spans="1:4" x14ac:dyDescent="0.2">
      <c r="A28" s="143" t="s">
        <v>133</v>
      </c>
      <c r="B28" s="144">
        <v>-1154022.3400000001</v>
      </c>
      <c r="D28" s="85" t="s">
        <v>147</v>
      </c>
    </row>
    <row r="29" spans="1:4" x14ac:dyDescent="0.2">
      <c r="A29" s="64" t="s">
        <v>8</v>
      </c>
      <c r="B29" s="67">
        <v>-1557.97</v>
      </c>
      <c r="D29" s="85"/>
    </row>
    <row r="30" spans="1:4" x14ac:dyDescent="0.2">
      <c r="A30" s="137" t="s">
        <v>148</v>
      </c>
      <c r="B30" s="67">
        <v>-1557.97</v>
      </c>
    </row>
    <row r="31" spans="1:4" x14ac:dyDescent="0.2">
      <c r="A31" s="64" t="s">
        <v>149</v>
      </c>
      <c r="B31" s="67">
        <v>-81871.89</v>
      </c>
    </row>
    <row r="32" spans="1:4" x14ac:dyDescent="0.2">
      <c r="A32" s="152" t="s">
        <v>120</v>
      </c>
      <c r="B32" s="153">
        <v>-81871.89</v>
      </c>
    </row>
    <row r="33" spans="1:2" x14ac:dyDescent="0.2">
      <c r="A33" s="64" t="s">
        <v>41</v>
      </c>
      <c r="B33" s="67">
        <v>184342.53000000009</v>
      </c>
    </row>
  </sheetData>
  <pageMargins left="0.7" right="0.7" top="0.75" bottom="0.75" header="0.3" footer="0.3"/>
  <headerFooter>
    <oddFooter>&amp;C&amp;"Calibri"&amp;10 &amp;K000000_x000D_# CONFIDENTIAL_x000D_&amp;1#&amp;"Aptos"&amp;10&amp;K0000FF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3:E33"/>
  <sheetViews>
    <sheetView zoomScaleNormal="100" workbookViewId="0">
      <selection activeCell="I24" sqref="I24"/>
    </sheetView>
  </sheetViews>
  <sheetFormatPr defaultRowHeight="12.75" x14ac:dyDescent="0.2"/>
  <cols>
    <col min="1" max="1" width="111.7109375" customWidth="1"/>
    <col min="2" max="2" width="21.85546875" bestFit="1" customWidth="1"/>
    <col min="4" max="4" width="13.5703125" customWidth="1"/>
  </cols>
  <sheetData>
    <row r="3" spans="1:5" x14ac:dyDescent="0.2">
      <c r="A3" s="63" t="s">
        <v>4</v>
      </c>
      <c r="B3" t="s">
        <v>55</v>
      </c>
    </row>
    <row r="4" spans="1:5" x14ac:dyDescent="0.2">
      <c r="A4" s="64" t="s">
        <v>77</v>
      </c>
      <c r="B4" s="67">
        <v>-30054.78</v>
      </c>
    </row>
    <row r="5" spans="1:5" x14ac:dyDescent="0.2">
      <c r="A5" s="143" t="s">
        <v>150</v>
      </c>
      <c r="B5" s="144">
        <v>-30054.78</v>
      </c>
      <c r="D5" s="85" t="s">
        <v>151</v>
      </c>
      <c r="E5" s="85"/>
    </row>
    <row r="6" spans="1:5" x14ac:dyDescent="0.2">
      <c r="A6" s="64" t="s">
        <v>23</v>
      </c>
      <c r="B6" s="67">
        <v>-53647</v>
      </c>
      <c r="D6" s="85" t="s">
        <v>131</v>
      </c>
    </row>
    <row r="7" spans="1:5" x14ac:dyDescent="0.2">
      <c r="A7" s="138" t="s">
        <v>97</v>
      </c>
      <c r="B7" s="139">
        <v>-53647</v>
      </c>
      <c r="D7" s="85" t="s">
        <v>152</v>
      </c>
    </row>
    <row r="8" spans="1:5" x14ac:dyDescent="0.2">
      <c r="A8" s="64" t="s">
        <v>57</v>
      </c>
      <c r="B8" s="67">
        <v>322908.79999999999</v>
      </c>
      <c r="D8" s="85"/>
    </row>
    <row r="9" spans="1:5" x14ac:dyDescent="0.2">
      <c r="A9" s="138" t="s">
        <v>153</v>
      </c>
      <c r="B9" s="139">
        <v>322908.79999999999</v>
      </c>
      <c r="D9" s="85" t="s">
        <v>154</v>
      </c>
    </row>
    <row r="10" spans="1:5" x14ac:dyDescent="0.2">
      <c r="A10" s="64" t="s">
        <v>35</v>
      </c>
      <c r="B10" s="67">
        <v>52152.749999999993</v>
      </c>
      <c r="D10" s="85"/>
    </row>
    <row r="11" spans="1:5" x14ac:dyDescent="0.2">
      <c r="A11" s="138" t="s">
        <v>155</v>
      </c>
      <c r="B11" s="139">
        <v>52152.749999999993</v>
      </c>
      <c r="D11" s="85" t="s">
        <v>156</v>
      </c>
    </row>
    <row r="12" spans="1:5" x14ac:dyDescent="0.2">
      <c r="A12" s="64" t="s">
        <v>11</v>
      </c>
      <c r="B12" s="67">
        <v>80451.039999999994</v>
      </c>
      <c r="D12" s="85"/>
    </row>
    <row r="13" spans="1:5" x14ac:dyDescent="0.2">
      <c r="A13" s="137" t="s">
        <v>107</v>
      </c>
      <c r="B13" s="67">
        <v>12289.9</v>
      </c>
      <c r="D13" s="85"/>
    </row>
    <row r="14" spans="1:5" x14ac:dyDescent="0.2">
      <c r="A14" s="138" t="s">
        <v>67</v>
      </c>
      <c r="B14" s="139">
        <v>68161.14</v>
      </c>
      <c r="D14" s="85" t="s">
        <v>157</v>
      </c>
      <c r="E14" s="85"/>
    </row>
    <row r="15" spans="1:5" x14ac:dyDescent="0.2">
      <c r="A15" s="64" t="s">
        <v>39</v>
      </c>
      <c r="B15" s="67">
        <v>-17423.400000000001</v>
      </c>
      <c r="D15" s="85"/>
    </row>
    <row r="16" spans="1:5" x14ac:dyDescent="0.2">
      <c r="A16" s="138" t="s">
        <v>86</v>
      </c>
      <c r="B16" s="139">
        <v>-41798.400000000001</v>
      </c>
      <c r="D16" s="85" t="s">
        <v>158</v>
      </c>
      <c r="E16" s="85"/>
    </row>
    <row r="17" spans="1:4" x14ac:dyDescent="0.2">
      <c r="A17" s="143" t="s">
        <v>151</v>
      </c>
      <c r="B17" s="144">
        <v>24375</v>
      </c>
      <c r="D17" s="85" t="s">
        <v>159</v>
      </c>
    </row>
    <row r="18" spans="1:4" x14ac:dyDescent="0.2">
      <c r="A18" s="64" t="s">
        <v>71</v>
      </c>
      <c r="B18" s="67">
        <v>971656.3</v>
      </c>
    </row>
    <row r="19" spans="1:4" x14ac:dyDescent="0.2">
      <c r="A19" s="156" t="s">
        <v>160</v>
      </c>
      <c r="B19" s="157">
        <v>971656.3</v>
      </c>
      <c r="D19" s="85" t="s">
        <v>161</v>
      </c>
    </row>
    <row r="20" spans="1:4" x14ac:dyDescent="0.2">
      <c r="A20" s="64" t="s">
        <v>68</v>
      </c>
      <c r="B20" s="67">
        <v>-85230.24</v>
      </c>
      <c r="D20" s="85"/>
    </row>
    <row r="21" spans="1:4" x14ac:dyDescent="0.2">
      <c r="A21" s="143" t="s">
        <v>162</v>
      </c>
      <c r="B21" s="144">
        <v>-85230.24</v>
      </c>
      <c r="D21" s="85" t="s">
        <v>151</v>
      </c>
    </row>
    <row r="22" spans="1:4" x14ac:dyDescent="0.2">
      <c r="A22" s="64" t="s">
        <v>8</v>
      </c>
      <c r="B22" s="67">
        <v>2675298.73</v>
      </c>
      <c r="D22" s="85"/>
    </row>
    <row r="23" spans="1:4" x14ac:dyDescent="0.2">
      <c r="A23" s="137" t="s">
        <v>148</v>
      </c>
      <c r="B23" s="67">
        <v>-1557.97</v>
      </c>
      <c r="D23" s="85" t="s">
        <v>163</v>
      </c>
    </row>
    <row r="24" spans="1:4" x14ac:dyDescent="0.2">
      <c r="A24" s="137" t="s">
        <v>164</v>
      </c>
      <c r="B24" s="67">
        <v>2676856.7000000002</v>
      </c>
      <c r="D24" s="85" t="s">
        <v>165</v>
      </c>
    </row>
    <row r="25" spans="1:4" x14ac:dyDescent="0.2">
      <c r="A25" s="64" t="s">
        <v>149</v>
      </c>
      <c r="B25" s="67">
        <v>-81871.89</v>
      </c>
    </row>
    <row r="26" spans="1:4" x14ac:dyDescent="0.2">
      <c r="A26" s="158" t="s">
        <v>166</v>
      </c>
      <c r="B26" s="159">
        <v>-81871.89</v>
      </c>
      <c r="D26" s="85" t="s">
        <v>120</v>
      </c>
    </row>
    <row r="27" spans="1:4" x14ac:dyDescent="0.2">
      <c r="A27" s="64" t="s">
        <v>37</v>
      </c>
      <c r="B27" s="67">
        <v>187267.68</v>
      </c>
      <c r="D27" s="85"/>
    </row>
    <row r="28" spans="1:4" x14ac:dyDescent="0.2">
      <c r="A28" s="143" t="s">
        <v>151</v>
      </c>
      <c r="B28" s="144">
        <v>187267.68</v>
      </c>
      <c r="D28" s="85" t="s">
        <v>167</v>
      </c>
    </row>
    <row r="29" spans="1:4" x14ac:dyDescent="0.2">
      <c r="A29" s="64" t="s">
        <v>168</v>
      </c>
      <c r="B29" s="67">
        <v>-771663.59</v>
      </c>
      <c r="D29" s="85"/>
    </row>
    <row r="30" spans="1:4" x14ac:dyDescent="0.2">
      <c r="A30" s="137" t="s">
        <v>169</v>
      </c>
      <c r="B30" s="67">
        <v>-771663.59</v>
      </c>
      <c r="D30" s="85" t="s">
        <v>170</v>
      </c>
    </row>
    <row r="31" spans="1:4" x14ac:dyDescent="0.2">
      <c r="A31" s="64" t="s">
        <v>34</v>
      </c>
      <c r="B31" s="67">
        <v>-385157.57</v>
      </c>
    </row>
    <row r="32" spans="1:4" x14ac:dyDescent="0.2">
      <c r="A32" s="158" t="s">
        <v>166</v>
      </c>
      <c r="B32" s="159">
        <v>-385157.57</v>
      </c>
      <c r="D32" s="85" t="s">
        <v>120</v>
      </c>
    </row>
    <row r="33" spans="1:2" x14ac:dyDescent="0.2">
      <c r="A33" s="64" t="s">
        <v>41</v>
      </c>
      <c r="B33" s="67">
        <v>2864686.830000001</v>
      </c>
    </row>
  </sheetData>
  <pageMargins left="0.7" right="0.7" top="0.75" bottom="0.75" header="0.3" footer="0.3"/>
  <headerFooter>
    <oddFooter>&amp;C&amp;"Calibri"&amp;10 &amp;K000000_x000D_# CONFIDENTIAL_x000D_&amp;1#&amp;"Aptos"&amp;10&amp;K0000FF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3:K32"/>
  <sheetViews>
    <sheetView workbookViewId="0">
      <selection activeCell="A26" sqref="A26"/>
    </sheetView>
  </sheetViews>
  <sheetFormatPr defaultRowHeight="12.75" x14ac:dyDescent="0.2"/>
  <cols>
    <col min="1" max="1" width="150.140625" bestFit="1" customWidth="1"/>
    <col min="2" max="2" width="21.85546875" style="91" bestFit="1" customWidth="1"/>
  </cols>
  <sheetData>
    <row r="3" spans="1:11" x14ac:dyDescent="0.2">
      <c r="A3" s="63" t="s">
        <v>4</v>
      </c>
      <c r="B3" s="91" t="s">
        <v>55</v>
      </c>
    </row>
    <row r="4" spans="1:11" x14ac:dyDescent="0.2">
      <c r="A4" s="64" t="s">
        <v>168</v>
      </c>
      <c r="B4" s="91">
        <v>-771663.59</v>
      </c>
    </row>
    <row r="5" spans="1:11" x14ac:dyDescent="0.2">
      <c r="A5" s="138" t="s">
        <v>169</v>
      </c>
      <c r="B5" s="161">
        <v>-771663.59</v>
      </c>
      <c r="D5" t="s">
        <v>171</v>
      </c>
    </row>
    <row r="6" spans="1:11" x14ac:dyDescent="0.2">
      <c r="A6" s="64" t="s">
        <v>23</v>
      </c>
      <c r="B6" s="91">
        <v>-53647</v>
      </c>
    </row>
    <row r="7" spans="1:11" x14ac:dyDescent="0.2">
      <c r="A7" s="137" t="s">
        <v>97</v>
      </c>
      <c r="B7" s="91">
        <v>-53647</v>
      </c>
      <c r="D7" s="85" t="s">
        <v>172</v>
      </c>
    </row>
    <row r="8" spans="1:11" x14ac:dyDescent="0.2">
      <c r="A8" s="64" t="s">
        <v>57</v>
      </c>
      <c r="B8" s="91">
        <v>106778.22</v>
      </c>
    </row>
    <row r="9" spans="1:11" x14ac:dyDescent="0.2">
      <c r="A9" s="138" t="s">
        <v>173</v>
      </c>
      <c r="B9" s="161">
        <v>-216130.58</v>
      </c>
    </row>
    <row r="10" spans="1:11" x14ac:dyDescent="0.2">
      <c r="A10" s="137" t="s">
        <v>153</v>
      </c>
      <c r="B10" s="91">
        <v>322908.79999999999</v>
      </c>
      <c r="D10" s="85" t="s">
        <v>174</v>
      </c>
      <c r="K10" t="s">
        <v>175</v>
      </c>
    </row>
    <row r="11" spans="1:11" x14ac:dyDescent="0.2">
      <c r="A11" s="64" t="s">
        <v>176</v>
      </c>
      <c r="B11" s="91">
        <v>-1107269</v>
      </c>
    </row>
    <row r="12" spans="1:11" x14ac:dyDescent="0.2">
      <c r="A12" s="143" t="s">
        <v>177</v>
      </c>
      <c r="B12" s="160">
        <v>-1107269</v>
      </c>
      <c r="D12" s="85" t="s">
        <v>178</v>
      </c>
    </row>
    <row r="13" spans="1:11" x14ac:dyDescent="0.2">
      <c r="A13" s="64" t="s">
        <v>35</v>
      </c>
      <c r="B13" s="91">
        <v>-75847.250000000015</v>
      </c>
    </row>
    <row r="14" spans="1:11" x14ac:dyDescent="0.2">
      <c r="A14" s="143" t="s">
        <v>155</v>
      </c>
      <c r="B14" s="160">
        <v>52152.749999999993</v>
      </c>
      <c r="D14" s="85" t="s">
        <v>179</v>
      </c>
    </row>
    <row r="15" spans="1:11" x14ac:dyDescent="0.2">
      <c r="A15" s="137" t="s">
        <v>180</v>
      </c>
      <c r="B15" s="91">
        <v>-128000</v>
      </c>
      <c r="D15" s="85" t="s">
        <v>178</v>
      </c>
    </row>
    <row r="16" spans="1:11" x14ac:dyDescent="0.2">
      <c r="A16" s="64" t="s">
        <v>11</v>
      </c>
      <c r="B16" s="91">
        <v>80451.039999999994</v>
      </c>
    </row>
    <row r="17" spans="1:4" x14ac:dyDescent="0.2">
      <c r="A17" s="137" t="s">
        <v>107</v>
      </c>
      <c r="B17" s="91">
        <v>12289.9</v>
      </c>
    </row>
    <row r="18" spans="1:4" x14ac:dyDescent="0.2">
      <c r="A18" s="137" t="s">
        <v>67</v>
      </c>
      <c r="B18" s="91">
        <v>68161.14</v>
      </c>
      <c r="D18" s="85" t="s">
        <v>108</v>
      </c>
    </row>
    <row r="19" spans="1:4" x14ac:dyDescent="0.2">
      <c r="A19" s="64" t="s">
        <v>68</v>
      </c>
      <c r="B19" s="91">
        <v>-85230.24</v>
      </c>
    </row>
    <row r="20" spans="1:4" x14ac:dyDescent="0.2">
      <c r="A20" s="138" t="s">
        <v>145</v>
      </c>
      <c r="B20" s="161">
        <v>-85230.24</v>
      </c>
      <c r="D20" s="85" t="s">
        <v>181</v>
      </c>
    </row>
    <row r="21" spans="1:4" x14ac:dyDescent="0.2">
      <c r="A21" s="64" t="s">
        <v>39</v>
      </c>
      <c r="B21" s="91">
        <v>-41798.400000000001</v>
      </c>
    </row>
    <row r="22" spans="1:4" x14ac:dyDescent="0.2">
      <c r="A22" s="137" t="s">
        <v>86</v>
      </c>
      <c r="B22" s="91">
        <v>-41798.400000000001</v>
      </c>
      <c r="D22" s="85" t="s">
        <v>182</v>
      </c>
    </row>
    <row r="23" spans="1:4" x14ac:dyDescent="0.2">
      <c r="A23" s="64" t="s">
        <v>71</v>
      </c>
      <c r="B23" s="91">
        <v>971656.3</v>
      </c>
    </row>
    <row r="24" spans="1:4" x14ac:dyDescent="0.2">
      <c r="A24" s="162" t="s">
        <v>160</v>
      </c>
      <c r="B24" s="163">
        <v>971656.3</v>
      </c>
      <c r="D24" s="85" t="s">
        <v>183</v>
      </c>
    </row>
    <row r="25" spans="1:4" x14ac:dyDescent="0.2">
      <c r="A25" s="64" t="s">
        <v>34</v>
      </c>
      <c r="B25" s="91">
        <v>-385157.57</v>
      </c>
    </row>
    <row r="26" spans="1:4" x14ac:dyDescent="0.2">
      <c r="A26" s="137" t="s">
        <v>166</v>
      </c>
      <c r="B26" s="91">
        <v>-385157.57</v>
      </c>
      <c r="D26" s="85" t="s">
        <v>184</v>
      </c>
    </row>
    <row r="27" spans="1:4" x14ac:dyDescent="0.2">
      <c r="A27" s="64" t="s">
        <v>149</v>
      </c>
      <c r="B27" s="91">
        <v>-81871.89</v>
      </c>
    </row>
    <row r="28" spans="1:4" x14ac:dyDescent="0.2">
      <c r="A28" s="137" t="s">
        <v>166</v>
      </c>
      <c r="B28" s="91">
        <v>-81871.89</v>
      </c>
      <c r="D28" s="85" t="s">
        <v>185</v>
      </c>
    </row>
    <row r="29" spans="1:4" x14ac:dyDescent="0.2">
      <c r="A29" s="64" t="s">
        <v>8</v>
      </c>
      <c r="B29" s="91">
        <v>2739888.33</v>
      </c>
    </row>
    <row r="30" spans="1:4" x14ac:dyDescent="0.2">
      <c r="A30" s="137" t="s">
        <v>148</v>
      </c>
      <c r="B30" s="91">
        <v>-1557.97</v>
      </c>
    </row>
    <row r="31" spans="1:4" x14ac:dyDescent="0.2">
      <c r="A31" s="137" t="s">
        <v>164</v>
      </c>
      <c r="B31" s="91">
        <v>2741446.3</v>
      </c>
      <c r="D31" s="85" t="s">
        <v>186</v>
      </c>
    </row>
    <row r="32" spans="1:4" x14ac:dyDescent="0.2">
      <c r="A32" s="64" t="s">
        <v>41</v>
      </c>
      <c r="B32" s="91">
        <v>1296288.95</v>
      </c>
    </row>
  </sheetData>
  <pageMargins left="0.7" right="0.7" top="0.75" bottom="0.75" header="0.3" footer="0.3"/>
  <pageSetup orientation="portrait"/>
  <headerFooter>
    <oddFooter>&amp;C&amp;"Calibri"&amp;10 &amp;K000000_x000D_# CONFIDENTIAL_x000D_&amp;1#&amp;"Aptos"&amp;10&amp;K0000FF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A3:D34"/>
  <sheetViews>
    <sheetView workbookViewId="0">
      <selection activeCell="G5" sqref="G5"/>
    </sheetView>
  </sheetViews>
  <sheetFormatPr defaultRowHeight="12.75" x14ac:dyDescent="0.2"/>
  <cols>
    <col min="1" max="1" width="105.140625" bestFit="1" customWidth="1"/>
    <col min="2" max="2" width="21.85546875" bestFit="1" customWidth="1"/>
  </cols>
  <sheetData>
    <row r="3" spans="1:4" x14ac:dyDescent="0.2">
      <c r="A3" s="63" t="s">
        <v>4</v>
      </c>
      <c r="B3" t="s">
        <v>55</v>
      </c>
    </row>
    <row r="4" spans="1:4" x14ac:dyDescent="0.2">
      <c r="A4" s="64" t="s">
        <v>168</v>
      </c>
      <c r="B4" s="67">
        <v>-771663.59</v>
      </c>
    </row>
    <row r="5" spans="1:4" x14ac:dyDescent="0.2">
      <c r="A5" s="138" t="s">
        <v>169</v>
      </c>
      <c r="B5" s="139">
        <v>-771663.59</v>
      </c>
    </row>
    <row r="6" spans="1:4" x14ac:dyDescent="0.2">
      <c r="A6" s="64" t="s">
        <v>77</v>
      </c>
      <c r="B6" s="67">
        <v>-46391</v>
      </c>
    </row>
    <row r="7" spans="1:4" x14ac:dyDescent="0.2">
      <c r="A7" s="156" t="s">
        <v>166</v>
      </c>
      <c r="B7" s="157">
        <v>-46391</v>
      </c>
      <c r="D7" s="85" t="s">
        <v>120</v>
      </c>
    </row>
    <row r="8" spans="1:4" x14ac:dyDescent="0.2">
      <c r="A8" s="64" t="s">
        <v>23</v>
      </c>
      <c r="B8" s="67">
        <v>-53647</v>
      </c>
    </row>
    <row r="9" spans="1:4" x14ac:dyDescent="0.2">
      <c r="A9" s="138" t="s">
        <v>97</v>
      </c>
      <c r="B9" s="139">
        <v>-53647</v>
      </c>
      <c r="D9" s="85" t="s">
        <v>187</v>
      </c>
    </row>
    <row r="10" spans="1:4" x14ac:dyDescent="0.2">
      <c r="A10" s="64" t="s">
        <v>57</v>
      </c>
      <c r="B10" s="67">
        <v>106778.22</v>
      </c>
    </row>
    <row r="11" spans="1:4" x14ac:dyDescent="0.2">
      <c r="A11" s="138" t="s">
        <v>173</v>
      </c>
      <c r="B11" s="139">
        <v>-216130.58</v>
      </c>
    </row>
    <row r="12" spans="1:4" x14ac:dyDescent="0.2">
      <c r="A12" s="137" t="s">
        <v>153</v>
      </c>
      <c r="B12" s="67">
        <v>322908.79999999999</v>
      </c>
      <c r="D12" s="85" t="s">
        <v>188</v>
      </c>
    </row>
    <row r="13" spans="1:4" x14ac:dyDescent="0.2">
      <c r="A13" s="64" t="s">
        <v>32</v>
      </c>
      <c r="B13" s="67">
        <v>235689.25</v>
      </c>
    </row>
    <row r="14" spans="1:4" x14ac:dyDescent="0.2">
      <c r="A14" s="137" t="s">
        <v>189</v>
      </c>
      <c r="B14" s="67">
        <v>235689.25</v>
      </c>
      <c r="D14" s="85" t="s">
        <v>190</v>
      </c>
    </row>
    <row r="15" spans="1:4" x14ac:dyDescent="0.2">
      <c r="A15" s="64" t="s">
        <v>35</v>
      </c>
      <c r="B15" s="67">
        <v>-598997</v>
      </c>
    </row>
    <row r="16" spans="1:4" x14ac:dyDescent="0.2">
      <c r="A16" s="137" t="s">
        <v>191</v>
      </c>
      <c r="B16" s="67">
        <v>-456012</v>
      </c>
      <c r="D16" s="85" t="s">
        <v>192</v>
      </c>
    </row>
    <row r="17" spans="1:4" x14ac:dyDescent="0.2">
      <c r="A17" s="143" t="s">
        <v>193</v>
      </c>
      <c r="B17" s="144">
        <v>-14985</v>
      </c>
      <c r="D17" s="85" t="s">
        <v>194</v>
      </c>
    </row>
    <row r="18" spans="1:4" x14ac:dyDescent="0.2">
      <c r="A18" s="137" t="s">
        <v>180</v>
      </c>
      <c r="B18" s="67">
        <v>-128000</v>
      </c>
      <c r="D18" s="85" t="s">
        <v>195</v>
      </c>
    </row>
    <row r="19" spans="1:4" x14ac:dyDescent="0.2">
      <c r="A19" s="64" t="s">
        <v>11</v>
      </c>
      <c r="B19" s="67">
        <v>137062.42000000001</v>
      </c>
    </row>
    <row r="20" spans="1:4" x14ac:dyDescent="0.2">
      <c r="A20" s="137" t="s">
        <v>107</v>
      </c>
      <c r="B20" s="67">
        <v>12289.9</v>
      </c>
      <c r="D20" t="s">
        <v>138</v>
      </c>
    </row>
    <row r="21" spans="1:4" x14ac:dyDescent="0.2">
      <c r="A21" s="137" t="s">
        <v>196</v>
      </c>
      <c r="B21" s="67">
        <v>56611.38</v>
      </c>
      <c r="D21" s="85" t="s">
        <v>197</v>
      </c>
    </row>
    <row r="22" spans="1:4" x14ac:dyDescent="0.2">
      <c r="A22" s="137" t="s">
        <v>67</v>
      </c>
      <c r="B22" s="67">
        <v>68161.14</v>
      </c>
    </row>
    <row r="23" spans="1:4" x14ac:dyDescent="0.2">
      <c r="A23" s="64" t="s">
        <v>68</v>
      </c>
      <c r="B23" s="67">
        <v>-85230.24</v>
      </c>
    </row>
    <row r="24" spans="1:4" x14ac:dyDescent="0.2">
      <c r="A24" s="137" t="s">
        <v>145</v>
      </c>
      <c r="B24" s="67">
        <v>-85230.24</v>
      </c>
      <c r="D24" s="85" t="s">
        <v>198</v>
      </c>
    </row>
    <row r="25" spans="1:4" x14ac:dyDescent="0.2">
      <c r="A25" s="64" t="s">
        <v>39</v>
      </c>
      <c r="B25" s="67">
        <v>-41798.400000000001</v>
      </c>
    </row>
    <row r="26" spans="1:4" x14ac:dyDescent="0.2">
      <c r="A26" s="138" t="s">
        <v>86</v>
      </c>
      <c r="B26" s="139">
        <v>-41798.400000000001</v>
      </c>
      <c r="D26" t="s">
        <v>199</v>
      </c>
    </row>
    <row r="27" spans="1:4" x14ac:dyDescent="0.2">
      <c r="A27" s="64" t="s">
        <v>34</v>
      </c>
      <c r="B27" s="67">
        <v>-385157.57</v>
      </c>
    </row>
    <row r="28" spans="1:4" x14ac:dyDescent="0.2">
      <c r="A28" s="156" t="s">
        <v>166</v>
      </c>
      <c r="B28" s="157">
        <v>-385157.57</v>
      </c>
      <c r="D28" s="85" t="s">
        <v>200</v>
      </c>
    </row>
    <row r="29" spans="1:4" x14ac:dyDescent="0.2">
      <c r="A29" s="64" t="s">
        <v>149</v>
      </c>
      <c r="B29" s="67">
        <v>-81871.89</v>
      </c>
    </row>
    <row r="30" spans="1:4" x14ac:dyDescent="0.2">
      <c r="A30" s="156" t="s">
        <v>166</v>
      </c>
      <c r="B30" s="157">
        <v>-81871.89</v>
      </c>
      <c r="D30" s="85" t="s">
        <v>201</v>
      </c>
    </row>
    <row r="31" spans="1:4" x14ac:dyDescent="0.2">
      <c r="A31" s="64" t="s">
        <v>8</v>
      </c>
      <c r="B31" s="67">
        <v>1335237.33</v>
      </c>
    </row>
    <row r="32" spans="1:4" x14ac:dyDescent="0.2">
      <c r="A32" s="137" t="s">
        <v>148</v>
      </c>
      <c r="B32" s="67">
        <v>-1557.97</v>
      </c>
    </row>
    <row r="33" spans="1:4" x14ac:dyDescent="0.2">
      <c r="A33" s="164" t="s">
        <v>164</v>
      </c>
      <c r="B33" s="165">
        <v>1336795.3</v>
      </c>
      <c r="D33" s="85" t="s">
        <v>202</v>
      </c>
    </row>
    <row r="34" spans="1:4" x14ac:dyDescent="0.2">
      <c r="A34" s="64" t="s">
        <v>41</v>
      </c>
      <c r="B34" s="67">
        <v>-249989.46999999951</v>
      </c>
    </row>
  </sheetData>
  <pageMargins left="0.7" right="0.7" top="0.75" bottom="0.75" header="0.3" footer="0.3"/>
  <headerFooter>
    <oddFooter>&amp;C&amp;"Calibri"&amp;10 &amp;K000000_x000D_# CONFIDENTIAL_x000D_&amp;1#&amp;"Aptos"&amp;10&amp;K0000FF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4:B34"/>
  <sheetViews>
    <sheetView workbookViewId="0">
      <selection activeCell="A15" sqref="A15"/>
    </sheetView>
  </sheetViews>
  <sheetFormatPr defaultRowHeight="12.75" x14ac:dyDescent="0.2"/>
  <cols>
    <col min="1" max="1" width="109.7109375" bestFit="1" customWidth="1"/>
    <col min="2" max="2" width="23" bestFit="1" customWidth="1"/>
  </cols>
  <sheetData>
    <row r="4" spans="1:2" x14ac:dyDescent="0.2">
      <c r="A4" s="63" t="s">
        <v>4</v>
      </c>
      <c r="B4" t="s">
        <v>55</v>
      </c>
    </row>
    <row r="5" spans="1:2" x14ac:dyDescent="0.2">
      <c r="A5" s="64" t="s">
        <v>168</v>
      </c>
      <c r="B5" s="67">
        <v>-771663.59</v>
      </c>
    </row>
    <row r="6" spans="1:2" x14ac:dyDescent="0.2">
      <c r="A6" s="138" t="s">
        <v>169</v>
      </c>
      <c r="B6" s="139">
        <v>-771663.59</v>
      </c>
    </row>
    <row r="7" spans="1:2" x14ac:dyDescent="0.2">
      <c r="A7" s="64" t="s">
        <v>77</v>
      </c>
      <c r="B7" s="67">
        <v>-259345.94</v>
      </c>
    </row>
    <row r="8" spans="1:2" x14ac:dyDescent="0.2">
      <c r="A8" s="137" t="s">
        <v>203</v>
      </c>
      <c r="B8" s="67">
        <v>-259345.94</v>
      </c>
    </row>
    <row r="9" spans="1:2" x14ac:dyDescent="0.2">
      <c r="A9" s="64" t="s">
        <v>23</v>
      </c>
      <c r="B9" s="67">
        <v>-53647</v>
      </c>
    </row>
    <row r="10" spans="1:2" x14ac:dyDescent="0.2">
      <c r="A10" s="138" t="s">
        <v>97</v>
      </c>
      <c r="B10" s="139">
        <v>-53647</v>
      </c>
    </row>
    <row r="11" spans="1:2" x14ac:dyDescent="0.2">
      <c r="A11" s="64" t="s">
        <v>57</v>
      </c>
      <c r="B11" s="67">
        <v>106778.22</v>
      </c>
    </row>
    <row r="12" spans="1:2" x14ac:dyDescent="0.2">
      <c r="A12" s="138" t="s">
        <v>173</v>
      </c>
      <c r="B12" s="139">
        <v>-216130.58</v>
      </c>
    </row>
    <row r="13" spans="1:2" x14ac:dyDescent="0.2">
      <c r="A13" s="137" t="s">
        <v>153</v>
      </c>
      <c r="B13" s="67">
        <v>322908.79999999999</v>
      </c>
    </row>
    <row r="14" spans="1:2" x14ac:dyDescent="0.2">
      <c r="A14" s="64" t="s">
        <v>32</v>
      </c>
      <c r="B14" s="67">
        <v>235689.25</v>
      </c>
    </row>
    <row r="15" spans="1:2" x14ac:dyDescent="0.2">
      <c r="A15" s="137" t="s">
        <v>204</v>
      </c>
      <c r="B15" s="67">
        <v>235689.25</v>
      </c>
    </row>
    <row r="16" spans="1:2" x14ac:dyDescent="0.2">
      <c r="A16" s="64" t="s">
        <v>35</v>
      </c>
      <c r="B16" s="67">
        <v>-142985</v>
      </c>
    </row>
    <row r="17" spans="1:2" x14ac:dyDescent="0.2">
      <c r="A17" s="137" t="s">
        <v>180</v>
      </c>
      <c r="B17" s="67">
        <v>-128000</v>
      </c>
    </row>
    <row r="18" spans="1:2" x14ac:dyDescent="0.2">
      <c r="A18" s="137" t="s">
        <v>205</v>
      </c>
      <c r="B18" s="67">
        <v>-14985</v>
      </c>
    </row>
    <row r="19" spans="1:2" x14ac:dyDescent="0.2">
      <c r="A19" s="64" t="s">
        <v>11</v>
      </c>
      <c r="B19" s="67">
        <v>80451.039999999994</v>
      </c>
    </row>
    <row r="20" spans="1:2" x14ac:dyDescent="0.2">
      <c r="A20" s="137" t="s">
        <v>107</v>
      </c>
      <c r="B20" s="67">
        <v>12289.9</v>
      </c>
    </row>
    <row r="21" spans="1:2" x14ac:dyDescent="0.2">
      <c r="A21" s="137" t="s">
        <v>67</v>
      </c>
      <c r="B21" s="67">
        <v>68161.14</v>
      </c>
    </row>
    <row r="22" spans="1:2" x14ac:dyDescent="0.2">
      <c r="A22" s="64" t="s">
        <v>39</v>
      </c>
      <c r="B22" s="67">
        <v>-41798.400000000001</v>
      </c>
    </row>
    <row r="23" spans="1:2" x14ac:dyDescent="0.2">
      <c r="A23" s="138" t="s">
        <v>86</v>
      </c>
      <c r="B23" s="139">
        <v>-41798.400000000001</v>
      </c>
    </row>
    <row r="24" spans="1:2" x14ac:dyDescent="0.2">
      <c r="A24" s="64" t="s">
        <v>8</v>
      </c>
      <c r="B24" s="67">
        <v>136202.03</v>
      </c>
    </row>
    <row r="25" spans="1:2" x14ac:dyDescent="0.2">
      <c r="A25" s="137" t="s">
        <v>148</v>
      </c>
      <c r="B25" s="67">
        <v>-1557.97</v>
      </c>
    </row>
    <row r="26" spans="1:2" x14ac:dyDescent="0.2">
      <c r="A26" s="137" t="s">
        <v>206</v>
      </c>
      <c r="B26" s="67">
        <v>137760</v>
      </c>
    </row>
    <row r="27" spans="1:2" x14ac:dyDescent="0.2">
      <c r="A27" s="64" t="s">
        <v>75</v>
      </c>
      <c r="B27" s="67">
        <v>199173.6</v>
      </c>
    </row>
    <row r="28" spans="1:2" x14ac:dyDescent="0.2">
      <c r="A28" s="137" t="s">
        <v>148</v>
      </c>
      <c r="B28" s="67">
        <v>-3326.4</v>
      </c>
    </row>
    <row r="29" spans="1:2" x14ac:dyDescent="0.2">
      <c r="A29" s="137" t="s">
        <v>207</v>
      </c>
      <c r="B29" s="67">
        <v>202500</v>
      </c>
    </row>
    <row r="30" spans="1:2" x14ac:dyDescent="0.2">
      <c r="A30" s="64" t="s">
        <v>208</v>
      </c>
      <c r="B30" s="67">
        <v>-249989.47</v>
      </c>
    </row>
    <row r="31" spans="1:2" x14ac:dyDescent="0.2">
      <c r="A31" s="137" t="s">
        <v>78</v>
      </c>
      <c r="B31" s="67">
        <v>-249989.47</v>
      </c>
    </row>
    <row r="32" spans="1:2" x14ac:dyDescent="0.2">
      <c r="A32" s="64" t="s">
        <v>209</v>
      </c>
      <c r="B32" s="67">
        <v>3671109.58</v>
      </c>
    </row>
    <row r="33" spans="1:2" x14ac:dyDescent="0.2">
      <c r="A33" s="137" t="s">
        <v>210</v>
      </c>
      <c r="B33" s="67">
        <v>3671109.58</v>
      </c>
    </row>
    <row r="34" spans="1:2" x14ac:dyDescent="0.2">
      <c r="A34" s="64" t="s">
        <v>41</v>
      </c>
      <c r="B34" s="67">
        <v>2909974.32</v>
      </c>
    </row>
  </sheetData>
  <pageMargins left="0.7" right="0.7" top="0.75" bottom="0.75" header="0.3" footer="0.3"/>
  <headerFooter>
    <oddFooter>&amp;C&amp;"Calibri"&amp;10 &amp;K000000_x000D_# CONFIDENTIAL_x000D_&amp;1#&amp;"Aptos"&amp;10&amp;K0000FF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4:B43"/>
  <sheetViews>
    <sheetView workbookViewId="0">
      <selection activeCell="B17" sqref="B17"/>
    </sheetView>
  </sheetViews>
  <sheetFormatPr defaultRowHeight="12.75" x14ac:dyDescent="0.2"/>
  <cols>
    <col min="1" max="1" width="109.7109375" bestFit="1" customWidth="1"/>
    <col min="2" max="2" width="23" bestFit="1" customWidth="1"/>
  </cols>
  <sheetData>
    <row r="4" spans="1:2" x14ac:dyDescent="0.2">
      <c r="A4" s="63" t="s">
        <v>4</v>
      </c>
      <c r="B4" t="s">
        <v>55</v>
      </c>
    </row>
    <row r="5" spans="1:2" x14ac:dyDescent="0.2">
      <c r="A5" s="64" t="s">
        <v>168</v>
      </c>
      <c r="B5" s="67">
        <v>-771663.59</v>
      </c>
    </row>
    <row r="6" spans="1:2" x14ac:dyDescent="0.2">
      <c r="A6" s="138" t="s">
        <v>169</v>
      </c>
      <c r="B6" s="139">
        <v>-771663.59</v>
      </c>
    </row>
    <row r="7" spans="1:2" x14ac:dyDescent="0.2">
      <c r="A7" s="64" t="s">
        <v>77</v>
      </c>
      <c r="B7" s="67">
        <v>-259345.94</v>
      </c>
    </row>
    <row r="8" spans="1:2" x14ac:dyDescent="0.2">
      <c r="A8" s="137" t="s">
        <v>203</v>
      </c>
      <c r="B8" s="67">
        <v>-259345.94</v>
      </c>
    </row>
    <row r="9" spans="1:2" x14ac:dyDescent="0.2">
      <c r="A9" s="64" t="s">
        <v>23</v>
      </c>
      <c r="B9" s="67">
        <v>-53647</v>
      </c>
    </row>
    <row r="10" spans="1:2" x14ac:dyDescent="0.2">
      <c r="A10" s="138" t="s">
        <v>97</v>
      </c>
      <c r="B10" s="139">
        <v>-53647</v>
      </c>
    </row>
    <row r="11" spans="1:2" x14ac:dyDescent="0.2">
      <c r="A11" s="64" t="s">
        <v>57</v>
      </c>
      <c r="B11" s="67">
        <v>106778.22</v>
      </c>
    </row>
    <row r="12" spans="1:2" x14ac:dyDescent="0.2">
      <c r="A12" s="138" t="s">
        <v>173</v>
      </c>
      <c r="B12" s="139">
        <v>-216130.58</v>
      </c>
    </row>
    <row r="13" spans="1:2" x14ac:dyDescent="0.2">
      <c r="A13" s="137" t="s">
        <v>153</v>
      </c>
      <c r="B13" s="67">
        <v>322908.79999999999</v>
      </c>
    </row>
    <row r="14" spans="1:2" x14ac:dyDescent="0.2">
      <c r="A14" s="64" t="s">
        <v>32</v>
      </c>
      <c r="B14" s="67">
        <v>235689.25</v>
      </c>
    </row>
    <row r="15" spans="1:2" x14ac:dyDescent="0.2">
      <c r="A15" s="137" t="s">
        <v>204</v>
      </c>
      <c r="B15" s="67">
        <v>235689.25</v>
      </c>
    </row>
    <row r="16" spans="1:2" x14ac:dyDescent="0.2">
      <c r="A16" s="64" t="s">
        <v>35</v>
      </c>
      <c r="B16" s="67">
        <v>-128000</v>
      </c>
    </row>
    <row r="17" spans="1:2" x14ac:dyDescent="0.2">
      <c r="A17" s="137" t="s">
        <v>180</v>
      </c>
      <c r="B17" s="67">
        <v>-128000</v>
      </c>
    </row>
    <row r="18" spans="1:2" x14ac:dyDescent="0.2">
      <c r="A18" s="64" t="s">
        <v>11</v>
      </c>
      <c r="B18" s="67">
        <v>78119.92</v>
      </c>
    </row>
    <row r="19" spans="1:2" x14ac:dyDescent="0.2">
      <c r="A19" s="137" t="s">
        <v>107</v>
      </c>
      <c r="B19" s="67">
        <v>12289.9</v>
      </c>
    </row>
    <row r="20" spans="1:2" x14ac:dyDescent="0.2">
      <c r="A20" s="137" t="s">
        <v>67</v>
      </c>
      <c r="B20" s="67">
        <v>68161.14</v>
      </c>
    </row>
    <row r="21" spans="1:2" x14ac:dyDescent="0.2">
      <c r="A21" s="137" t="s">
        <v>211</v>
      </c>
      <c r="B21" s="67">
        <v>-2331.12</v>
      </c>
    </row>
    <row r="22" spans="1:2" x14ac:dyDescent="0.2">
      <c r="A22" s="64" t="s">
        <v>39</v>
      </c>
      <c r="B22" s="67">
        <v>-83237.8</v>
      </c>
    </row>
    <row r="23" spans="1:2" x14ac:dyDescent="0.2">
      <c r="A23" s="138" t="s">
        <v>86</v>
      </c>
      <c r="B23" s="139">
        <v>-41798.400000000001</v>
      </c>
    </row>
    <row r="24" spans="1:2" x14ac:dyDescent="0.2">
      <c r="A24" s="137" t="s">
        <v>212</v>
      </c>
      <c r="B24" s="67">
        <v>-41439.4</v>
      </c>
    </row>
    <row r="25" spans="1:2" x14ac:dyDescent="0.2">
      <c r="A25" s="64" t="s">
        <v>8</v>
      </c>
      <c r="B25" s="67">
        <v>136202.03</v>
      </c>
    </row>
    <row r="26" spans="1:2" x14ac:dyDescent="0.2">
      <c r="A26" s="137" t="s">
        <v>148</v>
      </c>
      <c r="B26" s="67">
        <v>-1557.97</v>
      </c>
    </row>
    <row r="27" spans="1:2" x14ac:dyDescent="0.2">
      <c r="A27" s="137" t="s">
        <v>206</v>
      </c>
      <c r="B27" s="67">
        <v>137760</v>
      </c>
    </row>
    <row r="28" spans="1:2" x14ac:dyDescent="0.2">
      <c r="A28" s="64" t="s">
        <v>75</v>
      </c>
      <c r="B28" s="67">
        <v>199173.6</v>
      </c>
    </row>
    <row r="29" spans="1:2" x14ac:dyDescent="0.2">
      <c r="A29" s="137" t="s">
        <v>148</v>
      </c>
      <c r="B29" s="67">
        <v>-3326.4</v>
      </c>
    </row>
    <row r="30" spans="1:2" x14ac:dyDescent="0.2">
      <c r="A30" s="137" t="s">
        <v>207</v>
      </c>
      <c r="B30" s="67">
        <v>202500</v>
      </c>
    </row>
    <row r="31" spans="1:2" x14ac:dyDescent="0.2">
      <c r="A31" s="64" t="s">
        <v>208</v>
      </c>
      <c r="B31" s="67">
        <v>-249989.47</v>
      </c>
    </row>
    <row r="32" spans="1:2" x14ac:dyDescent="0.2">
      <c r="A32" s="137" t="s">
        <v>78</v>
      </c>
      <c r="B32" s="67">
        <v>-249989.47</v>
      </c>
    </row>
    <row r="33" spans="1:2" x14ac:dyDescent="0.2">
      <c r="A33" s="64" t="s">
        <v>209</v>
      </c>
      <c r="B33" s="67">
        <v>1595554.79</v>
      </c>
    </row>
    <row r="34" spans="1:2" x14ac:dyDescent="0.2">
      <c r="A34" s="137" t="s">
        <v>210</v>
      </c>
      <c r="B34" s="67">
        <v>1595554.79</v>
      </c>
    </row>
    <row r="35" spans="1:2" x14ac:dyDescent="0.2">
      <c r="A35" s="64" t="s">
        <v>34</v>
      </c>
      <c r="B35" s="67">
        <v>-227204.53</v>
      </c>
    </row>
    <row r="36" spans="1:2" x14ac:dyDescent="0.2">
      <c r="A36" s="137" t="s">
        <v>213</v>
      </c>
      <c r="B36" s="67">
        <v>-227204.53</v>
      </c>
    </row>
    <row r="37" spans="1:2" x14ac:dyDescent="0.2">
      <c r="A37" s="64" t="s">
        <v>73</v>
      </c>
      <c r="B37" s="67">
        <v>205671</v>
      </c>
    </row>
    <row r="38" spans="1:2" x14ac:dyDescent="0.2">
      <c r="A38" s="137" t="s">
        <v>214</v>
      </c>
      <c r="B38" s="67">
        <v>205671</v>
      </c>
    </row>
    <row r="39" spans="1:2" x14ac:dyDescent="0.2">
      <c r="A39" s="64" t="s">
        <v>176</v>
      </c>
      <c r="B39" s="67">
        <v>510005.55</v>
      </c>
    </row>
    <row r="40" spans="1:2" x14ac:dyDescent="0.2">
      <c r="A40" s="137" t="s">
        <v>78</v>
      </c>
      <c r="B40" s="67">
        <v>510005.55</v>
      </c>
    </row>
    <row r="41" spans="1:2" x14ac:dyDescent="0.2">
      <c r="A41" s="64" t="s">
        <v>68</v>
      </c>
      <c r="B41" s="67">
        <v>297289.89</v>
      </c>
    </row>
    <row r="42" spans="1:2" x14ac:dyDescent="0.2">
      <c r="A42" s="137" t="s">
        <v>215</v>
      </c>
      <c r="B42" s="67">
        <v>297289.89</v>
      </c>
    </row>
    <row r="43" spans="1:2" x14ac:dyDescent="0.2">
      <c r="A43" s="64" t="s">
        <v>41</v>
      </c>
      <c r="B43" s="67">
        <v>1591395.92</v>
      </c>
    </row>
  </sheetData>
  <pageMargins left="0.7" right="0.7" top="0.75" bottom="0.75" header="0.3" footer="0.3"/>
  <headerFooter>
    <oddFooter>&amp;C&amp;"Calibri"&amp;10 &amp;K000000_x000D_# CONFIDENTIAL_x000D_&amp;1#&amp;"Aptos"&amp;10&amp;K0000FF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C43"/>
  <sheetViews>
    <sheetView topLeftCell="A3" zoomScale="80" zoomScaleNormal="80" workbookViewId="0">
      <selection activeCell="U20" sqref="U20"/>
    </sheetView>
  </sheetViews>
  <sheetFormatPr defaultRowHeight="12.75" x14ac:dyDescent="0.2"/>
  <cols>
    <col min="1" max="1" width="43.42578125" bestFit="1" customWidth="1"/>
    <col min="2" max="2" width="25.7109375" bestFit="1" customWidth="1"/>
    <col min="3" max="3" width="22"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45382</v>
      </c>
      <c r="B5" s="200"/>
      <c r="C5" s="200"/>
    </row>
    <row r="7" spans="1:3" x14ac:dyDescent="0.2">
      <c r="A7" s="63" t="s">
        <v>4</v>
      </c>
      <c r="B7" t="s">
        <v>5</v>
      </c>
      <c r="C7" t="s">
        <v>6</v>
      </c>
    </row>
    <row r="8" spans="1:3" x14ac:dyDescent="0.2">
      <c r="A8" s="64" t="s">
        <v>77</v>
      </c>
      <c r="B8" s="67">
        <v>-259345.94</v>
      </c>
      <c r="C8" s="67">
        <v>-259345.94</v>
      </c>
    </row>
    <row r="9" spans="1:3" x14ac:dyDescent="0.2">
      <c r="A9" s="137" t="s">
        <v>16</v>
      </c>
      <c r="B9" s="67">
        <v>-259345.94</v>
      </c>
      <c r="C9" s="67">
        <v>-259345.94</v>
      </c>
    </row>
    <row r="10" spans="1:3" x14ac:dyDescent="0.2">
      <c r="A10" s="64" t="s">
        <v>23</v>
      </c>
      <c r="B10" s="67">
        <v>-53647</v>
      </c>
      <c r="C10" s="67">
        <v>-53647</v>
      </c>
    </row>
    <row r="11" spans="1:3" x14ac:dyDescent="0.2">
      <c r="A11" s="137" t="s">
        <v>16</v>
      </c>
      <c r="B11" s="67">
        <v>-53647</v>
      </c>
      <c r="C11" s="67">
        <v>-53647</v>
      </c>
    </row>
    <row r="12" spans="1:3" x14ac:dyDescent="0.2">
      <c r="A12" s="64" t="s">
        <v>57</v>
      </c>
      <c r="B12" s="67">
        <v>106778.22</v>
      </c>
      <c r="C12" s="67">
        <v>106778.22</v>
      </c>
    </row>
    <row r="13" spans="1:3" x14ac:dyDescent="0.2">
      <c r="A13" s="137" t="s">
        <v>27</v>
      </c>
      <c r="B13" s="67">
        <v>-216130.58</v>
      </c>
      <c r="C13" s="67">
        <v>-216130.58</v>
      </c>
    </row>
    <row r="14" spans="1:3" x14ac:dyDescent="0.2">
      <c r="A14" s="137" t="s">
        <v>217</v>
      </c>
      <c r="B14" s="67">
        <v>322908.79999999999</v>
      </c>
      <c r="C14" s="67">
        <v>322908.79999999999</v>
      </c>
    </row>
    <row r="15" spans="1:3" x14ac:dyDescent="0.2">
      <c r="A15" s="64" t="s">
        <v>32</v>
      </c>
      <c r="B15" s="67">
        <v>385175.84</v>
      </c>
      <c r="C15" s="67">
        <v>385175.84</v>
      </c>
    </row>
    <row r="16" spans="1:3" x14ac:dyDescent="0.2">
      <c r="A16" s="137" t="s">
        <v>31</v>
      </c>
      <c r="B16" s="67">
        <v>149486.59</v>
      </c>
      <c r="C16" s="67">
        <v>149486.59</v>
      </c>
    </row>
    <row r="17" spans="1:3" x14ac:dyDescent="0.2">
      <c r="A17" s="137" t="s">
        <v>218</v>
      </c>
      <c r="B17" s="67">
        <v>235689.25</v>
      </c>
      <c r="C17" s="67">
        <v>235689.25</v>
      </c>
    </row>
    <row r="18" spans="1:3" x14ac:dyDescent="0.2">
      <c r="A18" s="64" t="s">
        <v>35</v>
      </c>
      <c r="B18" s="67">
        <v>-128000</v>
      </c>
      <c r="C18" s="67">
        <v>-128000</v>
      </c>
    </row>
    <row r="19" spans="1:3" x14ac:dyDescent="0.2">
      <c r="A19" s="137" t="s">
        <v>16</v>
      </c>
      <c r="B19" s="67">
        <v>-128000</v>
      </c>
      <c r="C19" s="67">
        <v>-128000</v>
      </c>
    </row>
    <row r="20" spans="1:3" x14ac:dyDescent="0.2">
      <c r="A20" s="64" t="s">
        <v>11</v>
      </c>
      <c r="B20" s="67">
        <v>78119.92</v>
      </c>
      <c r="C20" s="67">
        <v>78119.92</v>
      </c>
    </row>
    <row r="21" spans="1:3" x14ac:dyDescent="0.2">
      <c r="A21" s="137" t="s">
        <v>27</v>
      </c>
      <c r="B21" s="67">
        <v>-2331.12</v>
      </c>
      <c r="C21" s="67">
        <v>-2331.12</v>
      </c>
    </row>
    <row r="22" spans="1:3" x14ac:dyDescent="0.2">
      <c r="A22" s="137" t="s">
        <v>17</v>
      </c>
      <c r="B22" s="67">
        <v>12289.9</v>
      </c>
      <c r="C22" s="67">
        <v>12289.9</v>
      </c>
    </row>
    <row r="23" spans="1:3" x14ac:dyDescent="0.2">
      <c r="A23" s="137" t="s">
        <v>9</v>
      </c>
      <c r="B23" s="67">
        <v>68161.14</v>
      </c>
      <c r="C23" s="67">
        <v>68161.14</v>
      </c>
    </row>
    <row r="24" spans="1:3" x14ac:dyDescent="0.2">
      <c r="A24" s="64" t="s">
        <v>39</v>
      </c>
      <c r="B24" s="67">
        <v>2199826.6</v>
      </c>
      <c r="C24" s="67">
        <v>2199826.6</v>
      </c>
    </row>
    <row r="25" spans="1:3" x14ac:dyDescent="0.2">
      <c r="A25" s="137" t="s">
        <v>16</v>
      </c>
      <c r="B25" s="67">
        <v>2241266</v>
      </c>
      <c r="C25" s="67">
        <v>2241266</v>
      </c>
    </row>
    <row r="26" spans="1:3" x14ac:dyDescent="0.2">
      <c r="A26" s="137" t="s">
        <v>12</v>
      </c>
      <c r="B26" s="67">
        <v>-41439.4</v>
      </c>
      <c r="C26" s="67">
        <v>-41439.4</v>
      </c>
    </row>
    <row r="27" spans="1:3" x14ac:dyDescent="0.2">
      <c r="A27" s="64" t="s">
        <v>8</v>
      </c>
      <c r="B27" s="67">
        <v>135864.10999999999</v>
      </c>
      <c r="C27" s="67">
        <v>135864.10999999999</v>
      </c>
    </row>
    <row r="28" spans="1:3" x14ac:dyDescent="0.2">
      <c r="A28" s="137" t="s">
        <v>16</v>
      </c>
      <c r="B28" s="67">
        <v>137760</v>
      </c>
      <c r="C28" s="67">
        <v>137760</v>
      </c>
    </row>
    <row r="29" spans="1:3" x14ac:dyDescent="0.2">
      <c r="A29" s="137" t="s">
        <v>17</v>
      </c>
      <c r="B29" s="67">
        <v>-1895.89</v>
      </c>
      <c r="C29" s="67">
        <v>-1895.89</v>
      </c>
    </row>
    <row r="30" spans="1:3" x14ac:dyDescent="0.2">
      <c r="A30" s="64" t="s">
        <v>75</v>
      </c>
      <c r="B30" s="67">
        <v>199173.6</v>
      </c>
      <c r="C30" s="67">
        <v>199173.6</v>
      </c>
    </row>
    <row r="31" spans="1:3" x14ac:dyDescent="0.2">
      <c r="A31" s="137" t="s">
        <v>16</v>
      </c>
      <c r="B31" s="67">
        <v>-3326.4</v>
      </c>
      <c r="C31" s="67">
        <v>-3326.4</v>
      </c>
    </row>
    <row r="32" spans="1:3" x14ac:dyDescent="0.2">
      <c r="A32" s="137" t="s">
        <v>217</v>
      </c>
      <c r="B32" s="67">
        <v>202500</v>
      </c>
      <c r="C32" s="67">
        <v>202500</v>
      </c>
    </row>
    <row r="33" spans="1:3" x14ac:dyDescent="0.2">
      <c r="A33" s="64" t="s">
        <v>34</v>
      </c>
      <c r="B33" s="67">
        <v>-284204.53000000003</v>
      </c>
      <c r="C33" s="67">
        <v>-284204.53000000003</v>
      </c>
    </row>
    <row r="34" spans="1:3" x14ac:dyDescent="0.2">
      <c r="A34" s="137" t="s">
        <v>24</v>
      </c>
      <c r="B34" s="67">
        <v>-57000</v>
      </c>
      <c r="C34" s="67">
        <v>-57000</v>
      </c>
    </row>
    <row r="35" spans="1:3" x14ac:dyDescent="0.2">
      <c r="A35" s="137" t="s">
        <v>27</v>
      </c>
      <c r="B35" s="67">
        <v>-227204.53</v>
      </c>
      <c r="C35" s="67">
        <v>-227204.53</v>
      </c>
    </row>
    <row r="36" spans="1:3" x14ac:dyDescent="0.2">
      <c r="A36" s="64" t="s">
        <v>73</v>
      </c>
      <c r="B36" s="67">
        <v>193367.96</v>
      </c>
      <c r="C36" s="67">
        <v>193367.96</v>
      </c>
    </row>
    <row r="37" spans="1:3" x14ac:dyDescent="0.2">
      <c r="A37" s="137" t="s">
        <v>16</v>
      </c>
      <c r="B37" s="67">
        <v>205671</v>
      </c>
      <c r="C37" s="67">
        <v>205671</v>
      </c>
    </row>
    <row r="38" spans="1:3" x14ac:dyDescent="0.2">
      <c r="A38" s="137" t="s">
        <v>12</v>
      </c>
      <c r="B38" s="67">
        <v>-12303.04</v>
      </c>
      <c r="C38" s="67">
        <v>-12303.04</v>
      </c>
    </row>
    <row r="39" spans="1:3" x14ac:dyDescent="0.2">
      <c r="A39" s="64" t="s">
        <v>38</v>
      </c>
      <c r="B39" s="67">
        <v>97752</v>
      </c>
      <c r="C39" s="67">
        <v>97752</v>
      </c>
    </row>
    <row r="40" spans="1:3" x14ac:dyDescent="0.2">
      <c r="A40" s="137" t="s">
        <v>16</v>
      </c>
      <c r="B40" s="67">
        <v>97752</v>
      </c>
      <c r="C40" s="67">
        <v>97752</v>
      </c>
    </row>
    <row r="41" spans="1:3" x14ac:dyDescent="0.2">
      <c r="A41" s="64" t="s">
        <v>219</v>
      </c>
      <c r="B41" s="67">
        <v>-771663.59</v>
      </c>
      <c r="C41" s="67">
        <v>-771663.59</v>
      </c>
    </row>
    <row r="42" spans="1:3" x14ac:dyDescent="0.2">
      <c r="A42" s="137" t="s">
        <v>27</v>
      </c>
      <c r="B42" s="67">
        <v>-771663.59</v>
      </c>
      <c r="C42" s="67">
        <v>-771663.59</v>
      </c>
    </row>
    <row r="43" spans="1:3" x14ac:dyDescent="0.2">
      <c r="A43" s="64" t="s">
        <v>41</v>
      </c>
      <c r="B43" s="67">
        <v>1899197.19</v>
      </c>
      <c r="C43" s="67">
        <v>1899197.19</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C26"/>
  <sheetViews>
    <sheetView topLeftCell="A3" zoomScale="80" zoomScaleNormal="80" workbookViewId="0">
      <selection activeCell="B26" sqref="B26"/>
    </sheetView>
  </sheetViews>
  <sheetFormatPr defaultRowHeight="12.75" x14ac:dyDescent="0.2"/>
  <cols>
    <col min="1" max="1" width="39.710937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45504</v>
      </c>
      <c r="B5" s="200"/>
      <c r="C5" s="200"/>
    </row>
    <row r="7" spans="1:3" x14ac:dyDescent="0.2">
      <c r="A7" s="63" t="s">
        <v>4</v>
      </c>
      <c r="B7" t="s">
        <v>5</v>
      </c>
      <c r="C7" t="s">
        <v>6</v>
      </c>
    </row>
    <row r="8" spans="1:3" x14ac:dyDescent="0.2">
      <c r="A8" s="64" t="s">
        <v>57</v>
      </c>
      <c r="B8" s="67">
        <v>322908.79999999999</v>
      </c>
      <c r="C8" s="67">
        <v>322908.79999999999</v>
      </c>
    </row>
    <row r="9" spans="1:3" x14ac:dyDescent="0.2">
      <c r="A9" s="137" t="s">
        <v>217</v>
      </c>
      <c r="B9" s="67">
        <v>322908.79999999999</v>
      </c>
      <c r="C9" s="67">
        <v>322908.79999999999</v>
      </c>
    </row>
    <row r="10" spans="1:3" x14ac:dyDescent="0.2">
      <c r="A10" s="64" t="s">
        <v>35</v>
      </c>
      <c r="B10" s="67">
        <v>617055.74</v>
      </c>
      <c r="C10" s="67">
        <v>617055.74</v>
      </c>
    </row>
    <row r="11" spans="1:3" x14ac:dyDescent="0.2">
      <c r="A11" s="137" t="s">
        <v>16</v>
      </c>
      <c r="B11" s="67">
        <v>-128000</v>
      </c>
      <c r="C11" s="67">
        <v>-128000</v>
      </c>
    </row>
    <row r="12" spans="1:3" x14ac:dyDescent="0.2">
      <c r="A12" s="137" t="s">
        <v>12</v>
      </c>
      <c r="B12" s="67">
        <v>745055.74</v>
      </c>
      <c r="C12" s="67">
        <v>745055.74</v>
      </c>
    </row>
    <row r="13" spans="1:3" x14ac:dyDescent="0.2">
      <c r="A13" s="64" t="s">
        <v>39</v>
      </c>
      <c r="B13" s="67">
        <v>925397.64</v>
      </c>
      <c r="C13" s="67">
        <v>925397.64</v>
      </c>
    </row>
    <row r="14" spans="1:3" x14ac:dyDescent="0.2">
      <c r="A14" s="137" t="s">
        <v>16</v>
      </c>
      <c r="B14" s="67">
        <v>966837.04</v>
      </c>
      <c r="C14" s="67">
        <v>966837.04</v>
      </c>
    </row>
    <row r="15" spans="1:3" x14ac:dyDescent="0.2">
      <c r="A15" s="137" t="s">
        <v>12</v>
      </c>
      <c r="B15" s="67">
        <v>-41439.4</v>
      </c>
      <c r="C15" s="67">
        <v>-41439.4</v>
      </c>
    </row>
    <row r="16" spans="1:3" x14ac:dyDescent="0.2">
      <c r="A16" s="64" t="s">
        <v>8</v>
      </c>
      <c r="B16" s="67">
        <v>137760</v>
      </c>
      <c r="C16" s="67">
        <v>137760</v>
      </c>
    </row>
    <row r="17" spans="1:3" x14ac:dyDescent="0.2">
      <c r="A17" s="137" t="s">
        <v>16</v>
      </c>
      <c r="B17" s="67">
        <v>137760</v>
      </c>
      <c r="C17" s="67">
        <v>137760</v>
      </c>
    </row>
    <row r="18" spans="1:3" x14ac:dyDescent="0.2">
      <c r="A18" s="64" t="s">
        <v>75</v>
      </c>
      <c r="B18" s="67">
        <v>635780.07999999996</v>
      </c>
      <c r="C18" s="67">
        <v>635780.07999999996</v>
      </c>
    </row>
    <row r="19" spans="1:3" x14ac:dyDescent="0.2">
      <c r="A19" s="137" t="s">
        <v>19</v>
      </c>
      <c r="B19" s="67">
        <v>635780.07999999996</v>
      </c>
      <c r="C19" s="67">
        <v>635780.07999999996</v>
      </c>
    </row>
    <row r="20" spans="1:3" x14ac:dyDescent="0.2">
      <c r="A20" s="64" t="s">
        <v>73</v>
      </c>
      <c r="B20" s="67">
        <v>205671</v>
      </c>
      <c r="C20" s="67">
        <v>205671</v>
      </c>
    </row>
    <row r="21" spans="1:3" x14ac:dyDescent="0.2">
      <c r="A21" s="137" t="s">
        <v>16</v>
      </c>
      <c r="B21" s="67">
        <v>205671</v>
      </c>
      <c r="C21" s="67">
        <v>205671</v>
      </c>
    </row>
    <row r="22" spans="1:3" x14ac:dyDescent="0.2">
      <c r="A22" s="64" t="s">
        <v>38</v>
      </c>
      <c r="B22" s="67">
        <v>97752</v>
      </c>
      <c r="C22" s="67">
        <v>97752</v>
      </c>
    </row>
    <row r="23" spans="1:3" x14ac:dyDescent="0.2">
      <c r="A23" s="137" t="s">
        <v>16</v>
      </c>
      <c r="B23" s="67">
        <v>97752</v>
      </c>
      <c r="C23" s="67">
        <v>97752</v>
      </c>
    </row>
    <row r="24" spans="1:3" x14ac:dyDescent="0.2">
      <c r="A24" s="64" t="s">
        <v>37</v>
      </c>
      <c r="B24" s="67">
        <v>267293.53999999998</v>
      </c>
      <c r="C24" s="67">
        <v>267293.53999999998</v>
      </c>
    </row>
    <row r="25" spans="1:3" x14ac:dyDescent="0.2">
      <c r="A25" s="137" t="s">
        <v>217</v>
      </c>
      <c r="B25" s="67">
        <v>267293.53999999998</v>
      </c>
      <c r="C25" s="67">
        <v>267293.53999999998</v>
      </c>
    </row>
    <row r="26" spans="1:3" x14ac:dyDescent="0.2">
      <c r="A26" s="64" t="s">
        <v>41</v>
      </c>
      <c r="B26" s="67">
        <v>3209618.8</v>
      </c>
      <c r="C26" s="67">
        <v>3209618.8</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A1:C41"/>
  <sheetViews>
    <sheetView topLeftCell="A3" zoomScale="80" zoomScaleNormal="80" workbookViewId="0">
      <selection activeCell="A6" sqref="A6"/>
    </sheetView>
  </sheetViews>
  <sheetFormatPr defaultRowHeight="12.75" x14ac:dyDescent="0.2"/>
  <cols>
    <col min="1" max="1" width="39.710937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45535</v>
      </c>
      <c r="B5" s="200"/>
      <c r="C5" s="200"/>
    </row>
    <row r="7" spans="1:3" x14ac:dyDescent="0.2">
      <c r="A7" s="63" t="s">
        <v>4</v>
      </c>
      <c r="B7" t="s">
        <v>5</v>
      </c>
      <c r="C7" t="s">
        <v>6</v>
      </c>
    </row>
    <row r="8" spans="1:3" x14ac:dyDescent="0.2">
      <c r="A8" s="64" t="s">
        <v>23</v>
      </c>
      <c r="B8" s="67">
        <v>452022.2</v>
      </c>
      <c r="C8" s="67">
        <v>452022.2</v>
      </c>
    </row>
    <row r="9" spans="1:3" x14ac:dyDescent="0.2">
      <c r="A9" s="137" t="s">
        <v>16</v>
      </c>
      <c r="B9" s="67">
        <v>452022.2</v>
      </c>
      <c r="C9" s="67">
        <v>452022.2</v>
      </c>
    </row>
    <row r="10" spans="1:3" x14ac:dyDescent="0.2">
      <c r="A10" s="64" t="s">
        <v>57</v>
      </c>
      <c r="B10" s="67">
        <v>322908.79999999999</v>
      </c>
      <c r="C10" s="67">
        <v>322908.79999999999</v>
      </c>
    </row>
    <row r="11" spans="1:3" x14ac:dyDescent="0.2">
      <c r="A11" s="137" t="s">
        <v>217</v>
      </c>
      <c r="B11" s="67">
        <v>322908.79999999999</v>
      </c>
      <c r="C11" s="67">
        <v>322908.79999999999</v>
      </c>
    </row>
    <row r="12" spans="1:3" x14ac:dyDescent="0.2">
      <c r="A12" s="64" t="s">
        <v>32</v>
      </c>
      <c r="B12" s="67">
        <v>-2702135.81</v>
      </c>
      <c r="C12" s="67">
        <v>-2702135.81</v>
      </c>
    </row>
    <row r="13" spans="1:3" x14ac:dyDescent="0.2">
      <c r="A13" s="137" t="s">
        <v>16</v>
      </c>
      <c r="B13" s="67">
        <v>-2702135.81</v>
      </c>
      <c r="C13" s="67">
        <v>-2702135.81</v>
      </c>
    </row>
    <row r="14" spans="1:3" x14ac:dyDescent="0.2">
      <c r="A14" s="64" t="s">
        <v>35</v>
      </c>
      <c r="B14" s="67">
        <v>8822647.4199999999</v>
      </c>
      <c r="C14" s="67">
        <v>8822647.4199999999</v>
      </c>
    </row>
    <row r="15" spans="1:3" x14ac:dyDescent="0.2">
      <c r="A15" s="137" t="s">
        <v>16</v>
      </c>
      <c r="B15" s="67">
        <v>-128000</v>
      </c>
      <c r="C15" s="67">
        <v>-128000</v>
      </c>
    </row>
    <row r="16" spans="1:3" x14ac:dyDescent="0.2">
      <c r="A16" s="137" t="s">
        <v>12</v>
      </c>
      <c r="B16" s="67">
        <v>745055.74</v>
      </c>
      <c r="C16" s="67">
        <v>745055.74</v>
      </c>
    </row>
    <row r="17" spans="1:3" x14ac:dyDescent="0.2">
      <c r="A17" s="137" t="s">
        <v>19</v>
      </c>
      <c r="B17" s="67">
        <v>771150</v>
      </c>
      <c r="C17" s="67">
        <v>771150</v>
      </c>
    </row>
    <row r="18" spans="1:3" x14ac:dyDescent="0.2">
      <c r="A18" s="137" t="s">
        <v>36</v>
      </c>
      <c r="B18" s="67">
        <v>7434441.6799999997</v>
      </c>
      <c r="C18" s="67">
        <v>7434441.6799999997</v>
      </c>
    </row>
    <row r="19" spans="1:3" x14ac:dyDescent="0.2">
      <c r="A19" s="64" t="s">
        <v>39</v>
      </c>
      <c r="B19" s="67">
        <v>925397.64</v>
      </c>
      <c r="C19" s="67">
        <v>925397.64</v>
      </c>
    </row>
    <row r="20" spans="1:3" x14ac:dyDescent="0.2">
      <c r="A20" s="137" t="s">
        <v>16</v>
      </c>
      <c r="B20" s="67">
        <v>966837.04</v>
      </c>
      <c r="C20" s="67">
        <v>966837.04</v>
      </c>
    </row>
    <row r="21" spans="1:3" x14ac:dyDescent="0.2">
      <c r="A21" s="137" t="s">
        <v>12</v>
      </c>
      <c r="B21" s="67">
        <v>-41439.4</v>
      </c>
      <c r="C21" s="67">
        <v>-41439.4</v>
      </c>
    </row>
    <row r="22" spans="1:3" x14ac:dyDescent="0.2">
      <c r="A22" s="64" t="s">
        <v>8</v>
      </c>
      <c r="B22" s="67">
        <v>99705.5</v>
      </c>
      <c r="C22" s="67">
        <v>99705.5</v>
      </c>
    </row>
    <row r="23" spans="1:3" x14ac:dyDescent="0.2">
      <c r="A23" s="137" t="s">
        <v>16</v>
      </c>
      <c r="B23" s="67">
        <v>99705.5</v>
      </c>
      <c r="C23" s="67">
        <v>99705.5</v>
      </c>
    </row>
    <row r="24" spans="1:3" x14ac:dyDescent="0.2">
      <c r="A24" s="64" t="s">
        <v>75</v>
      </c>
      <c r="B24" s="67">
        <v>-1019797.54</v>
      </c>
      <c r="C24" s="67">
        <v>-1019797.54</v>
      </c>
    </row>
    <row r="25" spans="1:3" x14ac:dyDescent="0.2">
      <c r="A25" s="137" t="s">
        <v>19</v>
      </c>
      <c r="B25" s="67">
        <v>-1087297.54</v>
      </c>
      <c r="C25" s="67">
        <v>-1087297.54</v>
      </c>
    </row>
    <row r="26" spans="1:3" x14ac:dyDescent="0.2">
      <c r="A26" s="137" t="s">
        <v>9</v>
      </c>
      <c r="B26" s="67">
        <v>67500</v>
      </c>
      <c r="C26" s="67">
        <v>67500</v>
      </c>
    </row>
    <row r="27" spans="1:3" x14ac:dyDescent="0.2">
      <c r="A27" s="64" t="s">
        <v>34</v>
      </c>
      <c r="B27" s="67">
        <v>-7844093.2199999997</v>
      </c>
      <c r="C27" s="67">
        <v>-7844093.2199999997</v>
      </c>
    </row>
    <row r="28" spans="1:3" x14ac:dyDescent="0.2">
      <c r="A28" s="137" t="s">
        <v>27</v>
      </c>
      <c r="B28" s="67">
        <v>-7844093.2199999997</v>
      </c>
      <c r="C28" s="67">
        <v>-7844093.2199999997</v>
      </c>
    </row>
    <row r="29" spans="1:3" x14ac:dyDescent="0.2">
      <c r="A29" s="64" t="s">
        <v>73</v>
      </c>
      <c r="B29" s="67">
        <v>205671</v>
      </c>
      <c r="C29" s="67">
        <v>205671</v>
      </c>
    </row>
    <row r="30" spans="1:3" x14ac:dyDescent="0.2">
      <c r="A30" s="137" t="s">
        <v>16</v>
      </c>
      <c r="B30" s="67">
        <v>205671</v>
      </c>
      <c r="C30" s="67">
        <v>205671</v>
      </c>
    </row>
    <row r="31" spans="1:3" x14ac:dyDescent="0.2">
      <c r="A31" s="64" t="s">
        <v>38</v>
      </c>
      <c r="B31" s="67">
        <v>97752</v>
      </c>
      <c r="C31" s="67">
        <v>97752</v>
      </c>
    </row>
    <row r="32" spans="1:3" x14ac:dyDescent="0.2">
      <c r="A32" s="137" t="s">
        <v>16</v>
      </c>
      <c r="B32" s="67">
        <v>97752</v>
      </c>
      <c r="C32" s="67">
        <v>97752</v>
      </c>
    </row>
    <row r="33" spans="1:3" x14ac:dyDescent="0.2">
      <c r="A33" s="64" t="s">
        <v>37</v>
      </c>
      <c r="B33" s="67">
        <v>1905480.33</v>
      </c>
      <c r="C33" s="67">
        <v>1905480.33</v>
      </c>
    </row>
    <row r="34" spans="1:3" x14ac:dyDescent="0.2">
      <c r="A34" s="137" t="s">
        <v>16</v>
      </c>
      <c r="B34" s="67">
        <v>1298003.83</v>
      </c>
      <c r="C34" s="67">
        <v>1298003.83</v>
      </c>
    </row>
    <row r="35" spans="1:3" x14ac:dyDescent="0.2">
      <c r="A35" s="137" t="s">
        <v>217</v>
      </c>
      <c r="B35" s="67">
        <v>267293.53999999998</v>
      </c>
      <c r="C35" s="67">
        <v>267293.53999999998</v>
      </c>
    </row>
    <row r="36" spans="1:3" x14ac:dyDescent="0.2">
      <c r="A36" s="137" t="s">
        <v>36</v>
      </c>
      <c r="B36" s="67">
        <v>340182.96</v>
      </c>
      <c r="C36" s="67">
        <v>340182.96</v>
      </c>
    </row>
    <row r="37" spans="1:3" x14ac:dyDescent="0.2">
      <c r="A37" s="64" t="s">
        <v>220</v>
      </c>
      <c r="B37" s="67">
        <v>-1834488.61</v>
      </c>
      <c r="C37" s="67">
        <v>-1834488.61</v>
      </c>
    </row>
    <row r="38" spans="1:3" x14ac:dyDescent="0.2">
      <c r="A38" s="137" t="s">
        <v>12</v>
      </c>
      <c r="B38" s="67">
        <v>-1834488.61</v>
      </c>
      <c r="C38" s="67">
        <v>-1834488.61</v>
      </c>
    </row>
    <row r="39" spans="1:3" x14ac:dyDescent="0.2">
      <c r="A39" s="64" t="s">
        <v>77</v>
      </c>
      <c r="B39" s="67">
        <v>5960</v>
      </c>
      <c r="C39" s="67">
        <v>5960</v>
      </c>
    </row>
    <row r="40" spans="1:3" x14ac:dyDescent="0.2">
      <c r="A40" s="137" t="s">
        <v>36</v>
      </c>
      <c r="B40" s="67">
        <v>5960</v>
      </c>
      <c r="C40" s="67">
        <v>5960</v>
      </c>
    </row>
    <row r="41" spans="1:3" x14ac:dyDescent="0.2">
      <c r="A41" s="64" t="s">
        <v>41</v>
      </c>
      <c r="B41" s="67">
        <v>-562970.2900000005</v>
      </c>
      <c r="C41" s="67">
        <v>-562970.2900000005</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C37"/>
  <sheetViews>
    <sheetView zoomScale="80" zoomScaleNormal="80" workbookViewId="0">
      <selection activeCell="B38" sqref="B38"/>
    </sheetView>
  </sheetViews>
  <sheetFormatPr defaultRowHeight="12.75" x14ac:dyDescent="0.2"/>
  <cols>
    <col min="1" max="1" width="39.8554687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45565</v>
      </c>
      <c r="B5" s="200"/>
      <c r="C5" s="200"/>
    </row>
    <row r="7" spans="1:3" x14ac:dyDescent="0.2">
      <c r="A7" s="63" t="s">
        <v>4</v>
      </c>
      <c r="B7" t="s">
        <v>5</v>
      </c>
      <c r="C7" t="s">
        <v>6</v>
      </c>
    </row>
    <row r="8" spans="1:3" x14ac:dyDescent="0.2">
      <c r="A8" s="64" t="s">
        <v>23</v>
      </c>
      <c r="B8" s="67">
        <v>222306</v>
      </c>
      <c r="C8" s="67">
        <v>222306</v>
      </c>
    </row>
    <row r="9" spans="1:3" x14ac:dyDescent="0.2">
      <c r="A9" s="137" t="s">
        <v>16</v>
      </c>
      <c r="B9" s="67">
        <v>222306</v>
      </c>
      <c r="C9" s="67">
        <v>222306</v>
      </c>
    </row>
    <row r="10" spans="1:3" x14ac:dyDescent="0.2">
      <c r="A10" s="64" t="s">
        <v>35</v>
      </c>
      <c r="B10" s="67">
        <v>-203000</v>
      </c>
      <c r="C10" s="67">
        <v>-203000</v>
      </c>
    </row>
    <row r="11" spans="1:3" x14ac:dyDescent="0.2">
      <c r="A11" s="137" t="s">
        <v>27</v>
      </c>
      <c r="B11" s="67">
        <v>-75000</v>
      </c>
      <c r="C11" s="67">
        <v>-75000</v>
      </c>
    </row>
    <row r="12" spans="1:3" x14ac:dyDescent="0.2">
      <c r="A12" s="137" t="s">
        <v>16</v>
      </c>
      <c r="B12" s="67">
        <v>-128000</v>
      </c>
      <c r="C12" s="67">
        <v>-128000</v>
      </c>
    </row>
    <row r="13" spans="1:3" x14ac:dyDescent="0.2">
      <c r="A13" s="64" t="s">
        <v>39</v>
      </c>
      <c r="B13" s="67">
        <v>925397.64</v>
      </c>
      <c r="C13" s="67">
        <v>925397.64</v>
      </c>
    </row>
    <row r="14" spans="1:3" x14ac:dyDescent="0.2">
      <c r="A14" s="137" t="s">
        <v>16</v>
      </c>
      <c r="B14" s="67">
        <v>966837.04</v>
      </c>
      <c r="C14" s="67">
        <v>966837.04</v>
      </c>
    </row>
    <row r="15" spans="1:3" x14ac:dyDescent="0.2">
      <c r="A15" s="137" t="s">
        <v>12</v>
      </c>
      <c r="B15" s="67">
        <v>-41439.4</v>
      </c>
      <c r="C15" s="67">
        <v>-41439.4</v>
      </c>
    </row>
    <row r="16" spans="1:3" x14ac:dyDescent="0.2">
      <c r="A16" s="64" t="s">
        <v>8</v>
      </c>
      <c r="B16" s="67">
        <v>99705.5</v>
      </c>
      <c r="C16" s="67">
        <v>99705.5</v>
      </c>
    </row>
    <row r="17" spans="1:3" x14ac:dyDescent="0.2">
      <c r="A17" s="137" t="s">
        <v>16</v>
      </c>
      <c r="B17" s="67">
        <v>137760</v>
      </c>
      <c r="C17" s="67">
        <v>137760</v>
      </c>
    </row>
    <row r="18" spans="1:3" x14ac:dyDescent="0.2">
      <c r="A18" s="137" t="s">
        <v>19</v>
      </c>
      <c r="B18" s="67">
        <v>-38054.5</v>
      </c>
      <c r="C18" s="67">
        <v>-38054.5</v>
      </c>
    </row>
    <row r="19" spans="1:3" x14ac:dyDescent="0.2">
      <c r="A19" s="64" t="s">
        <v>75</v>
      </c>
      <c r="B19" s="67">
        <v>67500</v>
      </c>
      <c r="C19" s="67">
        <v>67500</v>
      </c>
    </row>
    <row r="20" spans="1:3" x14ac:dyDescent="0.2">
      <c r="A20" s="137" t="s">
        <v>9</v>
      </c>
      <c r="B20" s="67">
        <v>67500</v>
      </c>
      <c r="C20" s="67">
        <v>67500</v>
      </c>
    </row>
    <row r="21" spans="1:3" x14ac:dyDescent="0.2">
      <c r="A21" s="64" t="s">
        <v>34</v>
      </c>
      <c r="B21" s="67">
        <v>-7844093.2199999997</v>
      </c>
      <c r="C21" s="67">
        <v>-7844093.2199999997</v>
      </c>
    </row>
    <row r="22" spans="1:3" x14ac:dyDescent="0.2">
      <c r="A22" s="137" t="s">
        <v>27</v>
      </c>
      <c r="B22" s="67">
        <v>-7844093.2199999997</v>
      </c>
      <c r="C22" s="67">
        <v>-7844093.2199999997</v>
      </c>
    </row>
    <row r="23" spans="1:3" x14ac:dyDescent="0.2">
      <c r="A23" s="64" t="s">
        <v>73</v>
      </c>
      <c r="B23" s="67">
        <v>205671</v>
      </c>
      <c r="C23" s="67">
        <v>205671</v>
      </c>
    </row>
    <row r="24" spans="1:3" x14ac:dyDescent="0.2">
      <c r="A24" s="137" t="s">
        <v>16</v>
      </c>
      <c r="B24" s="67">
        <v>205671</v>
      </c>
      <c r="C24" s="67">
        <v>205671</v>
      </c>
    </row>
    <row r="25" spans="1:3" x14ac:dyDescent="0.2">
      <c r="A25" s="64" t="s">
        <v>38</v>
      </c>
      <c r="B25" s="67">
        <v>97752</v>
      </c>
      <c r="C25" s="67">
        <v>97752</v>
      </c>
    </row>
    <row r="26" spans="1:3" x14ac:dyDescent="0.2">
      <c r="A26" s="137" t="s">
        <v>16</v>
      </c>
      <c r="B26" s="67">
        <v>97752</v>
      </c>
      <c r="C26" s="67">
        <v>97752</v>
      </c>
    </row>
    <row r="27" spans="1:3" x14ac:dyDescent="0.2">
      <c r="A27" s="64" t="s">
        <v>37</v>
      </c>
      <c r="B27" s="67">
        <v>1668739.27</v>
      </c>
      <c r="C27" s="67">
        <v>1668739.27</v>
      </c>
    </row>
    <row r="28" spans="1:3" x14ac:dyDescent="0.2">
      <c r="A28" s="137" t="s">
        <v>16</v>
      </c>
      <c r="B28" s="67">
        <v>1298003.83</v>
      </c>
      <c r="C28" s="67">
        <v>1298003.83</v>
      </c>
    </row>
    <row r="29" spans="1:3" x14ac:dyDescent="0.2">
      <c r="A29" s="137" t="s">
        <v>221</v>
      </c>
      <c r="B29" s="67">
        <v>288170.88</v>
      </c>
      <c r="C29" s="67">
        <v>288170.88</v>
      </c>
    </row>
    <row r="30" spans="1:3" x14ac:dyDescent="0.2">
      <c r="A30" s="137" t="s">
        <v>19</v>
      </c>
      <c r="B30" s="67">
        <v>-257618.4</v>
      </c>
      <c r="C30" s="67">
        <v>-257618.4</v>
      </c>
    </row>
    <row r="31" spans="1:3" x14ac:dyDescent="0.2">
      <c r="A31" s="137" t="s">
        <v>36</v>
      </c>
      <c r="B31" s="67">
        <v>340182.96</v>
      </c>
      <c r="C31" s="67">
        <v>340182.96</v>
      </c>
    </row>
    <row r="32" spans="1:3" x14ac:dyDescent="0.2">
      <c r="A32" s="64" t="s">
        <v>220</v>
      </c>
      <c r="B32" s="67">
        <v>-2201792.61</v>
      </c>
      <c r="C32" s="67">
        <v>-2201792.61</v>
      </c>
    </row>
    <row r="33" spans="1:3" x14ac:dyDescent="0.2">
      <c r="A33" s="137" t="s">
        <v>12</v>
      </c>
      <c r="B33" s="67">
        <v>-1834488.61</v>
      </c>
      <c r="C33" s="67">
        <v>-1834488.61</v>
      </c>
    </row>
    <row r="34" spans="1:3" x14ac:dyDescent="0.2">
      <c r="A34" s="137" t="s">
        <v>19</v>
      </c>
      <c r="B34" s="67">
        <v>-367304</v>
      </c>
      <c r="C34" s="67">
        <v>-367304</v>
      </c>
    </row>
    <row r="35" spans="1:3" x14ac:dyDescent="0.2">
      <c r="A35" s="64" t="s">
        <v>77</v>
      </c>
      <c r="B35" s="67">
        <v>5960</v>
      </c>
      <c r="C35" s="67">
        <v>5960</v>
      </c>
    </row>
    <row r="36" spans="1:3" x14ac:dyDescent="0.2">
      <c r="A36" s="137" t="s">
        <v>36</v>
      </c>
      <c r="B36" s="67">
        <v>5960</v>
      </c>
      <c r="C36" s="67">
        <v>5960</v>
      </c>
    </row>
    <row r="37" spans="1:3" x14ac:dyDescent="0.2">
      <c r="A37" s="64" t="s">
        <v>41</v>
      </c>
      <c r="B37" s="67">
        <v>-6955854.4199999999</v>
      </c>
      <c r="C37" s="67">
        <v>-6955854.4199999999</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dimension ref="A1:C41"/>
  <sheetViews>
    <sheetView zoomScale="80" zoomScaleNormal="80" workbookViewId="0">
      <selection activeCell="A18" activeCellId="3" sqref="A9 A11:A13 A15:A16 A18:A20 A22 A24:A25 A27:A29 A31 A33 A35:A36 A38 A40"/>
    </sheetView>
  </sheetViews>
  <sheetFormatPr defaultRowHeight="12.75" x14ac:dyDescent="0.2"/>
  <cols>
    <col min="1" max="1" width="39.8554687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45596</v>
      </c>
      <c r="B5" s="200"/>
      <c r="C5" s="200"/>
    </row>
    <row r="7" spans="1:3" x14ac:dyDescent="0.2">
      <c r="A7" s="63" t="s">
        <v>4</v>
      </c>
      <c r="B7" t="s">
        <v>5</v>
      </c>
      <c r="C7" t="s">
        <v>6</v>
      </c>
    </row>
    <row r="8" spans="1:3" x14ac:dyDescent="0.2">
      <c r="A8" s="64" t="s">
        <v>23</v>
      </c>
      <c r="B8" s="67">
        <v>44461.199999999983</v>
      </c>
      <c r="C8" s="67">
        <v>44461.199999999983</v>
      </c>
    </row>
    <row r="9" spans="1:3" x14ac:dyDescent="0.2">
      <c r="A9" s="137" t="s">
        <v>16</v>
      </c>
      <c r="B9" s="67">
        <v>44461.199999999983</v>
      </c>
      <c r="C9" s="67">
        <v>44461.199999999983</v>
      </c>
    </row>
    <row r="10" spans="1:3" x14ac:dyDescent="0.2">
      <c r="A10" s="64" t="s">
        <v>35</v>
      </c>
      <c r="B10" s="67">
        <v>-71467382</v>
      </c>
      <c r="C10" s="67">
        <v>-71467382</v>
      </c>
    </row>
    <row r="11" spans="1:3" x14ac:dyDescent="0.2">
      <c r="A11" s="137" t="s">
        <v>27</v>
      </c>
      <c r="B11" s="67">
        <v>-75000</v>
      </c>
      <c r="C11" s="67">
        <v>-75000</v>
      </c>
    </row>
    <row r="12" spans="1:3" x14ac:dyDescent="0.2">
      <c r="A12" s="137" t="s">
        <v>16</v>
      </c>
      <c r="B12" s="67">
        <v>-128000</v>
      </c>
      <c r="C12" s="67">
        <v>-128000</v>
      </c>
    </row>
    <row r="13" spans="1:3" x14ac:dyDescent="0.2">
      <c r="A13" s="137" t="s">
        <v>19</v>
      </c>
      <c r="B13" s="67">
        <v>-71264382</v>
      </c>
      <c r="C13" s="67">
        <v>-71264382</v>
      </c>
    </row>
    <row r="14" spans="1:3" x14ac:dyDescent="0.2">
      <c r="A14" s="64" t="s">
        <v>39</v>
      </c>
      <c r="B14" s="67">
        <v>925397.64</v>
      </c>
      <c r="C14" s="67">
        <v>925397.64</v>
      </c>
    </row>
    <row r="15" spans="1:3" x14ac:dyDescent="0.2">
      <c r="A15" s="137" t="s">
        <v>16</v>
      </c>
      <c r="B15" s="67">
        <v>966837.04</v>
      </c>
      <c r="C15" s="67">
        <v>966837.04</v>
      </c>
    </row>
    <row r="16" spans="1:3" x14ac:dyDescent="0.2">
      <c r="A16" s="137" t="s">
        <v>12</v>
      </c>
      <c r="B16" s="67">
        <v>-41439.4</v>
      </c>
      <c r="C16" s="67">
        <v>-41439.4</v>
      </c>
    </row>
    <row r="17" spans="1:3" x14ac:dyDescent="0.2">
      <c r="A17" s="64" t="s">
        <v>8</v>
      </c>
      <c r="B17" s="67">
        <v>-440435.86</v>
      </c>
      <c r="C17" s="67">
        <v>-440435.86</v>
      </c>
    </row>
    <row r="18" spans="1:3" x14ac:dyDescent="0.2">
      <c r="A18" s="137" t="s">
        <v>16</v>
      </c>
      <c r="B18" s="67">
        <v>137760</v>
      </c>
      <c r="C18" s="67">
        <v>137760</v>
      </c>
    </row>
    <row r="19" spans="1:3" x14ac:dyDescent="0.2">
      <c r="A19" s="137" t="s">
        <v>19</v>
      </c>
      <c r="B19" s="67">
        <v>-38054.5</v>
      </c>
      <c r="C19" s="67">
        <v>-38054.5</v>
      </c>
    </row>
    <row r="20" spans="1:3" x14ac:dyDescent="0.2">
      <c r="A20" s="137" t="s">
        <v>222</v>
      </c>
      <c r="B20" s="67">
        <v>-540141.36</v>
      </c>
      <c r="C20" s="67">
        <v>-540141.36</v>
      </c>
    </row>
    <row r="21" spans="1:3" x14ac:dyDescent="0.2">
      <c r="A21" s="64" t="s">
        <v>73</v>
      </c>
      <c r="B21" s="67">
        <v>205671</v>
      </c>
      <c r="C21" s="67">
        <v>205671</v>
      </c>
    </row>
    <row r="22" spans="1:3" x14ac:dyDescent="0.2">
      <c r="A22" s="137" t="s">
        <v>16</v>
      </c>
      <c r="B22" s="67">
        <v>205671</v>
      </c>
      <c r="C22" s="67">
        <v>205671</v>
      </c>
    </row>
    <row r="23" spans="1:3" x14ac:dyDescent="0.2">
      <c r="A23" s="64" t="s">
        <v>38</v>
      </c>
      <c r="B23" s="67">
        <v>-194358.19</v>
      </c>
      <c r="C23" s="67">
        <v>-194358.19</v>
      </c>
    </row>
    <row r="24" spans="1:3" x14ac:dyDescent="0.2">
      <c r="A24" s="137" t="s">
        <v>16</v>
      </c>
      <c r="B24" s="67">
        <v>97752</v>
      </c>
      <c r="C24" s="67">
        <v>97752</v>
      </c>
    </row>
    <row r="25" spans="1:3" x14ac:dyDescent="0.2">
      <c r="A25" s="137" t="s">
        <v>19</v>
      </c>
      <c r="B25" s="67">
        <v>-292110.19</v>
      </c>
      <c r="C25" s="67">
        <v>-292110.19</v>
      </c>
    </row>
    <row r="26" spans="1:3" x14ac:dyDescent="0.2">
      <c r="A26" s="64" t="s">
        <v>37</v>
      </c>
      <c r="B26" s="67">
        <v>1828451.47</v>
      </c>
      <c r="C26" s="67">
        <v>1828451.47</v>
      </c>
    </row>
    <row r="27" spans="1:3" x14ac:dyDescent="0.2">
      <c r="A27" s="137" t="s">
        <v>16</v>
      </c>
      <c r="B27" s="67">
        <v>1298003.83</v>
      </c>
      <c r="C27" s="67">
        <v>1298003.83</v>
      </c>
    </row>
    <row r="28" spans="1:3" x14ac:dyDescent="0.2">
      <c r="A28" s="137" t="s">
        <v>221</v>
      </c>
      <c r="B28" s="67">
        <v>288170.88</v>
      </c>
      <c r="C28" s="67">
        <v>288170.88</v>
      </c>
    </row>
    <row r="29" spans="1:3" x14ac:dyDescent="0.2">
      <c r="A29" s="137" t="s">
        <v>36</v>
      </c>
      <c r="B29" s="67">
        <v>242276.76</v>
      </c>
      <c r="C29" s="67">
        <v>242276.76</v>
      </c>
    </row>
    <row r="30" spans="1:3" x14ac:dyDescent="0.2">
      <c r="A30" s="64" t="s">
        <v>220</v>
      </c>
      <c r="B30" s="67">
        <v>-367304</v>
      </c>
      <c r="C30" s="67">
        <v>-367304</v>
      </c>
    </row>
    <row r="31" spans="1:3" x14ac:dyDescent="0.2">
      <c r="A31" s="137" t="s">
        <v>19</v>
      </c>
      <c r="B31" s="67">
        <v>-367304</v>
      </c>
      <c r="C31" s="67">
        <v>-367304</v>
      </c>
    </row>
    <row r="32" spans="1:3" x14ac:dyDescent="0.2">
      <c r="A32" s="64" t="s">
        <v>11</v>
      </c>
      <c r="B32" s="67">
        <v>-735360</v>
      </c>
      <c r="C32" s="67">
        <v>-735360</v>
      </c>
    </row>
    <row r="33" spans="1:3" x14ac:dyDescent="0.2">
      <c r="A33" s="137" t="s">
        <v>222</v>
      </c>
      <c r="B33" s="67">
        <v>-735360</v>
      </c>
      <c r="C33" s="67">
        <v>-735360</v>
      </c>
    </row>
    <row r="34" spans="1:3" x14ac:dyDescent="0.2">
      <c r="A34" s="64" t="s">
        <v>32</v>
      </c>
      <c r="B34" s="67">
        <v>49338.7</v>
      </c>
      <c r="C34" s="67">
        <v>49338.7</v>
      </c>
    </row>
    <row r="35" spans="1:3" x14ac:dyDescent="0.2">
      <c r="A35" s="137" t="s">
        <v>16</v>
      </c>
      <c r="B35" s="67">
        <v>100146.2</v>
      </c>
      <c r="C35" s="67">
        <v>100146.2</v>
      </c>
    </row>
    <row r="36" spans="1:3" x14ac:dyDescent="0.2">
      <c r="A36" s="137" t="s">
        <v>223</v>
      </c>
      <c r="B36" s="67">
        <v>-50807.5</v>
      </c>
      <c r="C36" s="67">
        <v>-50807.5</v>
      </c>
    </row>
    <row r="37" spans="1:3" x14ac:dyDescent="0.2">
      <c r="A37" s="64" t="s">
        <v>68</v>
      </c>
      <c r="B37" s="67">
        <v>-556260.48</v>
      </c>
      <c r="C37" s="67">
        <v>-556260.48</v>
      </c>
    </row>
    <row r="38" spans="1:3" x14ac:dyDescent="0.2">
      <c r="A38" s="137" t="s">
        <v>222</v>
      </c>
      <c r="B38" s="67">
        <v>-556260.48</v>
      </c>
      <c r="C38" s="67">
        <v>-556260.48</v>
      </c>
    </row>
    <row r="39" spans="1:3" x14ac:dyDescent="0.2">
      <c r="A39" s="64" t="s">
        <v>14</v>
      </c>
      <c r="B39" s="67">
        <v>-443890.35</v>
      </c>
      <c r="C39" s="67">
        <v>-443890.35</v>
      </c>
    </row>
    <row r="40" spans="1:3" x14ac:dyDescent="0.2">
      <c r="A40" s="137" t="s">
        <v>16</v>
      </c>
      <c r="B40" s="67">
        <v>-443890.35</v>
      </c>
      <c r="C40" s="67">
        <v>-443890.35</v>
      </c>
    </row>
    <row r="41" spans="1:3" x14ac:dyDescent="0.2">
      <c r="A41" s="64" t="s">
        <v>41</v>
      </c>
      <c r="B41" s="67">
        <v>-71151670.86999999</v>
      </c>
      <c r="C41" s="67">
        <v>-71151670.86999999</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dimension ref="A1:C36"/>
  <sheetViews>
    <sheetView zoomScale="80" zoomScaleNormal="80" workbookViewId="0">
      <selection activeCell="C23" sqref="C23"/>
    </sheetView>
  </sheetViews>
  <sheetFormatPr defaultRowHeight="12.75" x14ac:dyDescent="0.2"/>
  <cols>
    <col min="1" max="1" width="39"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45657</v>
      </c>
      <c r="B5" s="200"/>
      <c r="C5" s="200"/>
    </row>
    <row r="7" spans="1:3" x14ac:dyDescent="0.2">
      <c r="A7" s="63" t="s">
        <v>4</v>
      </c>
      <c r="B7" t="s">
        <v>5</v>
      </c>
      <c r="C7" t="s">
        <v>6</v>
      </c>
    </row>
    <row r="8" spans="1:3" x14ac:dyDescent="0.2">
      <c r="A8" s="64" t="s">
        <v>23</v>
      </c>
      <c r="B8" s="67">
        <v>44461.199999999983</v>
      </c>
      <c r="C8" s="67">
        <v>44461.199999999983</v>
      </c>
    </row>
    <row r="9" spans="1:3" x14ac:dyDescent="0.2">
      <c r="A9" s="137" t="s">
        <v>16</v>
      </c>
      <c r="B9" s="67">
        <v>44461.199999999983</v>
      </c>
      <c r="C9" s="67">
        <v>44461.199999999983</v>
      </c>
    </row>
    <row r="10" spans="1:3" x14ac:dyDescent="0.2">
      <c r="A10" s="64" t="s">
        <v>35</v>
      </c>
      <c r="B10" s="67">
        <v>92075.4</v>
      </c>
      <c r="C10" s="67">
        <v>92075.4</v>
      </c>
    </row>
    <row r="11" spans="1:3" x14ac:dyDescent="0.2">
      <c r="A11" s="137" t="s">
        <v>27</v>
      </c>
      <c r="B11" s="67">
        <v>-75000</v>
      </c>
      <c r="C11" s="67">
        <v>-75000</v>
      </c>
    </row>
    <row r="12" spans="1:3" x14ac:dyDescent="0.2">
      <c r="A12" s="137" t="s">
        <v>12</v>
      </c>
      <c r="B12" s="67">
        <v>167075.4</v>
      </c>
      <c r="C12" s="67">
        <v>167075.4</v>
      </c>
    </row>
    <row r="13" spans="1:3" x14ac:dyDescent="0.2">
      <c r="A13" s="64" t="s">
        <v>8</v>
      </c>
      <c r="B13" s="67">
        <v>-578195.86</v>
      </c>
      <c r="C13" s="67">
        <v>-578195.86</v>
      </c>
    </row>
    <row r="14" spans="1:3" x14ac:dyDescent="0.2">
      <c r="A14" s="137" t="s">
        <v>16</v>
      </c>
      <c r="B14" s="67">
        <v>-38054.5</v>
      </c>
      <c r="C14" s="67">
        <v>-38054.5</v>
      </c>
    </row>
    <row r="15" spans="1:3" x14ac:dyDescent="0.2">
      <c r="A15" s="137" t="s">
        <v>9</v>
      </c>
      <c r="B15" s="67">
        <v>-540141.36</v>
      </c>
      <c r="C15" s="67">
        <v>-540141.36</v>
      </c>
    </row>
    <row r="16" spans="1:3" x14ac:dyDescent="0.2">
      <c r="A16" s="64" t="s">
        <v>38</v>
      </c>
      <c r="B16" s="67">
        <v>-227442.19</v>
      </c>
      <c r="C16" s="67">
        <v>-227442.19</v>
      </c>
    </row>
    <row r="17" spans="1:3" x14ac:dyDescent="0.2">
      <c r="A17" s="137" t="s">
        <v>16</v>
      </c>
      <c r="B17" s="67">
        <v>64668</v>
      </c>
      <c r="C17" s="67">
        <v>64668</v>
      </c>
    </row>
    <row r="18" spans="1:3" x14ac:dyDescent="0.2">
      <c r="A18" s="137" t="s">
        <v>19</v>
      </c>
      <c r="B18" s="67">
        <v>-292110.19</v>
      </c>
      <c r="C18" s="67">
        <v>-292110.19</v>
      </c>
    </row>
    <row r="19" spans="1:3" x14ac:dyDescent="0.2">
      <c r="A19" s="64" t="s">
        <v>37</v>
      </c>
      <c r="B19" s="67">
        <v>67751.16</v>
      </c>
      <c r="C19" s="67">
        <v>67751.16</v>
      </c>
    </row>
    <row r="20" spans="1:3" x14ac:dyDescent="0.2">
      <c r="A20" s="137" t="s">
        <v>36</v>
      </c>
      <c r="B20" s="67">
        <v>67751.16</v>
      </c>
      <c r="C20" s="67">
        <v>67751.16</v>
      </c>
    </row>
    <row r="21" spans="1:3" x14ac:dyDescent="0.2">
      <c r="A21" s="64" t="s">
        <v>220</v>
      </c>
      <c r="B21" s="67">
        <v>-1322161.8999999999</v>
      </c>
      <c r="C21" s="67">
        <v>-1322161.8999999999</v>
      </c>
    </row>
    <row r="22" spans="1:3" x14ac:dyDescent="0.2">
      <c r="A22" s="137" t="s">
        <v>27</v>
      </c>
      <c r="B22" s="67">
        <v>-1322161.8999999999</v>
      </c>
      <c r="C22" s="67">
        <v>-1322161.8999999999</v>
      </c>
    </row>
    <row r="23" spans="1:3" x14ac:dyDescent="0.2">
      <c r="A23" s="64" t="s">
        <v>11</v>
      </c>
      <c r="B23" s="67">
        <v>-536339.64</v>
      </c>
      <c r="C23" s="67">
        <v>-536339.64</v>
      </c>
    </row>
    <row r="24" spans="1:3" x14ac:dyDescent="0.2">
      <c r="A24" s="137" t="s">
        <v>9</v>
      </c>
      <c r="B24" s="67">
        <v>-735360</v>
      </c>
      <c r="C24" s="67">
        <v>-735360</v>
      </c>
    </row>
    <row r="25" spans="1:3" x14ac:dyDescent="0.2">
      <c r="A25" s="137" t="s">
        <v>17</v>
      </c>
      <c r="B25" s="67">
        <v>199020.36</v>
      </c>
      <c r="C25" s="67">
        <v>199020.36</v>
      </c>
    </row>
    <row r="26" spans="1:3" x14ac:dyDescent="0.2">
      <c r="A26" s="64" t="s">
        <v>32</v>
      </c>
      <c r="B26" s="67">
        <v>-951377.48999999987</v>
      </c>
      <c r="C26" s="67">
        <v>-951377.48999999987</v>
      </c>
    </row>
    <row r="27" spans="1:3" x14ac:dyDescent="0.2">
      <c r="A27" s="137" t="s">
        <v>19</v>
      </c>
      <c r="B27" s="67">
        <v>-951377.48999999987</v>
      </c>
      <c r="C27" s="67">
        <v>-951377.48999999987</v>
      </c>
    </row>
    <row r="28" spans="1:3" x14ac:dyDescent="0.2">
      <c r="A28" s="64" t="s">
        <v>68</v>
      </c>
      <c r="B28" s="67">
        <v>1043369.75</v>
      </c>
      <c r="C28" s="67">
        <v>1043369.75</v>
      </c>
    </row>
    <row r="29" spans="1:3" x14ac:dyDescent="0.2">
      <c r="A29" s="137" t="s">
        <v>17</v>
      </c>
      <c r="B29" s="67">
        <v>1043369.75</v>
      </c>
      <c r="C29" s="67">
        <v>1043369.75</v>
      </c>
    </row>
    <row r="30" spans="1:3" x14ac:dyDescent="0.2">
      <c r="A30" s="64" t="s">
        <v>14</v>
      </c>
      <c r="B30" s="67">
        <v>881922.6</v>
      </c>
      <c r="C30" s="67">
        <v>881922.6</v>
      </c>
    </row>
    <row r="31" spans="1:3" x14ac:dyDescent="0.2">
      <c r="A31" s="137" t="s">
        <v>17</v>
      </c>
      <c r="B31" s="67">
        <v>881922.6</v>
      </c>
      <c r="C31" s="67">
        <v>881922.6</v>
      </c>
    </row>
    <row r="32" spans="1:3" x14ac:dyDescent="0.2">
      <c r="A32" s="64" t="s">
        <v>57</v>
      </c>
      <c r="B32" s="67">
        <v>2661000</v>
      </c>
      <c r="C32" s="67">
        <v>2661000</v>
      </c>
    </row>
    <row r="33" spans="1:3" x14ac:dyDescent="0.2">
      <c r="A33" s="137" t="s">
        <v>16</v>
      </c>
      <c r="B33" s="67">
        <v>2661000</v>
      </c>
      <c r="C33" s="67">
        <v>2661000</v>
      </c>
    </row>
    <row r="34" spans="1:3" x14ac:dyDescent="0.2">
      <c r="A34" s="64" t="s">
        <v>77</v>
      </c>
      <c r="B34" s="67">
        <v>-50000</v>
      </c>
      <c r="C34" s="67">
        <v>-50000</v>
      </c>
    </row>
    <row r="35" spans="1:3" x14ac:dyDescent="0.2">
      <c r="A35" s="137" t="s">
        <v>223</v>
      </c>
      <c r="B35" s="67">
        <v>-50000</v>
      </c>
      <c r="C35" s="67">
        <v>-50000</v>
      </c>
    </row>
    <row r="36" spans="1:3" x14ac:dyDescent="0.2">
      <c r="A36" s="64" t="s">
        <v>41</v>
      </c>
      <c r="B36" s="67">
        <v>1125063.03</v>
      </c>
      <c r="C36" s="67">
        <v>1125063.03</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dimension ref="A1:C28"/>
  <sheetViews>
    <sheetView zoomScale="80" zoomScaleNormal="80" workbookViewId="0">
      <selection activeCell="B11" sqref="B11"/>
    </sheetView>
  </sheetViews>
  <sheetFormatPr defaultRowHeight="12.75" x14ac:dyDescent="0.2"/>
  <cols>
    <col min="1" max="1" width="31.14062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45688</v>
      </c>
      <c r="B5" s="200"/>
      <c r="C5" s="200"/>
    </row>
    <row r="7" spans="1:3" x14ac:dyDescent="0.2">
      <c r="A7" s="63" t="s">
        <v>4</v>
      </c>
      <c r="B7" t="s">
        <v>5</v>
      </c>
      <c r="C7" t="s">
        <v>6</v>
      </c>
    </row>
    <row r="8" spans="1:3" x14ac:dyDescent="0.2">
      <c r="A8" s="64" t="s">
        <v>23</v>
      </c>
      <c r="B8" s="67">
        <v>44461.199999999983</v>
      </c>
      <c r="C8" s="67">
        <v>44461.199999999983</v>
      </c>
    </row>
    <row r="9" spans="1:3" x14ac:dyDescent="0.2">
      <c r="A9" s="137" t="s">
        <v>16</v>
      </c>
      <c r="B9" s="67">
        <v>44461.199999999983</v>
      </c>
      <c r="C9" s="67">
        <v>44461.199999999983</v>
      </c>
    </row>
    <row r="10" spans="1:3" x14ac:dyDescent="0.2">
      <c r="A10" s="64" t="s">
        <v>35</v>
      </c>
      <c r="B10" s="67">
        <v>92075.4</v>
      </c>
      <c r="C10" s="67">
        <v>92075.4</v>
      </c>
    </row>
    <row r="11" spans="1:3" x14ac:dyDescent="0.2">
      <c r="A11" s="137" t="s">
        <v>27</v>
      </c>
      <c r="B11" s="67">
        <v>-75000</v>
      </c>
      <c r="C11" s="67">
        <v>-75000</v>
      </c>
    </row>
    <row r="12" spans="1:3" x14ac:dyDescent="0.2">
      <c r="A12" s="137" t="s">
        <v>12</v>
      </c>
      <c r="B12" s="67">
        <v>167075.4</v>
      </c>
      <c r="C12" s="67">
        <v>167075.4</v>
      </c>
    </row>
    <row r="13" spans="1:3" x14ac:dyDescent="0.2">
      <c r="A13" s="64" t="s">
        <v>8</v>
      </c>
      <c r="B13" s="67">
        <v>-540141.36</v>
      </c>
      <c r="C13" s="67">
        <v>-540141.36</v>
      </c>
    </row>
    <row r="14" spans="1:3" x14ac:dyDescent="0.2">
      <c r="A14" s="137" t="s">
        <v>9</v>
      </c>
      <c r="B14" s="67">
        <v>-540141.36</v>
      </c>
      <c r="C14" s="67">
        <v>-540141.36</v>
      </c>
    </row>
    <row r="15" spans="1:3" x14ac:dyDescent="0.2">
      <c r="A15" s="64" t="s">
        <v>38</v>
      </c>
      <c r="B15" s="67">
        <v>-227442.19</v>
      </c>
      <c r="C15" s="67">
        <v>-227442.19</v>
      </c>
    </row>
    <row r="16" spans="1:3" x14ac:dyDescent="0.2">
      <c r="A16" s="137" t="s">
        <v>16</v>
      </c>
      <c r="B16" s="67">
        <v>64668</v>
      </c>
      <c r="C16" s="67">
        <v>64668</v>
      </c>
    </row>
    <row r="17" spans="1:3" x14ac:dyDescent="0.2">
      <c r="A17" s="137" t="s">
        <v>19</v>
      </c>
      <c r="B17" s="67">
        <v>-292110.19</v>
      </c>
      <c r="C17" s="67">
        <v>-292110.19</v>
      </c>
    </row>
    <row r="18" spans="1:3" x14ac:dyDescent="0.2">
      <c r="A18" s="64" t="s">
        <v>11</v>
      </c>
      <c r="B18" s="67">
        <v>-735360</v>
      </c>
      <c r="C18" s="67">
        <v>-735360</v>
      </c>
    </row>
    <row r="19" spans="1:3" x14ac:dyDescent="0.2">
      <c r="A19" s="137" t="s">
        <v>9</v>
      </c>
      <c r="B19" s="67">
        <v>-735360</v>
      </c>
      <c r="C19" s="67">
        <v>-735360</v>
      </c>
    </row>
    <row r="20" spans="1:3" x14ac:dyDescent="0.2">
      <c r="A20" s="64" t="s">
        <v>14</v>
      </c>
      <c r="B20" s="67">
        <v>881922.6</v>
      </c>
      <c r="C20" s="67">
        <v>881922.6</v>
      </c>
    </row>
    <row r="21" spans="1:3" x14ac:dyDescent="0.2">
      <c r="A21" s="137" t="s">
        <v>17</v>
      </c>
      <c r="B21" s="67">
        <v>881922.6</v>
      </c>
      <c r="C21" s="67">
        <v>881922.6</v>
      </c>
    </row>
    <row r="22" spans="1:3" x14ac:dyDescent="0.2">
      <c r="A22" s="64" t="s">
        <v>224</v>
      </c>
      <c r="B22" s="67">
        <v>-552318.5</v>
      </c>
      <c r="C22" s="67">
        <v>-552318.5</v>
      </c>
    </row>
    <row r="23" spans="1:3" x14ac:dyDescent="0.2">
      <c r="A23" s="137" t="s">
        <v>17</v>
      </c>
      <c r="B23" s="67">
        <v>-552318.5</v>
      </c>
      <c r="C23" s="67">
        <v>-552318.5</v>
      </c>
    </row>
    <row r="24" spans="1:3" x14ac:dyDescent="0.2">
      <c r="A24" s="64" t="s">
        <v>39</v>
      </c>
      <c r="B24" s="67">
        <v>-2105.77</v>
      </c>
      <c r="C24" s="67">
        <v>-2105.77</v>
      </c>
    </row>
    <row r="25" spans="1:3" x14ac:dyDescent="0.2">
      <c r="A25" s="137" t="s">
        <v>19</v>
      </c>
      <c r="B25" s="67">
        <v>-2105.77</v>
      </c>
      <c r="C25" s="67">
        <v>-2105.77</v>
      </c>
    </row>
    <row r="26" spans="1:3" x14ac:dyDescent="0.2">
      <c r="A26" s="64" t="s">
        <v>18</v>
      </c>
      <c r="B26" s="67">
        <v>-1293.75</v>
      </c>
      <c r="C26" s="67">
        <v>-1293.75</v>
      </c>
    </row>
    <row r="27" spans="1:3" x14ac:dyDescent="0.2">
      <c r="A27" s="137" t="s">
        <v>19</v>
      </c>
      <c r="B27" s="67">
        <v>-1293.75</v>
      </c>
      <c r="C27" s="67">
        <v>-1293.75</v>
      </c>
    </row>
    <row r="28" spans="1:3" x14ac:dyDescent="0.2">
      <c r="A28" s="64" t="s">
        <v>41</v>
      </c>
      <c r="B28" s="67">
        <v>-1040202.37</v>
      </c>
      <c r="C28" s="67">
        <v>-1040202.37</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dimension ref="A1:C36"/>
  <sheetViews>
    <sheetView zoomScale="80" zoomScaleNormal="80" workbookViewId="0">
      <selection activeCell="C15" sqref="C15"/>
    </sheetView>
  </sheetViews>
  <sheetFormatPr defaultRowHeight="12.75" x14ac:dyDescent="0.2"/>
  <cols>
    <col min="1" max="1" width="42.570312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45716</v>
      </c>
      <c r="B5" s="200"/>
      <c r="C5" s="200"/>
    </row>
    <row r="7" spans="1:3" x14ac:dyDescent="0.2">
      <c r="A7" s="63" t="s">
        <v>4</v>
      </c>
      <c r="B7" t="s">
        <v>5</v>
      </c>
      <c r="C7" t="s">
        <v>6</v>
      </c>
    </row>
    <row r="8" spans="1:3" x14ac:dyDescent="0.2">
      <c r="A8" s="64" t="s">
        <v>23</v>
      </c>
      <c r="B8" s="67">
        <v>29640.799999999981</v>
      </c>
      <c r="C8" s="67">
        <v>29640.799999999981</v>
      </c>
    </row>
    <row r="9" spans="1:3" x14ac:dyDescent="0.2">
      <c r="A9" s="137" t="s">
        <v>16</v>
      </c>
      <c r="B9" s="67">
        <v>29640.799999999981</v>
      </c>
      <c r="C9" s="67">
        <v>29640.799999999981</v>
      </c>
    </row>
    <row r="10" spans="1:3" x14ac:dyDescent="0.2">
      <c r="A10" s="64" t="s">
        <v>35</v>
      </c>
      <c r="B10" s="67">
        <v>92075.4</v>
      </c>
      <c r="C10" s="67">
        <v>92075.4</v>
      </c>
    </row>
    <row r="11" spans="1:3" x14ac:dyDescent="0.2">
      <c r="A11" s="137" t="s">
        <v>27</v>
      </c>
      <c r="B11" s="67">
        <v>-75000</v>
      </c>
      <c r="C11" s="67">
        <v>-75000</v>
      </c>
    </row>
    <row r="12" spans="1:3" x14ac:dyDescent="0.2">
      <c r="A12" s="137" t="s">
        <v>12</v>
      </c>
      <c r="B12" s="67">
        <v>167075.4</v>
      </c>
      <c r="C12" s="67">
        <v>167075.4</v>
      </c>
    </row>
    <row r="13" spans="1:3" x14ac:dyDescent="0.2">
      <c r="A13" s="64" t="s">
        <v>8</v>
      </c>
      <c r="B13" s="67">
        <v>-578195.86</v>
      </c>
      <c r="C13" s="67">
        <v>-578195.86</v>
      </c>
    </row>
    <row r="14" spans="1:3" x14ac:dyDescent="0.2">
      <c r="A14" s="137" t="s">
        <v>16</v>
      </c>
      <c r="B14" s="67">
        <v>-38054.5</v>
      </c>
      <c r="C14" s="67">
        <v>-38054.5</v>
      </c>
    </row>
    <row r="15" spans="1:3" x14ac:dyDescent="0.2">
      <c r="A15" s="137" t="s">
        <v>9</v>
      </c>
      <c r="B15" s="67">
        <v>-540141.36</v>
      </c>
      <c r="C15" s="67">
        <v>-540141.36</v>
      </c>
    </row>
    <row r="16" spans="1:3" x14ac:dyDescent="0.2">
      <c r="A16" s="64" t="s">
        <v>38</v>
      </c>
      <c r="B16" s="67">
        <v>-227442.19</v>
      </c>
      <c r="C16" s="67">
        <v>-227442.19</v>
      </c>
    </row>
    <row r="17" spans="1:3" x14ac:dyDescent="0.2">
      <c r="A17" s="137" t="s">
        <v>16</v>
      </c>
      <c r="B17" s="67">
        <v>64668</v>
      </c>
      <c r="C17" s="67">
        <v>64668</v>
      </c>
    </row>
    <row r="18" spans="1:3" x14ac:dyDescent="0.2">
      <c r="A18" s="137" t="s">
        <v>19</v>
      </c>
      <c r="B18" s="67">
        <v>-292110.19</v>
      </c>
      <c r="C18" s="67">
        <v>-292110.19</v>
      </c>
    </row>
    <row r="19" spans="1:3" x14ac:dyDescent="0.2">
      <c r="A19" s="64" t="s">
        <v>37</v>
      </c>
      <c r="B19" s="67">
        <v>-659</v>
      </c>
      <c r="C19" s="67">
        <v>-659</v>
      </c>
    </row>
    <row r="20" spans="1:3" x14ac:dyDescent="0.2">
      <c r="A20" s="137" t="s">
        <v>12</v>
      </c>
      <c r="B20" s="67">
        <v>-659</v>
      </c>
      <c r="C20" s="67">
        <v>-659</v>
      </c>
    </row>
    <row r="21" spans="1:3" x14ac:dyDescent="0.2">
      <c r="A21" s="64" t="s">
        <v>11</v>
      </c>
      <c r="B21" s="67">
        <v>-635360</v>
      </c>
      <c r="C21" s="67">
        <v>-635360</v>
      </c>
    </row>
    <row r="22" spans="1:3" x14ac:dyDescent="0.2">
      <c r="A22" s="137" t="s">
        <v>16</v>
      </c>
      <c r="B22" s="67">
        <v>100000</v>
      </c>
      <c r="C22" s="67">
        <v>100000</v>
      </c>
    </row>
    <row r="23" spans="1:3" x14ac:dyDescent="0.2">
      <c r="A23" s="137" t="s">
        <v>9</v>
      </c>
      <c r="B23" s="67">
        <v>-735360</v>
      </c>
      <c r="C23" s="67">
        <v>-735360</v>
      </c>
    </row>
    <row r="24" spans="1:3" x14ac:dyDescent="0.2">
      <c r="A24" s="64" t="s">
        <v>32</v>
      </c>
      <c r="B24" s="67">
        <v>465538.29</v>
      </c>
      <c r="C24" s="67">
        <v>465538.29</v>
      </c>
    </row>
    <row r="25" spans="1:3" x14ac:dyDescent="0.2">
      <c r="A25" s="137" t="s">
        <v>16</v>
      </c>
      <c r="B25" s="67">
        <v>465538.29</v>
      </c>
      <c r="C25" s="67">
        <v>465538.29</v>
      </c>
    </row>
    <row r="26" spans="1:3" x14ac:dyDescent="0.2">
      <c r="A26" s="64" t="s">
        <v>14</v>
      </c>
      <c r="B26" s="67">
        <v>881922.6</v>
      </c>
      <c r="C26" s="67">
        <v>881922.6</v>
      </c>
    </row>
    <row r="27" spans="1:3" x14ac:dyDescent="0.2">
      <c r="A27" s="137" t="s">
        <v>17</v>
      </c>
      <c r="B27" s="67">
        <v>881922.6</v>
      </c>
      <c r="C27" s="67">
        <v>881922.6</v>
      </c>
    </row>
    <row r="28" spans="1:3" x14ac:dyDescent="0.2">
      <c r="A28" s="64" t="s">
        <v>224</v>
      </c>
      <c r="B28" s="67">
        <v>-552318.5</v>
      </c>
      <c r="C28" s="67">
        <v>-552318.5</v>
      </c>
    </row>
    <row r="29" spans="1:3" x14ac:dyDescent="0.2">
      <c r="A29" s="137" t="s">
        <v>17</v>
      </c>
      <c r="B29" s="67">
        <v>-552318.5</v>
      </c>
      <c r="C29" s="67">
        <v>-552318.5</v>
      </c>
    </row>
    <row r="30" spans="1:3" x14ac:dyDescent="0.2">
      <c r="A30" s="64" t="s">
        <v>39</v>
      </c>
      <c r="B30" s="67">
        <v>-2105.77</v>
      </c>
      <c r="C30" s="67">
        <v>-2105.77</v>
      </c>
    </row>
    <row r="31" spans="1:3" x14ac:dyDescent="0.2">
      <c r="A31" s="137" t="s">
        <v>19</v>
      </c>
      <c r="B31" s="67">
        <v>-2105.77</v>
      </c>
      <c r="C31" s="67">
        <v>-2105.77</v>
      </c>
    </row>
    <row r="32" spans="1:3" x14ac:dyDescent="0.2">
      <c r="A32" s="64" t="s">
        <v>18</v>
      </c>
      <c r="B32" s="67">
        <v>-1293.75</v>
      </c>
      <c r="C32" s="67">
        <v>-1293.75</v>
      </c>
    </row>
    <row r="33" spans="1:3" x14ac:dyDescent="0.2">
      <c r="A33" s="137" t="s">
        <v>19</v>
      </c>
      <c r="B33" s="67">
        <v>-1293.75</v>
      </c>
      <c r="C33" s="67">
        <v>-1293.75</v>
      </c>
    </row>
    <row r="34" spans="1:3" x14ac:dyDescent="0.2">
      <c r="A34" s="64" t="s">
        <v>220</v>
      </c>
      <c r="B34" s="67">
        <v>-129356.46</v>
      </c>
      <c r="C34" s="67">
        <v>-129356.46</v>
      </c>
    </row>
    <row r="35" spans="1:3" x14ac:dyDescent="0.2">
      <c r="A35" s="137" t="s">
        <v>225</v>
      </c>
      <c r="B35" s="67">
        <v>-129356.46</v>
      </c>
      <c r="C35" s="67">
        <v>-129356.46</v>
      </c>
    </row>
    <row r="36" spans="1:3" x14ac:dyDescent="0.2">
      <c r="A36" s="64" t="s">
        <v>41</v>
      </c>
      <c r="B36" s="67">
        <v>-657554.44000000006</v>
      </c>
      <c r="C36" s="67">
        <v>-657554.44000000006</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dimension ref="A1:C46"/>
  <sheetViews>
    <sheetView zoomScale="80" zoomScaleNormal="80" workbookViewId="0">
      <selection activeCell="B43" sqref="B43"/>
    </sheetView>
  </sheetViews>
  <sheetFormatPr defaultRowHeight="12.75" x14ac:dyDescent="0.2"/>
  <cols>
    <col min="1" max="1" width="31.140625" bestFit="1" customWidth="1"/>
    <col min="2" max="2" width="27.85546875" bestFit="1" customWidth="1"/>
    <col min="3" max="3" width="23.7109375" bestFit="1" customWidth="1"/>
  </cols>
  <sheetData>
    <row r="1" spans="1:3" ht="15.75" customHeight="1" x14ac:dyDescent="0.2">
      <c r="A1" s="199" t="s">
        <v>216</v>
      </c>
      <c r="B1" s="200"/>
      <c r="C1" s="200"/>
    </row>
    <row r="2" spans="1:3" ht="15.75" customHeight="1" x14ac:dyDescent="0.2">
      <c r="A2" s="199" t="s">
        <v>1</v>
      </c>
      <c r="B2" s="200"/>
      <c r="C2" s="200"/>
    </row>
    <row r="3" spans="1:3" ht="15.75" customHeight="1" x14ac:dyDescent="0.2">
      <c r="A3" s="199" t="s">
        <v>2</v>
      </c>
      <c r="B3" s="200"/>
      <c r="C3" s="200"/>
    </row>
    <row r="4" spans="1:3" ht="15.75" customHeight="1" x14ac:dyDescent="0.2">
      <c r="A4" s="199" t="s">
        <v>3</v>
      </c>
      <c r="B4" s="200"/>
      <c r="C4" s="200"/>
    </row>
    <row r="5" spans="1:3" ht="15.75" customHeight="1" x14ac:dyDescent="0.2">
      <c r="A5" s="201">
        <v>45747</v>
      </c>
      <c r="B5" s="200"/>
      <c r="C5" s="200"/>
    </row>
    <row r="7" spans="1:3" x14ac:dyDescent="0.2">
      <c r="A7" s="63" t="s">
        <v>4</v>
      </c>
      <c r="B7" t="s">
        <v>5</v>
      </c>
      <c r="C7" t="s">
        <v>6</v>
      </c>
    </row>
    <row r="8" spans="1:3" x14ac:dyDescent="0.2">
      <c r="A8" s="64" t="s">
        <v>8</v>
      </c>
      <c r="B8" s="67">
        <v>-578195.86</v>
      </c>
      <c r="C8" s="67">
        <v>-578195.86</v>
      </c>
    </row>
    <row r="9" spans="1:3" x14ac:dyDescent="0.2">
      <c r="A9" s="137" t="s">
        <v>16</v>
      </c>
      <c r="B9" s="67">
        <v>-38054.5</v>
      </c>
      <c r="C9" s="67">
        <v>-38054.5</v>
      </c>
    </row>
    <row r="10" spans="1:3" x14ac:dyDescent="0.2">
      <c r="A10" s="137" t="s">
        <v>9</v>
      </c>
      <c r="B10" s="67">
        <v>-540141.36</v>
      </c>
      <c r="C10" s="67">
        <v>-540141.36</v>
      </c>
    </row>
    <row r="11" spans="1:3" x14ac:dyDescent="0.2">
      <c r="A11" s="64" t="s">
        <v>38</v>
      </c>
      <c r="B11" s="67">
        <v>-227442.19</v>
      </c>
      <c r="C11" s="67">
        <v>-227442.19</v>
      </c>
    </row>
    <row r="12" spans="1:3" x14ac:dyDescent="0.2">
      <c r="A12" s="137" t="s">
        <v>16</v>
      </c>
      <c r="B12" s="67">
        <v>64668</v>
      </c>
      <c r="C12" s="67">
        <v>64668</v>
      </c>
    </row>
    <row r="13" spans="1:3" x14ac:dyDescent="0.2">
      <c r="A13" s="137" t="s">
        <v>19</v>
      </c>
      <c r="B13" s="67">
        <v>-292110.19</v>
      </c>
      <c r="C13" s="67">
        <v>-292110.19</v>
      </c>
    </row>
    <row r="14" spans="1:3" x14ac:dyDescent="0.2">
      <c r="A14" s="64" t="s">
        <v>11</v>
      </c>
      <c r="B14" s="67">
        <v>-635360</v>
      </c>
      <c r="C14" s="67">
        <v>-635360</v>
      </c>
    </row>
    <row r="15" spans="1:3" x14ac:dyDescent="0.2">
      <c r="A15" s="137" t="s">
        <v>16</v>
      </c>
      <c r="B15" s="67">
        <v>100000</v>
      </c>
      <c r="C15" s="67">
        <v>100000</v>
      </c>
    </row>
    <row r="16" spans="1:3" x14ac:dyDescent="0.2">
      <c r="A16" s="137" t="s">
        <v>9</v>
      </c>
      <c r="B16" s="67">
        <v>-735360</v>
      </c>
      <c r="C16" s="67">
        <v>-735360</v>
      </c>
    </row>
    <row r="17" spans="1:3" x14ac:dyDescent="0.2">
      <c r="A17" s="64" t="s">
        <v>14</v>
      </c>
      <c r="B17" s="67">
        <v>881922.6</v>
      </c>
      <c r="C17" s="67">
        <v>881922.6</v>
      </c>
    </row>
    <row r="18" spans="1:3" x14ac:dyDescent="0.2">
      <c r="A18" s="137" t="s">
        <v>17</v>
      </c>
      <c r="B18" s="67">
        <v>881922.6</v>
      </c>
      <c r="C18" s="67">
        <v>881922.6</v>
      </c>
    </row>
    <row r="19" spans="1:3" x14ac:dyDescent="0.2">
      <c r="A19" s="64" t="s">
        <v>39</v>
      </c>
      <c r="B19" s="67">
        <v>-2105.77</v>
      </c>
      <c r="C19" s="67">
        <v>-2105.77</v>
      </c>
    </row>
    <row r="20" spans="1:3" x14ac:dyDescent="0.2">
      <c r="A20" s="137" t="s">
        <v>19</v>
      </c>
      <c r="B20" s="67">
        <v>-2105.77</v>
      </c>
      <c r="C20" s="67">
        <v>-2105.77</v>
      </c>
    </row>
    <row r="21" spans="1:3" x14ac:dyDescent="0.2">
      <c r="A21" s="64" t="s">
        <v>18</v>
      </c>
      <c r="B21" s="67">
        <v>-1293.75</v>
      </c>
      <c r="C21" s="67">
        <v>-1293.75</v>
      </c>
    </row>
    <row r="22" spans="1:3" x14ac:dyDescent="0.2">
      <c r="A22" s="137" t="s">
        <v>19</v>
      </c>
      <c r="B22" s="67">
        <v>-1293.75</v>
      </c>
      <c r="C22" s="67">
        <v>-1293.75</v>
      </c>
    </row>
    <row r="23" spans="1:3" x14ac:dyDescent="0.2">
      <c r="A23" s="64" t="s">
        <v>22</v>
      </c>
      <c r="B23" s="67">
        <v>-124729.56</v>
      </c>
      <c r="C23" s="67">
        <v>-124729.56</v>
      </c>
    </row>
    <row r="24" spans="1:3" x14ac:dyDescent="0.2">
      <c r="A24" s="137" t="s">
        <v>16</v>
      </c>
      <c r="B24" s="67">
        <v>-124729.56</v>
      </c>
      <c r="C24" s="67">
        <v>-124729.56</v>
      </c>
    </row>
    <row r="25" spans="1:3" x14ac:dyDescent="0.2">
      <c r="A25" s="64" t="s">
        <v>41</v>
      </c>
      <c r="B25" s="67">
        <v>-687204.53</v>
      </c>
      <c r="C25" s="67">
        <v>-687204.53</v>
      </c>
    </row>
    <row r="40" spans="1:2" x14ac:dyDescent="0.2">
      <c r="A40" s="6" t="s">
        <v>7</v>
      </c>
      <c r="B40" s="178">
        <f>GETPIVOTDATA("Sum of Functional Amount",$A$7)</f>
        <v>-687204.53</v>
      </c>
    </row>
    <row r="41" spans="1:2" x14ac:dyDescent="0.2">
      <c r="A41" s="6"/>
      <c r="B41" s="178"/>
    </row>
    <row r="42" spans="1:2" x14ac:dyDescent="0.2">
      <c r="A42" s="6" t="s">
        <v>10</v>
      </c>
      <c r="B42" s="178">
        <v>-628826.53</v>
      </c>
    </row>
    <row r="43" spans="1:2" x14ac:dyDescent="0.2">
      <c r="A43" s="6"/>
      <c r="B43" s="178"/>
    </row>
    <row r="44" spans="1:2" x14ac:dyDescent="0.2">
      <c r="A44" s="6" t="s">
        <v>13</v>
      </c>
      <c r="B44" s="178">
        <f>B40-B42</f>
        <v>-58378</v>
      </c>
    </row>
    <row r="45" spans="1:2" x14ac:dyDescent="0.2">
      <c r="A45" s="6"/>
      <c r="B45" s="6"/>
    </row>
    <row r="46" spans="1:2" x14ac:dyDescent="0.2">
      <c r="A46" s="6" t="s">
        <v>15</v>
      </c>
      <c r="B46" s="179">
        <v>45761</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34"/>
  <sheetViews>
    <sheetView zoomScale="80" zoomScaleNormal="80" workbookViewId="0">
      <selection activeCell="E67" sqref="E67"/>
    </sheetView>
  </sheetViews>
  <sheetFormatPr defaultRowHeight="12.75" x14ac:dyDescent="0.2"/>
  <cols>
    <col min="1" max="1" width="31.140625" bestFit="1" customWidth="1"/>
    <col min="2" max="2" width="27.85546875" bestFit="1" customWidth="1"/>
    <col min="3" max="3" width="23.7109375" bestFit="1" customWidth="1"/>
    <col min="5" max="5" width="17" bestFit="1" customWidth="1"/>
    <col min="6" max="6" width="11.85546875" bestFit="1" customWidth="1"/>
  </cols>
  <sheetData>
    <row r="1" spans="1:6" ht="15.75" customHeight="1" x14ac:dyDescent="0.2">
      <c r="A1" s="199" t="s">
        <v>216</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45777</v>
      </c>
      <c r="B5" s="200"/>
      <c r="C5" s="200"/>
    </row>
    <row r="7" spans="1:6" x14ac:dyDescent="0.2">
      <c r="A7" s="180" t="s">
        <v>4</v>
      </c>
      <c r="B7" s="180" t="s">
        <v>5</v>
      </c>
      <c r="C7" s="180" t="s">
        <v>6</v>
      </c>
      <c r="E7" s="6" t="s">
        <v>7</v>
      </c>
      <c r="F7" s="178" t="e">
        <f>GETPIVOTDATA("Sum of Functional Amount",$A$7)</f>
        <v>#REF!</v>
      </c>
    </row>
    <row r="8" spans="1:6" x14ac:dyDescent="0.2">
      <c r="A8" s="181" t="s">
        <v>8</v>
      </c>
      <c r="B8" s="182">
        <v>-578195.86</v>
      </c>
      <c r="C8" s="182">
        <v>-578195.86</v>
      </c>
      <c r="E8" s="6"/>
      <c r="F8" s="178"/>
    </row>
    <row r="9" spans="1:6" x14ac:dyDescent="0.2">
      <c r="A9" s="137" t="s">
        <v>16</v>
      </c>
      <c r="B9" s="67">
        <v>-38054.5</v>
      </c>
      <c r="C9" s="67">
        <v>-38054.5</v>
      </c>
      <c r="E9" s="6" t="s">
        <v>10</v>
      </c>
      <c r="F9" s="178">
        <v>-475136.12</v>
      </c>
    </row>
    <row r="10" spans="1:6" x14ac:dyDescent="0.2">
      <c r="A10" s="137" t="s">
        <v>9</v>
      </c>
      <c r="B10" s="67">
        <v>-540141.36</v>
      </c>
      <c r="C10" s="67">
        <v>-540141.36</v>
      </c>
      <c r="E10" s="6"/>
      <c r="F10" s="178"/>
    </row>
    <row r="11" spans="1:6" x14ac:dyDescent="0.2">
      <c r="A11" s="181" t="s">
        <v>38</v>
      </c>
      <c r="B11" s="182">
        <v>-227442.19</v>
      </c>
      <c r="C11" s="182">
        <v>-227442.19</v>
      </c>
      <c r="E11" s="6" t="s">
        <v>13</v>
      </c>
      <c r="F11" s="178" t="e">
        <f>F7-F9</f>
        <v>#REF!</v>
      </c>
    </row>
    <row r="12" spans="1:6" x14ac:dyDescent="0.2">
      <c r="A12" s="137" t="s">
        <v>16</v>
      </c>
      <c r="B12" s="67">
        <v>64668</v>
      </c>
      <c r="C12" s="67">
        <v>64668</v>
      </c>
      <c r="E12" s="6"/>
      <c r="F12" s="6"/>
    </row>
    <row r="13" spans="1:6" x14ac:dyDescent="0.2">
      <c r="A13" s="137" t="s">
        <v>19</v>
      </c>
      <c r="B13" s="67">
        <v>-292110.19</v>
      </c>
      <c r="C13" s="67">
        <v>-292110.19</v>
      </c>
      <c r="E13" s="6" t="s">
        <v>15</v>
      </c>
      <c r="F13" s="179">
        <v>45791</v>
      </c>
    </row>
    <row r="14" spans="1:6" x14ac:dyDescent="0.2">
      <c r="A14" s="181" t="s">
        <v>11</v>
      </c>
      <c r="B14" s="182">
        <v>-435362</v>
      </c>
      <c r="C14" s="182">
        <v>-435362</v>
      </c>
    </row>
    <row r="15" spans="1:6" x14ac:dyDescent="0.2">
      <c r="A15" s="137" t="s">
        <v>16</v>
      </c>
      <c r="B15" s="67">
        <v>100000</v>
      </c>
      <c r="C15" s="67">
        <v>100000</v>
      </c>
    </row>
    <row r="16" spans="1:6" x14ac:dyDescent="0.2">
      <c r="A16" s="137" t="s">
        <v>12</v>
      </c>
      <c r="B16" s="67">
        <v>199998</v>
      </c>
      <c r="C16" s="67">
        <v>199998</v>
      </c>
    </row>
    <row r="17" spans="1:3" x14ac:dyDescent="0.2">
      <c r="A17" s="137" t="s">
        <v>9</v>
      </c>
      <c r="B17" s="67">
        <v>-735360</v>
      </c>
      <c r="C17" s="67">
        <v>-735360</v>
      </c>
    </row>
    <row r="18" spans="1:3" x14ac:dyDescent="0.2">
      <c r="A18" s="181" t="s">
        <v>14</v>
      </c>
      <c r="B18" s="182">
        <v>881922.6</v>
      </c>
      <c r="C18" s="182">
        <v>881922.6</v>
      </c>
    </row>
    <row r="19" spans="1:3" x14ac:dyDescent="0.2">
      <c r="A19" s="137" t="s">
        <v>17</v>
      </c>
      <c r="B19" s="67">
        <v>881922.6</v>
      </c>
      <c r="C19" s="67">
        <v>881922.6</v>
      </c>
    </row>
    <row r="20" spans="1:3" x14ac:dyDescent="0.2">
      <c r="A20" s="181" t="s">
        <v>224</v>
      </c>
      <c r="B20" s="182">
        <v>-5029.46</v>
      </c>
      <c r="C20" s="182">
        <v>-5029.46</v>
      </c>
    </row>
    <row r="21" spans="1:3" x14ac:dyDescent="0.2">
      <c r="A21" s="137" t="s">
        <v>12</v>
      </c>
      <c r="B21" s="67">
        <v>-5029.46</v>
      </c>
      <c r="C21" s="67">
        <v>-5029.46</v>
      </c>
    </row>
    <row r="22" spans="1:3" x14ac:dyDescent="0.2">
      <c r="A22" s="181" t="s">
        <v>39</v>
      </c>
      <c r="B22" s="182">
        <v>-2105.77</v>
      </c>
      <c r="C22" s="182">
        <v>-2105.77</v>
      </c>
    </row>
    <row r="23" spans="1:3" x14ac:dyDescent="0.2">
      <c r="A23" s="137" t="s">
        <v>19</v>
      </c>
      <c r="B23" s="67">
        <v>-2105.77</v>
      </c>
      <c r="C23" s="67">
        <v>-2105.77</v>
      </c>
    </row>
    <row r="24" spans="1:3" x14ac:dyDescent="0.2">
      <c r="A24" s="181" t="s">
        <v>18</v>
      </c>
      <c r="B24" s="182">
        <v>-1293.75</v>
      </c>
      <c r="C24" s="182">
        <v>-1293.75</v>
      </c>
    </row>
    <row r="25" spans="1:3" x14ac:dyDescent="0.2">
      <c r="A25" s="137" t="s">
        <v>19</v>
      </c>
      <c r="B25" s="67">
        <v>-1293.75</v>
      </c>
      <c r="C25" s="67">
        <v>-1293.75</v>
      </c>
    </row>
    <row r="26" spans="1:3" x14ac:dyDescent="0.2">
      <c r="A26" s="181" t="s">
        <v>22</v>
      </c>
      <c r="B26" s="182">
        <v>-124729.56</v>
      </c>
      <c r="C26" s="182">
        <v>-124729.56</v>
      </c>
    </row>
    <row r="27" spans="1:3" x14ac:dyDescent="0.2">
      <c r="A27" s="137" t="s">
        <v>16</v>
      </c>
      <c r="B27" s="67">
        <v>-124729.56</v>
      </c>
      <c r="C27" s="67">
        <v>-124729.56</v>
      </c>
    </row>
    <row r="28" spans="1:3" x14ac:dyDescent="0.2">
      <c r="A28" s="181" t="s">
        <v>73</v>
      </c>
      <c r="B28" s="182">
        <v>-30685.22</v>
      </c>
      <c r="C28" s="182">
        <v>-30685.22</v>
      </c>
    </row>
    <row r="29" spans="1:3" x14ac:dyDescent="0.2">
      <c r="A29" s="137" t="s">
        <v>12</v>
      </c>
      <c r="B29" s="67">
        <v>-30685.22</v>
      </c>
      <c r="C29" s="67">
        <v>-30685.22</v>
      </c>
    </row>
    <row r="30" spans="1:3" x14ac:dyDescent="0.2">
      <c r="A30" s="181" t="s">
        <v>30</v>
      </c>
      <c r="B30" s="182">
        <v>40087.83</v>
      </c>
      <c r="C30" s="182">
        <v>40087.83</v>
      </c>
    </row>
    <row r="31" spans="1:3" x14ac:dyDescent="0.2">
      <c r="A31" s="137" t="s">
        <v>17</v>
      </c>
      <c r="B31" s="67">
        <v>40087.83</v>
      </c>
      <c r="C31" s="67">
        <v>40087.83</v>
      </c>
    </row>
    <row r="32" spans="1:3" x14ac:dyDescent="0.2">
      <c r="A32" s="181" t="s">
        <v>32</v>
      </c>
      <c r="B32" s="182">
        <v>7697.26</v>
      </c>
      <c r="C32" s="182">
        <v>7697.26</v>
      </c>
    </row>
    <row r="33" spans="1:3" x14ac:dyDescent="0.2">
      <c r="A33" s="137" t="s">
        <v>12</v>
      </c>
      <c r="B33" s="67">
        <v>7697.26</v>
      </c>
      <c r="C33" s="67">
        <v>7697.26</v>
      </c>
    </row>
    <row r="34" spans="1:3" x14ac:dyDescent="0.2">
      <c r="A34" s="183" t="s">
        <v>41</v>
      </c>
      <c r="B34" s="184">
        <v>-475136.12000000011</v>
      </c>
      <c r="C34" s="184">
        <v>-475136.12000000011</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dimension ref="A1:F43"/>
  <sheetViews>
    <sheetView zoomScale="80" zoomScaleNormal="80" workbookViewId="0">
      <selection activeCell="D48" sqref="D48"/>
    </sheetView>
  </sheetViews>
  <sheetFormatPr defaultRowHeight="12.75" x14ac:dyDescent="0.2"/>
  <cols>
    <col min="1" max="1" width="34.85546875" bestFit="1" customWidth="1"/>
    <col min="2" max="2" width="24.42578125" bestFit="1" customWidth="1"/>
    <col min="3" max="3" width="20.5703125" bestFit="1" customWidth="1"/>
    <col min="5" max="5" width="17" bestFit="1" customWidth="1"/>
    <col min="6" max="6" width="13.42578125" bestFit="1" customWidth="1"/>
  </cols>
  <sheetData>
    <row r="1" spans="1:6" ht="15.75" customHeight="1" x14ac:dyDescent="0.2">
      <c r="A1" s="199" t="s">
        <v>216</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45808</v>
      </c>
      <c r="B5" s="200"/>
      <c r="C5" s="200"/>
    </row>
    <row r="7" spans="1:6" x14ac:dyDescent="0.2">
      <c r="A7" s="180" t="s">
        <v>4</v>
      </c>
      <c r="B7" s="180" t="s">
        <v>5</v>
      </c>
      <c r="C7" s="180" t="s">
        <v>6</v>
      </c>
      <c r="E7" s="6" t="s">
        <v>7</v>
      </c>
      <c r="F7" s="178">
        <f>SUMIFS(B8:B143,A8:A143,"Grand Total")</f>
        <v>-1482537.52</v>
      </c>
    </row>
    <row r="8" spans="1:6" x14ac:dyDescent="0.2">
      <c r="A8" s="181" t="s">
        <v>8</v>
      </c>
      <c r="B8" s="182">
        <v>-578195.86</v>
      </c>
      <c r="C8" s="182">
        <v>-578195.86</v>
      </c>
      <c r="E8" s="6"/>
      <c r="F8" s="178"/>
    </row>
    <row r="9" spans="1:6" x14ac:dyDescent="0.2">
      <c r="A9" s="137" t="s">
        <v>16</v>
      </c>
      <c r="B9" s="67">
        <v>-38054.5</v>
      </c>
      <c r="C9" s="67">
        <v>-38054.5</v>
      </c>
      <c r="E9" s="6" t="s">
        <v>10</v>
      </c>
      <c r="F9" s="178">
        <v>-1482537.52</v>
      </c>
    </row>
    <row r="10" spans="1:6" x14ac:dyDescent="0.2">
      <c r="A10" s="137" t="s">
        <v>9</v>
      </c>
      <c r="B10" s="67">
        <v>-540141.36</v>
      </c>
      <c r="C10" s="67">
        <v>-540141.36</v>
      </c>
      <c r="E10" s="6"/>
      <c r="F10" s="178"/>
    </row>
    <row r="11" spans="1:6" ht="13.5" customHeight="1" thickBot="1" x14ac:dyDescent="0.25">
      <c r="A11" s="181" t="s">
        <v>38</v>
      </c>
      <c r="B11" s="182">
        <v>-112410.73</v>
      </c>
      <c r="C11" s="182">
        <v>-112410.73</v>
      </c>
      <c r="E11" s="6" t="s">
        <v>13</v>
      </c>
      <c r="F11" s="190">
        <f>F7-F9</f>
        <v>0</v>
      </c>
    </row>
    <row r="12" spans="1:6" ht="13.5" customHeight="1" thickTop="1" x14ac:dyDescent="0.2">
      <c r="A12" s="137" t="s">
        <v>16</v>
      </c>
      <c r="B12" s="67">
        <v>64668</v>
      </c>
      <c r="C12" s="67">
        <v>64668</v>
      </c>
      <c r="E12" s="6"/>
      <c r="F12" s="6"/>
    </row>
    <row r="13" spans="1:6" x14ac:dyDescent="0.2">
      <c r="A13" s="137" t="s">
        <v>19</v>
      </c>
      <c r="B13" s="67">
        <v>-292110.19</v>
      </c>
      <c r="C13" s="67">
        <v>-292110.19</v>
      </c>
      <c r="E13" s="6" t="s">
        <v>15</v>
      </c>
      <c r="F13" s="179">
        <v>45817</v>
      </c>
    </row>
    <row r="14" spans="1:6" x14ac:dyDescent="0.2">
      <c r="A14" s="137" t="s">
        <v>226</v>
      </c>
      <c r="B14" s="67">
        <v>115031.46</v>
      </c>
      <c r="C14" s="67">
        <v>115031.46</v>
      </c>
    </row>
    <row r="15" spans="1:6" x14ac:dyDescent="0.2">
      <c r="A15" s="181" t="s">
        <v>11</v>
      </c>
      <c r="B15" s="182">
        <v>-635360</v>
      </c>
      <c r="C15" s="182">
        <v>-635360</v>
      </c>
    </row>
    <row r="16" spans="1:6" x14ac:dyDescent="0.2">
      <c r="A16" s="137" t="s">
        <v>16</v>
      </c>
      <c r="B16" s="67">
        <v>100000</v>
      </c>
      <c r="C16" s="67">
        <v>100000</v>
      </c>
    </row>
    <row r="17" spans="1:3" x14ac:dyDescent="0.2">
      <c r="A17" s="137" t="s">
        <v>12</v>
      </c>
      <c r="B17" s="67">
        <v>0</v>
      </c>
      <c r="C17" s="67">
        <v>0</v>
      </c>
    </row>
    <row r="18" spans="1:3" x14ac:dyDescent="0.2">
      <c r="A18" s="137" t="s">
        <v>9</v>
      </c>
      <c r="B18" s="67">
        <v>-735360</v>
      </c>
      <c r="C18" s="67">
        <v>-735360</v>
      </c>
    </row>
    <row r="19" spans="1:3" x14ac:dyDescent="0.2">
      <c r="A19" s="137" t="s">
        <v>227</v>
      </c>
      <c r="B19" s="67">
        <v>0</v>
      </c>
      <c r="C19" s="67">
        <v>0</v>
      </c>
    </row>
    <row r="20" spans="1:3" x14ac:dyDescent="0.2">
      <c r="A20" s="181" t="s">
        <v>14</v>
      </c>
      <c r="B20" s="182">
        <v>881922.6</v>
      </c>
      <c r="C20" s="182">
        <v>881922.6</v>
      </c>
    </row>
    <row r="21" spans="1:3" x14ac:dyDescent="0.2">
      <c r="A21" s="137" t="s">
        <v>17</v>
      </c>
      <c r="B21" s="67">
        <v>881922.6</v>
      </c>
      <c r="C21" s="67">
        <v>881922.6</v>
      </c>
    </row>
    <row r="22" spans="1:3" x14ac:dyDescent="0.2">
      <c r="A22" s="181" t="s">
        <v>224</v>
      </c>
      <c r="B22" s="182">
        <v>-1420584.18</v>
      </c>
      <c r="C22" s="182">
        <v>-1420584.18</v>
      </c>
    </row>
    <row r="23" spans="1:3" x14ac:dyDescent="0.2">
      <c r="A23" s="137" t="s">
        <v>16</v>
      </c>
      <c r="B23" s="67">
        <v>-1415554.72</v>
      </c>
      <c r="C23" s="67">
        <v>-1415554.72</v>
      </c>
    </row>
    <row r="24" spans="1:3" x14ac:dyDescent="0.2">
      <c r="A24" s="137" t="s">
        <v>12</v>
      </c>
      <c r="B24" s="67">
        <v>-5029.46</v>
      </c>
      <c r="C24" s="67">
        <v>-5029.46</v>
      </c>
    </row>
    <row r="25" spans="1:3" x14ac:dyDescent="0.2">
      <c r="A25" s="181" t="s">
        <v>39</v>
      </c>
      <c r="B25" s="182">
        <v>-2105.77</v>
      </c>
      <c r="C25" s="182">
        <v>-2105.77</v>
      </c>
    </row>
    <row r="26" spans="1:3" x14ac:dyDescent="0.2">
      <c r="A26" s="137" t="s">
        <v>19</v>
      </c>
      <c r="B26" s="67">
        <v>-2105.77</v>
      </c>
      <c r="C26" s="67">
        <v>-2105.77</v>
      </c>
    </row>
    <row r="27" spans="1:3" x14ac:dyDescent="0.2">
      <c r="A27" s="181" t="s">
        <v>18</v>
      </c>
      <c r="B27" s="182">
        <v>-2587.5</v>
      </c>
      <c r="C27" s="182">
        <v>-2587.5</v>
      </c>
    </row>
    <row r="28" spans="1:3" x14ac:dyDescent="0.2">
      <c r="A28" s="137" t="s">
        <v>16</v>
      </c>
      <c r="B28" s="67">
        <v>-1293.75</v>
      </c>
      <c r="C28" s="67">
        <v>-1293.75</v>
      </c>
    </row>
    <row r="29" spans="1:3" x14ac:dyDescent="0.2">
      <c r="A29" s="137" t="s">
        <v>19</v>
      </c>
      <c r="B29" s="67">
        <v>-1293.75</v>
      </c>
      <c r="C29" s="67">
        <v>-1293.75</v>
      </c>
    </row>
    <row r="30" spans="1:3" x14ac:dyDescent="0.2">
      <c r="A30" s="181" t="s">
        <v>22</v>
      </c>
      <c r="B30" s="182">
        <v>-124729.56</v>
      </c>
      <c r="C30" s="182">
        <v>-124729.56</v>
      </c>
    </row>
    <row r="31" spans="1:3" x14ac:dyDescent="0.2">
      <c r="A31" s="137" t="s">
        <v>16</v>
      </c>
      <c r="B31" s="67">
        <v>-124729.56</v>
      </c>
      <c r="C31" s="67">
        <v>-124729.56</v>
      </c>
    </row>
    <row r="32" spans="1:3" x14ac:dyDescent="0.2">
      <c r="A32" s="181" t="s">
        <v>73</v>
      </c>
      <c r="B32" s="182">
        <v>1124650.92</v>
      </c>
      <c r="C32" s="182">
        <v>1124650.92</v>
      </c>
    </row>
    <row r="33" spans="1:3" x14ac:dyDescent="0.2">
      <c r="A33" s="137" t="s">
        <v>12</v>
      </c>
      <c r="B33" s="67">
        <v>0</v>
      </c>
      <c r="C33" s="67">
        <v>0</v>
      </c>
    </row>
    <row r="34" spans="1:3" x14ac:dyDescent="0.2">
      <c r="A34" s="137" t="s">
        <v>17</v>
      </c>
      <c r="B34" s="67">
        <v>1124650.92</v>
      </c>
      <c r="C34" s="67">
        <v>1124650.92</v>
      </c>
    </row>
    <row r="35" spans="1:3" x14ac:dyDescent="0.2">
      <c r="A35" s="181" t="s">
        <v>30</v>
      </c>
      <c r="B35" s="182">
        <v>0</v>
      </c>
      <c r="C35" s="182">
        <v>0</v>
      </c>
    </row>
    <row r="36" spans="1:3" x14ac:dyDescent="0.2">
      <c r="A36" s="137" t="s">
        <v>17</v>
      </c>
      <c r="B36" s="67">
        <v>0</v>
      </c>
      <c r="C36" s="67">
        <v>0</v>
      </c>
    </row>
    <row r="37" spans="1:3" x14ac:dyDescent="0.2">
      <c r="A37" s="181" t="s">
        <v>32</v>
      </c>
      <c r="B37" s="182">
        <v>0</v>
      </c>
      <c r="C37" s="182">
        <v>0</v>
      </c>
    </row>
    <row r="38" spans="1:3" x14ac:dyDescent="0.2">
      <c r="A38" s="137" t="s">
        <v>12</v>
      </c>
      <c r="B38" s="67">
        <v>0</v>
      </c>
      <c r="C38" s="67">
        <v>0</v>
      </c>
    </row>
    <row r="39" spans="1:3" x14ac:dyDescent="0.2">
      <c r="A39" s="181" t="s">
        <v>23</v>
      </c>
      <c r="B39" s="182">
        <v>-613137.44000000006</v>
      </c>
      <c r="C39" s="182">
        <v>-613137.44000000006</v>
      </c>
    </row>
    <row r="40" spans="1:3" x14ac:dyDescent="0.2">
      <c r="A40" s="137" t="s">
        <v>16</v>
      </c>
      <c r="B40" s="67">
        <v>-613137.44000000006</v>
      </c>
      <c r="C40" s="67">
        <v>-613137.44000000006</v>
      </c>
    </row>
    <row r="41" spans="1:3" x14ac:dyDescent="0.2">
      <c r="A41" s="181" t="s">
        <v>78</v>
      </c>
      <c r="B41" s="182"/>
      <c r="C41" s="182"/>
    </row>
    <row r="42" spans="1:3" x14ac:dyDescent="0.2">
      <c r="A42" s="137" t="s">
        <v>78</v>
      </c>
      <c r="B42" s="67"/>
      <c r="C42" s="67"/>
    </row>
    <row r="43" spans="1:3" x14ac:dyDescent="0.2">
      <c r="A43" s="183" t="s">
        <v>41</v>
      </c>
      <c r="B43" s="184">
        <v>-1482537.52</v>
      </c>
      <c r="C43" s="184">
        <v>-1482537.52</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8"/>
  <dimension ref="A1:F39"/>
  <sheetViews>
    <sheetView zoomScale="80" zoomScaleNormal="80" workbookViewId="0">
      <selection activeCell="F9" sqref="F9"/>
    </sheetView>
  </sheetViews>
  <sheetFormatPr defaultRowHeight="12.75" x14ac:dyDescent="0.2"/>
  <cols>
    <col min="1" max="1" width="34.85546875" bestFit="1" customWidth="1"/>
    <col min="2" max="2" width="24.42578125" bestFit="1" customWidth="1"/>
    <col min="3" max="3" width="20.5703125" bestFit="1" customWidth="1"/>
    <col min="5" max="5" width="17" bestFit="1" customWidth="1"/>
    <col min="6" max="6" width="13.42578125" bestFit="1" customWidth="1"/>
  </cols>
  <sheetData>
    <row r="1" spans="1:6" ht="15.75" customHeight="1" x14ac:dyDescent="0.2">
      <c r="A1" s="199" t="s">
        <v>216</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45838</v>
      </c>
      <c r="B5" s="200"/>
      <c r="C5" s="200"/>
    </row>
    <row r="7" spans="1:6" x14ac:dyDescent="0.2">
      <c r="A7" s="63" t="s">
        <v>4</v>
      </c>
      <c r="B7" t="s">
        <v>5</v>
      </c>
      <c r="C7" t="s">
        <v>6</v>
      </c>
      <c r="E7" s="6" t="s">
        <v>7</v>
      </c>
      <c r="F7" s="178">
        <f>SUMIFS(B8:B143,A8:A143,"Grand Total")</f>
        <v>-974487.28000000014</v>
      </c>
    </row>
    <row r="8" spans="1:6" x14ac:dyDescent="0.2">
      <c r="A8" s="64" t="s">
        <v>8</v>
      </c>
      <c r="B8" s="67">
        <v>-578195.86</v>
      </c>
      <c r="C8" s="67">
        <v>-578195.86</v>
      </c>
      <c r="E8" s="6"/>
      <c r="F8" s="178"/>
    </row>
    <row r="9" spans="1:6" x14ac:dyDescent="0.2">
      <c r="A9" s="137" t="s">
        <v>16</v>
      </c>
      <c r="B9" s="67">
        <v>-38054.5</v>
      </c>
      <c r="C9" s="67">
        <v>-38054.5</v>
      </c>
      <c r="E9" s="6" t="s">
        <v>10</v>
      </c>
      <c r="F9" s="178">
        <v>-974487.28</v>
      </c>
    </row>
    <row r="10" spans="1:6" x14ac:dyDescent="0.2">
      <c r="A10" s="137" t="s">
        <v>9</v>
      </c>
      <c r="B10" s="67">
        <v>-540141.36</v>
      </c>
      <c r="C10" s="67">
        <v>-540141.36</v>
      </c>
      <c r="E10" s="6"/>
      <c r="F10" s="178"/>
    </row>
    <row r="11" spans="1:6" ht="13.5" customHeight="1" thickBot="1" x14ac:dyDescent="0.25">
      <c r="A11" s="64" t="s">
        <v>38</v>
      </c>
      <c r="B11" s="67">
        <v>-227442.19</v>
      </c>
      <c r="C11" s="67">
        <v>-227442.19</v>
      </c>
      <c r="E11" s="6" t="s">
        <v>13</v>
      </c>
      <c r="F11" s="190">
        <f>F7-F9</f>
        <v>0</v>
      </c>
    </row>
    <row r="12" spans="1:6" ht="13.5" customHeight="1" thickTop="1" x14ac:dyDescent="0.2">
      <c r="A12" s="137" t="s">
        <v>16</v>
      </c>
      <c r="B12" s="67">
        <v>64668</v>
      </c>
      <c r="C12" s="67">
        <v>64668</v>
      </c>
      <c r="E12" s="6"/>
      <c r="F12" s="6"/>
    </row>
    <row r="13" spans="1:6" x14ac:dyDescent="0.2">
      <c r="A13" s="137" t="s">
        <v>19</v>
      </c>
      <c r="B13" s="67">
        <v>-292110.19</v>
      </c>
      <c r="C13" s="67">
        <v>-292110.19</v>
      </c>
      <c r="E13" s="6" t="s">
        <v>15</v>
      </c>
      <c r="F13" s="179">
        <v>45848</v>
      </c>
    </row>
    <row r="14" spans="1:6" x14ac:dyDescent="0.2">
      <c r="A14" s="137" t="s">
        <v>226</v>
      </c>
      <c r="B14" s="67">
        <v>0</v>
      </c>
      <c r="C14" s="67">
        <v>0</v>
      </c>
    </row>
    <row r="15" spans="1:6" x14ac:dyDescent="0.2">
      <c r="A15" s="64" t="s">
        <v>11</v>
      </c>
      <c r="B15" s="67">
        <v>-635360</v>
      </c>
      <c r="C15" s="67">
        <v>-635360</v>
      </c>
    </row>
    <row r="16" spans="1:6" x14ac:dyDescent="0.2">
      <c r="A16" s="137" t="s">
        <v>16</v>
      </c>
      <c r="B16" s="67">
        <v>100000</v>
      </c>
      <c r="C16" s="67">
        <v>100000</v>
      </c>
    </row>
    <row r="17" spans="1:3" x14ac:dyDescent="0.2">
      <c r="A17" s="137" t="s">
        <v>9</v>
      </c>
      <c r="B17" s="67">
        <v>-735360</v>
      </c>
      <c r="C17" s="67">
        <v>-735360</v>
      </c>
    </row>
    <row r="18" spans="1:3" x14ac:dyDescent="0.2">
      <c r="A18" s="64" t="s">
        <v>14</v>
      </c>
      <c r="B18" s="67">
        <v>736168.79999999993</v>
      </c>
      <c r="C18" s="67">
        <v>736168.79999999993</v>
      </c>
    </row>
    <row r="19" spans="1:3" x14ac:dyDescent="0.2">
      <c r="A19" s="137" t="s">
        <v>16</v>
      </c>
      <c r="B19" s="67">
        <v>-145753.79999999999</v>
      </c>
      <c r="C19" s="67">
        <v>-145753.79999999999</v>
      </c>
    </row>
    <row r="20" spans="1:3" x14ac:dyDescent="0.2">
      <c r="A20" s="137" t="s">
        <v>17</v>
      </c>
      <c r="B20" s="67">
        <v>881922.6</v>
      </c>
      <c r="C20" s="67">
        <v>881922.6</v>
      </c>
    </row>
    <row r="21" spans="1:3" x14ac:dyDescent="0.2">
      <c r="A21" s="64" t="s">
        <v>224</v>
      </c>
      <c r="B21" s="67">
        <v>-649632.75999999989</v>
      </c>
      <c r="C21" s="67">
        <v>-649632.75999999989</v>
      </c>
    </row>
    <row r="22" spans="1:3" x14ac:dyDescent="0.2">
      <c r="A22" s="137" t="s">
        <v>16</v>
      </c>
      <c r="B22" s="67">
        <v>-644603.29999999993</v>
      </c>
      <c r="C22" s="67">
        <v>-644603.29999999993</v>
      </c>
    </row>
    <row r="23" spans="1:3" x14ac:dyDescent="0.2">
      <c r="A23" s="137" t="s">
        <v>12</v>
      </c>
      <c r="B23" s="67">
        <v>-5029.46</v>
      </c>
      <c r="C23" s="67">
        <v>-5029.46</v>
      </c>
    </row>
    <row r="24" spans="1:3" x14ac:dyDescent="0.2">
      <c r="A24" s="64" t="s">
        <v>39</v>
      </c>
      <c r="B24" s="67">
        <v>-2105.77</v>
      </c>
      <c r="C24" s="67">
        <v>-2105.77</v>
      </c>
    </row>
    <row r="25" spans="1:3" x14ac:dyDescent="0.2">
      <c r="A25" s="137" t="s">
        <v>19</v>
      </c>
      <c r="B25" s="67">
        <v>-2105.77</v>
      </c>
      <c r="C25" s="67">
        <v>-2105.77</v>
      </c>
    </row>
    <row r="26" spans="1:3" x14ac:dyDescent="0.2">
      <c r="A26" s="64" t="s">
        <v>18</v>
      </c>
      <c r="B26" s="67">
        <v>-2587.5</v>
      </c>
      <c r="C26" s="67">
        <v>-2587.5</v>
      </c>
    </row>
    <row r="27" spans="1:3" x14ac:dyDescent="0.2">
      <c r="A27" s="137" t="s">
        <v>16</v>
      </c>
      <c r="B27" s="67">
        <v>-1293.75</v>
      </c>
      <c r="C27" s="67">
        <v>-1293.75</v>
      </c>
    </row>
    <row r="28" spans="1:3" x14ac:dyDescent="0.2">
      <c r="A28" s="137" t="s">
        <v>19</v>
      </c>
      <c r="B28" s="67">
        <v>-1293.75</v>
      </c>
      <c r="C28" s="67">
        <v>-1293.75</v>
      </c>
    </row>
    <row r="29" spans="1:3" x14ac:dyDescent="0.2">
      <c r="A29" s="64" t="s">
        <v>22</v>
      </c>
      <c r="B29" s="67">
        <v>-124729.56</v>
      </c>
      <c r="C29" s="67">
        <v>-124729.56</v>
      </c>
    </row>
    <row r="30" spans="1:3" x14ac:dyDescent="0.2">
      <c r="A30" s="137" t="s">
        <v>16</v>
      </c>
      <c r="B30" s="67">
        <v>-124729.56</v>
      </c>
      <c r="C30" s="67">
        <v>-124729.56</v>
      </c>
    </row>
    <row r="31" spans="1:3" x14ac:dyDescent="0.2">
      <c r="A31" s="64" t="s">
        <v>73</v>
      </c>
      <c r="B31" s="67">
        <v>1124650.92</v>
      </c>
      <c r="C31" s="67">
        <v>1124650.92</v>
      </c>
    </row>
    <row r="32" spans="1:3" x14ac:dyDescent="0.2">
      <c r="A32" s="137" t="s">
        <v>17</v>
      </c>
      <c r="B32" s="67">
        <v>1124650.92</v>
      </c>
      <c r="C32" s="67">
        <v>1124650.92</v>
      </c>
    </row>
    <row r="33" spans="1:3" x14ac:dyDescent="0.2">
      <c r="A33" s="64" t="s">
        <v>23</v>
      </c>
      <c r="B33" s="67">
        <v>-613137.44000000006</v>
      </c>
      <c r="C33" s="67">
        <v>-613137.44000000006</v>
      </c>
    </row>
    <row r="34" spans="1:3" x14ac:dyDescent="0.2">
      <c r="A34" s="137" t="s">
        <v>16</v>
      </c>
      <c r="B34" s="67">
        <v>-613137.44000000006</v>
      </c>
      <c r="C34" s="67">
        <v>-613137.44000000006</v>
      </c>
    </row>
    <row r="35" spans="1:3" x14ac:dyDescent="0.2">
      <c r="A35" s="64" t="s">
        <v>78</v>
      </c>
      <c r="B35" s="67"/>
      <c r="C35" s="67"/>
    </row>
    <row r="36" spans="1:3" x14ac:dyDescent="0.2">
      <c r="A36" s="137" t="s">
        <v>78</v>
      </c>
      <c r="B36" s="67"/>
      <c r="C36" s="67"/>
    </row>
    <row r="37" spans="1:3" x14ac:dyDescent="0.2">
      <c r="A37" s="64" t="s">
        <v>228</v>
      </c>
      <c r="B37" s="67">
        <v>-2115.919999999925</v>
      </c>
      <c r="C37" s="67">
        <v>-2115.919999999925</v>
      </c>
    </row>
    <row r="38" spans="1:3" x14ac:dyDescent="0.2">
      <c r="A38" s="137" t="s">
        <v>12</v>
      </c>
      <c r="B38" s="67">
        <v>-2115.919999999925</v>
      </c>
      <c r="C38" s="67">
        <v>-2115.919999999925</v>
      </c>
    </row>
    <row r="39" spans="1:3" x14ac:dyDescent="0.2">
      <c r="A39" s="64" t="s">
        <v>41</v>
      </c>
      <c r="B39" s="67">
        <v>-974487.28000000014</v>
      </c>
      <c r="C39" s="67">
        <v>-974487.28000000014</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9"/>
  <dimension ref="A1:F41"/>
  <sheetViews>
    <sheetView zoomScale="80" zoomScaleNormal="80" workbookViewId="0">
      <selection activeCell="A5" sqref="A5:C5"/>
    </sheetView>
  </sheetViews>
  <sheetFormatPr defaultRowHeight="12.75" x14ac:dyDescent="0.2"/>
  <cols>
    <col min="1" max="1" width="31.140625" bestFit="1" customWidth="1"/>
    <col min="2" max="2" width="27.85546875" bestFit="1" customWidth="1"/>
    <col min="3" max="3" width="23.7109375" bestFit="1" customWidth="1"/>
    <col min="5" max="5" width="17" bestFit="1" customWidth="1"/>
    <col min="6" max="6" width="13.42578125" bestFit="1" customWidth="1"/>
  </cols>
  <sheetData>
    <row r="1" spans="1:6" ht="15.75" customHeight="1" x14ac:dyDescent="0.2">
      <c r="A1" s="199" t="s">
        <v>216</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45869</v>
      </c>
      <c r="B5" s="200"/>
      <c r="C5" s="200"/>
    </row>
    <row r="7" spans="1:6" x14ac:dyDescent="0.2">
      <c r="A7" s="63" t="s">
        <v>4</v>
      </c>
      <c r="B7" t="s">
        <v>5</v>
      </c>
      <c r="C7" t="s">
        <v>6</v>
      </c>
      <c r="E7" s="6" t="s">
        <v>7</v>
      </c>
      <c r="F7" s="178">
        <f>SUMIFS(B8:B143,A8:A143,"Grand Total")</f>
        <v>-231432.3500000003</v>
      </c>
    </row>
    <row r="8" spans="1:6" x14ac:dyDescent="0.2">
      <c r="A8" s="64" t="s">
        <v>8</v>
      </c>
      <c r="B8" s="67">
        <v>-578195.86</v>
      </c>
      <c r="C8" s="67">
        <v>-578195.86</v>
      </c>
      <c r="E8" s="6"/>
      <c r="F8" s="178"/>
    </row>
    <row r="9" spans="1:6" x14ac:dyDescent="0.2">
      <c r="A9" s="137" t="s">
        <v>16</v>
      </c>
      <c r="B9" s="67">
        <v>-38054.5</v>
      </c>
      <c r="C9" s="67">
        <v>-38054.5</v>
      </c>
      <c r="E9" s="6" t="s">
        <v>10</v>
      </c>
      <c r="F9" s="178">
        <v>-231432.35</v>
      </c>
    </row>
    <row r="10" spans="1:6" x14ac:dyDescent="0.2">
      <c r="A10" s="137" t="s">
        <v>9</v>
      </c>
      <c r="B10" s="67">
        <v>-540141.36</v>
      </c>
      <c r="C10" s="67">
        <v>-540141.36</v>
      </c>
      <c r="E10" s="6"/>
      <c r="F10" s="178"/>
    </row>
    <row r="11" spans="1:6" ht="13.5" customHeight="1" thickBot="1" x14ac:dyDescent="0.25">
      <c r="A11" s="64" t="s">
        <v>38</v>
      </c>
      <c r="B11" s="67">
        <v>-227442.19</v>
      </c>
      <c r="C11" s="67">
        <v>-227442.19</v>
      </c>
      <c r="E11" s="6" t="s">
        <v>13</v>
      </c>
      <c r="F11" s="190">
        <f>F7-F9</f>
        <v>-2.9103830456733704E-10</v>
      </c>
    </row>
    <row r="12" spans="1:6" ht="13.5" customHeight="1" thickTop="1" x14ac:dyDescent="0.2">
      <c r="A12" s="137" t="s">
        <v>16</v>
      </c>
      <c r="B12" s="67">
        <v>64668</v>
      </c>
      <c r="C12" s="67">
        <v>64668</v>
      </c>
      <c r="E12" s="6"/>
      <c r="F12" s="6"/>
    </row>
    <row r="13" spans="1:6" x14ac:dyDescent="0.2">
      <c r="A13" s="137" t="s">
        <v>19</v>
      </c>
      <c r="B13" s="67">
        <v>-292110.19</v>
      </c>
      <c r="C13" s="67">
        <v>-292110.19</v>
      </c>
      <c r="E13" s="6" t="s">
        <v>15</v>
      </c>
      <c r="F13" s="179">
        <v>45883</v>
      </c>
    </row>
    <row r="14" spans="1:6" x14ac:dyDescent="0.2">
      <c r="A14" s="64" t="s">
        <v>11</v>
      </c>
      <c r="B14" s="67">
        <v>388962.88</v>
      </c>
      <c r="C14" s="67">
        <v>388962.88</v>
      </c>
    </row>
    <row r="15" spans="1:6" x14ac:dyDescent="0.2">
      <c r="A15" s="137" t="s">
        <v>16</v>
      </c>
      <c r="B15" s="67">
        <v>100000</v>
      </c>
      <c r="C15" s="67">
        <v>100000</v>
      </c>
    </row>
    <row r="16" spans="1:6" x14ac:dyDescent="0.2">
      <c r="A16" s="137" t="s">
        <v>12</v>
      </c>
      <c r="B16" s="67">
        <v>779202.88</v>
      </c>
      <c r="C16" s="67">
        <v>779202.88</v>
      </c>
    </row>
    <row r="17" spans="1:3" x14ac:dyDescent="0.2">
      <c r="A17" s="137" t="s">
        <v>9</v>
      </c>
      <c r="B17" s="67">
        <v>-490240</v>
      </c>
      <c r="C17" s="67">
        <v>-490240</v>
      </c>
    </row>
    <row r="18" spans="1:3" x14ac:dyDescent="0.2">
      <c r="A18" s="64" t="s">
        <v>14</v>
      </c>
      <c r="B18" s="67">
        <v>736168.79999999993</v>
      </c>
      <c r="C18" s="67">
        <v>736168.79999999993</v>
      </c>
    </row>
    <row r="19" spans="1:3" x14ac:dyDescent="0.2">
      <c r="A19" s="137" t="s">
        <v>16</v>
      </c>
      <c r="B19" s="67">
        <v>-145753.79999999999</v>
      </c>
      <c r="C19" s="67">
        <v>-145753.79999999999</v>
      </c>
    </row>
    <row r="20" spans="1:3" x14ac:dyDescent="0.2">
      <c r="A20" s="137" t="s">
        <v>17</v>
      </c>
      <c r="B20" s="67">
        <v>881922.6</v>
      </c>
      <c r="C20" s="67">
        <v>881922.6</v>
      </c>
    </row>
    <row r="21" spans="1:3" x14ac:dyDescent="0.2">
      <c r="A21" s="64" t="s">
        <v>224</v>
      </c>
      <c r="B21" s="67">
        <v>-649632.76</v>
      </c>
      <c r="C21" s="67">
        <v>-649632.76</v>
      </c>
    </row>
    <row r="22" spans="1:3" x14ac:dyDescent="0.2">
      <c r="A22" s="137" t="s">
        <v>16</v>
      </c>
      <c r="B22" s="67">
        <v>-644603.30000000005</v>
      </c>
      <c r="C22" s="67">
        <v>-644603.30000000005</v>
      </c>
    </row>
    <row r="23" spans="1:3" x14ac:dyDescent="0.2">
      <c r="A23" s="137" t="s">
        <v>12</v>
      </c>
      <c r="B23" s="67">
        <v>-5029.46</v>
      </c>
      <c r="C23" s="67">
        <v>-5029.46</v>
      </c>
    </row>
    <row r="24" spans="1:3" x14ac:dyDescent="0.2">
      <c r="A24" s="64" t="s">
        <v>39</v>
      </c>
      <c r="B24" s="67">
        <v>-2105.77</v>
      </c>
      <c r="C24" s="67">
        <v>-2105.77</v>
      </c>
    </row>
    <row r="25" spans="1:3" x14ac:dyDescent="0.2">
      <c r="A25" s="137" t="s">
        <v>19</v>
      </c>
      <c r="B25" s="67">
        <v>-2105.77</v>
      </c>
      <c r="C25" s="67">
        <v>-2105.77</v>
      </c>
    </row>
    <row r="26" spans="1:3" x14ac:dyDescent="0.2">
      <c r="A26" s="64" t="s">
        <v>18</v>
      </c>
      <c r="B26" s="67">
        <v>-2587.5</v>
      </c>
      <c r="C26" s="67">
        <v>-2587.5</v>
      </c>
    </row>
    <row r="27" spans="1:3" x14ac:dyDescent="0.2">
      <c r="A27" s="137" t="s">
        <v>16</v>
      </c>
      <c r="B27" s="67">
        <v>-1293.75</v>
      </c>
      <c r="C27" s="67">
        <v>-1293.75</v>
      </c>
    </row>
    <row r="28" spans="1:3" x14ac:dyDescent="0.2">
      <c r="A28" s="137" t="s">
        <v>19</v>
      </c>
      <c r="B28" s="67">
        <v>-1293.75</v>
      </c>
      <c r="C28" s="67">
        <v>-1293.75</v>
      </c>
    </row>
    <row r="29" spans="1:3" x14ac:dyDescent="0.2">
      <c r="A29" s="64" t="s">
        <v>22</v>
      </c>
      <c r="B29" s="67">
        <v>-124729.56</v>
      </c>
      <c r="C29" s="67">
        <v>-124729.56</v>
      </c>
    </row>
    <row r="30" spans="1:3" x14ac:dyDescent="0.2">
      <c r="A30" s="137" t="s">
        <v>16</v>
      </c>
      <c r="B30" s="67">
        <v>-124729.56</v>
      </c>
      <c r="C30" s="67">
        <v>-124729.56</v>
      </c>
    </row>
    <row r="31" spans="1:3" x14ac:dyDescent="0.2">
      <c r="A31" s="64" t="s">
        <v>73</v>
      </c>
      <c r="B31" s="67">
        <v>1124650.92</v>
      </c>
      <c r="C31" s="67">
        <v>1124650.92</v>
      </c>
    </row>
    <row r="32" spans="1:3" x14ac:dyDescent="0.2">
      <c r="A32" s="137" t="s">
        <v>17</v>
      </c>
      <c r="B32" s="67">
        <v>1124650.92</v>
      </c>
      <c r="C32" s="67">
        <v>1124650.92</v>
      </c>
    </row>
    <row r="33" spans="1:3" x14ac:dyDescent="0.2">
      <c r="A33" s="64" t="s">
        <v>23</v>
      </c>
      <c r="B33" s="67">
        <v>-613137.44000000006</v>
      </c>
      <c r="C33" s="67">
        <v>-613137.44000000006</v>
      </c>
    </row>
    <row r="34" spans="1:3" x14ac:dyDescent="0.2">
      <c r="A34" s="137" t="s">
        <v>16</v>
      </c>
      <c r="B34" s="67">
        <v>-613137.44000000006</v>
      </c>
      <c r="C34" s="67">
        <v>-613137.44000000006</v>
      </c>
    </row>
    <row r="35" spans="1:3" x14ac:dyDescent="0.2">
      <c r="A35" s="64" t="s">
        <v>228</v>
      </c>
      <c r="B35" s="67">
        <v>-12903.85999999993</v>
      </c>
      <c r="C35" s="67">
        <v>-12903.85999999993</v>
      </c>
    </row>
    <row r="36" spans="1:3" x14ac:dyDescent="0.2">
      <c r="A36" s="137" t="s">
        <v>12</v>
      </c>
      <c r="B36" s="67">
        <v>-12903.85999999993</v>
      </c>
      <c r="C36" s="67">
        <v>-12903.85999999993</v>
      </c>
    </row>
    <row r="37" spans="1:3" x14ac:dyDescent="0.2">
      <c r="A37" s="64" t="s">
        <v>40</v>
      </c>
      <c r="B37" s="67">
        <v>-9928.0300000000007</v>
      </c>
      <c r="C37" s="67">
        <v>-9928.0300000000007</v>
      </c>
    </row>
    <row r="38" spans="1:3" x14ac:dyDescent="0.2">
      <c r="A38" s="137" t="s">
        <v>12</v>
      </c>
      <c r="B38" s="67">
        <v>-9928.0300000000007</v>
      </c>
      <c r="C38" s="67">
        <v>-9928.0300000000007</v>
      </c>
    </row>
    <row r="39" spans="1:3" x14ac:dyDescent="0.2">
      <c r="A39" s="64" t="s">
        <v>37</v>
      </c>
      <c r="B39" s="67">
        <v>-260551.98</v>
      </c>
      <c r="C39" s="67">
        <v>-260551.98</v>
      </c>
    </row>
    <row r="40" spans="1:3" x14ac:dyDescent="0.2">
      <c r="A40" s="137" t="s">
        <v>16</v>
      </c>
      <c r="B40" s="67">
        <v>-260551.98</v>
      </c>
      <c r="C40" s="67">
        <v>-260551.98</v>
      </c>
    </row>
    <row r="41" spans="1:3" x14ac:dyDescent="0.2">
      <c r="A41" s="64" t="s">
        <v>41</v>
      </c>
      <c r="B41" s="67">
        <v>-231432.3500000003</v>
      </c>
      <c r="C41" s="67">
        <v>-231432.3500000003</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zoomScale="80" zoomScaleNormal="80" workbookViewId="0">
      <selection activeCell="F14" sqref="F14"/>
    </sheetView>
  </sheetViews>
  <sheetFormatPr defaultRowHeight="12.75" x14ac:dyDescent="0.2"/>
  <cols>
    <col min="1" max="1" width="33.42578125" bestFit="1" customWidth="1"/>
    <col min="2" max="2" width="27.85546875" bestFit="1" customWidth="1"/>
    <col min="3" max="3" width="23.7109375" bestFit="1" customWidth="1"/>
    <col min="5" max="5" width="17" bestFit="1" customWidth="1"/>
    <col min="6" max="6" width="13.42578125" bestFit="1" customWidth="1"/>
  </cols>
  <sheetData>
    <row r="1" spans="1:6" ht="15.75" customHeight="1" x14ac:dyDescent="0.2">
      <c r="A1" s="199" t="s">
        <v>216</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46081</v>
      </c>
      <c r="B5" s="200"/>
      <c r="C5" s="200"/>
    </row>
    <row r="7" spans="1:6" x14ac:dyDescent="0.2">
      <c r="A7" s="63" t="s">
        <v>4</v>
      </c>
      <c r="B7" t="s">
        <v>5</v>
      </c>
      <c r="C7" t="s">
        <v>6</v>
      </c>
      <c r="E7" s="6" t="s">
        <v>7</v>
      </c>
      <c r="F7" s="178">
        <f>SUMIFS(B8:B143,A8:A143,"Grand Total")</f>
        <v>-200536.45</v>
      </c>
    </row>
    <row r="8" spans="1:6" x14ac:dyDescent="0.2">
      <c r="A8" s="64" t="s">
        <v>8</v>
      </c>
      <c r="B8" s="67">
        <v>-360094.24</v>
      </c>
      <c r="C8" s="67">
        <v>-360094.24</v>
      </c>
      <c r="E8" s="6"/>
      <c r="F8" s="178"/>
    </row>
    <row r="9" spans="1:6" x14ac:dyDescent="0.2">
      <c r="A9" s="137" t="s">
        <v>9</v>
      </c>
      <c r="B9" s="67">
        <v>-360094.24</v>
      </c>
      <c r="C9" s="67">
        <v>-360094.24</v>
      </c>
      <c r="E9" s="6" t="s">
        <v>10</v>
      </c>
      <c r="F9" s="178">
        <v>-471599.97</v>
      </c>
    </row>
    <row r="10" spans="1:6" x14ac:dyDescent="0.2">
      <c r="A10" s="64" t="s">
        <v>11</v>
      </c>
      <c r="B10" s="67">
        <v>-346579</v>
      </c>
      <c r="C10" s="67">
        <v>-346579</v>
      </c>
      <c r="E10" s="6"/>
      <c r="F10" s="178"/>
    </row>
    <row r="11" spans="1:6" ht="13.5" customHeight="1" thickBot="1" x14ac:dyDescent="0.25">
      <c r="A11" s="137" t="s">
        <v>12</v>
      </c>
      <c r="B11" s="67">
        <v>143661</v>
      </c>
      <c r="C11" s="67">
        <v>143661</v>
      </c>
      <c r="E11" s="6" t="s">
        <v>13</v>
      </c>
      <c r="F11" s="190">
        <f>F7-F9</f>
        <v>271063.51999999996</v>
      </c>
    </row>
    <row r="12" spans="1:6" ht="13.5" customHeight="1" thickTop="1" x14ac:dyDescent="0.2">
      <c r="A12" s="137" t="s">
        <v>9</v>
      </c>
      <c r="B12" s="67">
        <v>-490240</v>
      </c>
      <c r="C12" s="67">
        <v>-490240</v>
      </c>
      <c r="E12" s="6"/>
      <c r="F12" s="6"/>
    </row>
    <row r="13" spans="1:6" x14ac:dyDescent="0.2">
      <c r="A13" s="64" t="s">
        <v>14</v>
      </c>
      <c r="B13" s="67">
        <v>881922.6</v>
      </c>
      <c r="C13" s="67">
        <v>881922.6</v>
      </c>
      <c r="E13" s="6" t="s">
        <v>15</v>
      </c>
      <c r="F13" s="179">
        <v>46093</v>
      </c>
    </row>
    <row r="14" spans="1:6" x14ac:dyDescent="0.2">
      <c r="A14" s="137" t="s">
        <v>17</v>
      </c>
      <c r="B14" s="67">
        <v>881922.6</v>
      </c>
      <c r="C14" s="67">
        <v>881922.6</v>
      </c>
    </row>
    <row r="15" spans="1:6" x14ac:dyDescent="0.2">
      <c r="A15" s="64" t="s">
        <v>18</v>
      </c>
      <c r="B15" s="67">
        <v>-9056.25</v>
      </c>
      <c r="C15" s="67">
        <v>-9056.25</v>
      </c>
    </row>
    <row r="16" spans="1:6" x14ac:dyDescent="0.2">
      <c r="A16" s="137" t="s">
        <v>16</v>
      </c>
      <c r="B16" s="67">
        <v>-2587.5</v>
      </c>
      <c r="C16" s="67">
        <v>-2587.5</v>
      </c>
    </row>
    <row r="17" spans="1:3" x14ac:dyDescent="0.2">
      <c r="A17" s="137" t="s">
        <v>19</v>
      </c>
      <c r="B17" s="67">
        <v>-6468.75</v>
      </c>
      <c r="C17" s="67">
        <v>-6468.75</v>
      </c>
    </row>
    <row r="18" spans="1:3" x14ac:dyDescent="0.2">
      <c r="A18" s="64" t="s">
        <v>22</v>
      </c>
      <c r="B18" s="67">
        <v>-124729.56</v>
      </c>
      <c r="C18" s="67">
        <v>-124729.56</v>
      </c>
    </row>
    <row r="19" spans="1:3" x14ac:dyDescent="0.2">
      <c r="A19" s="137" t="s">
        <v>16</v>
      </c>
      <c r="B19" s="67">
        <v>-124729.56</v>
      </c>
      <c r="C19" s="67">
        <v>-124729.56</v>
      </c>
    </row>
    <row r="20" spans="1:3" x14ac:dyDescent="0.2">
      <c r="A20" s="64" t="s">
        <v>23</v>
      </c>
      <c r="B20" s="67">
        <v>3000</v>
      </c>
      <c r="C20" s="67">
        <v>3000</v>
      </c>
    </row>
    <row r="21" spans="1:3" x14ac:dyDescent="0.2">
      <c r="A21" s="137" t="s">
        <v>17</v>
      </c>
      <c r="B21" s="67">
        <v>3000</v>
      </c>
      <c r="C21" s="67">
        <v>3000</v>
      </c>
    </row>
    <row r="22" spans="1:3" x14ac:dyDescent="0.2">
      <c r="A22" s="64" t="s">
        <v>25</v>
      </c>
      <c r="B22" s="67">
        <v>-245000</v>
      </c>
      <c r="C22" s="67">
        <v>-245000</v>
      </c>
    </row>
    <row r="23" spans="1:3" x14ac:dyDescent="0.2">
      <c r="A23" s="137" t="s">
        <v>26</v>
      </c>
      <c r="B23" s="67">
        <v>-245000</v>
      </c>
      <c r="C23" s="67">
        <v>-245000</v>
      </c>
    </row>
    <row r="24" spans="1:3" x14ac:dyDescent="0.2">
      <c r="A24" s="64" t="s">
        <v>41</v>
      </c>
      <c r="B24" s="67">
        <v>-200536.45</v>
      </c>
      <c r="C24" s="67">
        <v>-200536.45</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6"/>
  <sheetViews>
    <sheetView zoomScale="80" zoomScaleNormal="80" workbookViewId="0">
      <selection activeCell="F17" sqref="F17"/>
    </sheetView>
  </sheetViews>
  <sheetFormatPr defaultRowHeight="12.75" x14ac:dyDescent="0.2"/>
  <cols>
    <col min="1" max="1" width="33.42578125" bestFit="1" customWidth="1"/>
    <col min="2" max="2" width="27.85546875" bestFit="1" customWidth="1"/>
    <col min="3" max="3" width="23.7109375" bestFit="1" customWidth="1"/>
    <col min="5" max="5" width="17" bestFit="1" customWidth="1"/>
    <col min="6" max="6" width="13.42578125" bestFit="1" customWidth="1"/>
  </cols>
  <sheetData>
    <row r="1" spans="1:6" ht="15.75" customHeight="1" x14ac:dyDescent="0.2">
      <c r="A1" s="199" t="s">
        <v>216</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46142</v>
      </c>
      <c r="B5" s="200"/>
      <c r="C5" s="200"/>
    </row>
    <row r="7" spans="1:6" x14ac:dyDescent="0.2">
      <c r="A7" s="63" t="s">
        <v>4</v>
      </c>
      <c r="B7" t="s">
        <v>5</v>
      </c>
      <c r="C7" t="s">
        <v>6</v>
      </c>
      <c r="E7" s="6" t="s">
        <v>7</v>
      </c>
      <c r="F7" s="178">
        <f>SUMIFS(B8:B143,A8:A143,"Grand Total")</f>
        <v>597569.35999999987</v>
      </c>
    </row>
    <row r="8" spans="1:6" x14ac:dyDescent="0.2">
      <c r="A8" s="64" t="s">
        <v>8</v>
      </c>
      <c r="B8" s="67">
        <v>-360094.24</v>
      </c>
      <c r="C8" s="67">
        <v>-360094.24</v>
      </c>
      <c r="E8" s="6"/>
      <c r="F8" s="178"/>
    </row>
    <row r="9" spans="1:6" x14ac:dyDescent="0.2">
      <c r="A9" s="137" t="s">
        <v>9</v>
      </c>
      <c r="B9" s="67">
        <v>-360094.24</v>
      </c>
      <c r="C9" s="67">
        <v>-360094.24</v>
      </c>
      <c r="E9" s="6" t="s">
        <v>10</v>
      </c>
      <c r="F9" s="178">
        <v>597569.36</v>
      </c>
    </row>
    <row r="10" spans="1:6" x14ac:dyDescent="0.2">
      <c r="A10" s="64" t="s">
        <v>11</v>
      </c>
      <c r="B10" s="67">
        <v>-211949.8</v>
      </c>
      <c r="C10" s="67">
        <v>-211949.8</v>
      </c>
      <c r="E10" s="6"/>
      <c r="F10" s="178"/>
    </row>
    <row r="11" spans="1:6" ht="13.5" customHeight="1" thickBot="1" x14ac:dyDescent="0.25">
      <c r="A11" s="137" t="s">
        <v>16</v>
      </c>
      <c r="B11" s="67">
        <v>134629.20000000001</v>
      </c>
      <c r="C11" s="67">
        <v>134629.20000000001</v>
      </c>
      <c r="E11" s="6" t="s">
        <v>13</v>
      </c>
      <c r="F11" s="190">
        <f>F7-F9</f>
        <v>0</v>
      </c>
    </row>
    <row r="12" spans="1:6" ht="13.5" customHeight="1" thickTop="1" x14ac:dyDescent="0.2">
      <c r="A12" s="137" t="s">
        <v>12</v>
      </c>
      <c r="B12" s="67">
        <v>143661</v>
      </c>
      <c r="C12" s="67">
        <v>143661</v>
      </c>
      <c r="E12" s="6"/>
      <c r="F12" s="6"/>
    </row>
    <row r="13" spans="1:6" x14ac:dyDescent="0.2">
      <c r="A13" s="137" t="s">
        <v>9</v>
      </c>
      <c r="B13" s="67">
        <v>-490240</v>
      </c>
      <c r="C13" s="67">
        <v>-490240</v>
      </c>
      <c r="E13" s="6" t="s">
        <v>15</v>
      </c>
      <c r="F13" s="179">
        <v>46156</v>
      </c>
    </row>
    <row r="14" spans="1:6" x14ac:dyDescent="0.2">
      <c r="A14" s="64" t="s">
        <v>14</v>
      </c>
      <c r="B14" s="67">
        <v>881922.6</v>
      </c>
      <c r="C14" s="67">
        <v>881922.6</v>
      </c>
    </row>
    <row r="15" spans="1:6" x14ac:dyDescent="0.2">
      <c r="A15" s="137" t="s">
        <v>17</v>
      </c>
      <c r="B15" s="67">
        <v>881922.6</v>
      </c>
      <c r="C15" s="67">
        <v>881922.6</v>
      </c>
    </row>
    <row r="16" spans="1:6" x14ac:dyDescent="0.2">
      <c r="A16" s="64" t="s">
        <v>18</v>
      </c>
      <c r="B16" s="67">
        <v>-11643.78</v>
      </c>
      <c r="C16" s="67">
        <v>-11643.78</v>
      </c>
    </row>
    <row r="17" spans="1:3" x14ac:dyDescent="0.2">
      <c r="A17" s="137" t="s">
        <v>16</v>
      </c>
      <c r="B17" s="67">
        <v>-2587.5</v>
      </c>
      <c r="C17" s="67">
        <v>-2587.5</v>
      </c>
    </row>
    <row r="18" spans="1:3" x14ac:dyDescent="0.2">
      <c r="A18" s="137" t="s">
        <v>19</v>
      </c>
      <c r="B18" s="67">
        <v>-9056.2800000000007</v>
      </c>
      <c r="C18" s="67">
        <v>-9056.2800000000007</v>
      </c>
    </row>
    <row r="19" spans="1:3" x14ac:dyDescent="0.2">
      <c r="A19" s="64" t="s">
        <v>22</v>
      </c>
      <c r="B19" s="67">
        <v>-124729.56</v>
      </c>
      <c r="C19" s="67">
        <v>-124729.56</v>
      </c>
    </row>
    <row r="20" spans="1:3" x14ac:dyDescent="0.2">
      <c r="A20" s="137" t="s">
        <v>16</v>
      </c>
      <c r="B20" s="67">
        <v>-124729.56</v>
      </c>
      <c r="C20" s="67">
        <v>-124729.56</v>
      </c>
    </row>
    <row r="21" spans="1:3" x14ac:dyDescent="0.2">
      <c r="A21" s="64" t="s">
        <v>23</v>
      </c>
      <c r="B21" s="67">
        <v>98538.950000000012</v>
      </c>
      <c r="C21" s="67">
        <v>98538.950000000012</v>
      </c>
    </row>
    <row r="22" spans="1:3" x14ac:dyDescent="0.2">
      <c r="A22" s="137" t="s">
        <v>17</v>
      </c>
      <c r="B22" s="67">
        <v>191538.95</v>
      </c>
      <c r="C22" s="67">
        <v>191538.95</v>
      </c>
    </row>
    <row r="23" spans="1:3" x14ac:dyDescent="0.2">
      <c r="A23" s="137" t="s">
        <v>24</v>
      </c>
      <c r="B23" s="67">
        <v>-93000</v>
      </c>
      <c r="C23" s="67">
        <v>-93000</v>
      </c>
    </row>
    <row r="24" spans="1:3" x14ac:dyDescent="0.2">
      <c r="A24" s="64" t="s">
        <v>25</v>
      </c>
      <c r="B24" s="67">
        <v>-245000</v>
      </c>
      <c r="C24" s="67">
        <v>-245000</v>
      </c>
    </row>
    <row r="25" spans="1:3" x14ac:dyDescent="0.2">
      <c r="A25" s="137" t="s">
        <v>26</v>
      </c>
      <c r="B25" s="67">
        <v>-245000</v>
      </c>
      <c r="C25" s="67">
        <v>-245000</v>
      </c>
    </row>
    <row r="26" spans="1:3" x14ac:dyDescent="0.2">
      <c r="A26" s="64" t="s">
        <v>229</v>
      </c>
      <c r="B26" s="67">
        <v>30839.37</v>
      </c>
      <c r="C26" s="67">
        <v>30839.37</v>
      </c>
    </row>
    <row r="27" spans="1:3" x14ac:dyDescent="0.2">
      <c r="A27" s="137" t="s">
        <v>16</v>
      </c>
      <c r="B27" s="67">
        <v>30839.37</v>
      </c>
      <c r="C27" s="67">
        <v>30839.37</v>
      </c>
    </row>
    <row r="28" spans="1:3" x14ac:dyDescent="0.2">
      <c r="A28" s="64" t="s">
        <v>28</v>
      </c>
      <c r="B28" s="67">
        <v>9707.1</v>
      </c>
      <c r="C28" s="67">
        <v>9707.1</v>
      </c>
    </row>
    <row r="29" spans="1:3" x14ac:dyDescent="0.2">
      <c r="A29" s="137" t="s">
        <v>12</v>
      </c>
      <c r="B29" s="67">
        <v>9707.1</v>
      </c>
      <c r="C29" s="67">
        <v>9707.1</v>
      </c>
    </row>
    <row r="30" spans="1:3" x14ac:dyDescent="0.2">
      <c r="A30" s="64" t="s">
        <v>30</v>
      </c>
      <c r="B30" s="67">
        <v>-822281.38</v>
      </c>
      <c r="C30" s="67">
        <v>-822281.38</v>
      </c>
    </row>
    <row r="31" spans="1:3" x14ac:dyDescent="0.2">
      <c r="A31" s="137" t="s">
        <v>16</v>
      </c>
      <c r="B31" s="67">
        <v>-295962.88</v>
      </c>
      <c r="C31" s="67">
        <v>-295962.88</v>
      </c>
    </row>
    <row r="32" spans="1:3" x14ac:dyDescent="0.2">
      <c r="A32" s="137" t="s">
        <v>27</v>
      </c>
      <c r="B32" s="67">
        <v>-19318.5</v>
      </c>
      <c r="C32" s="67">
        <v>-19318.5</v>
      </c>
    </row>
    <row r="33" spans="1:3" x14ac:dyDescent="0.2">
      <c r="A33" s="137" t="s">
        <v>24</v>
      </c>
      <c r="B33" s="67">
        <v>-507000</v>
      </c>
      <c r="C33" s="67">
        <v>-507000</v>
      </c>
    </row>
    <row r="34" spans="1:3" x14ac:dyDescent="0.2">
      <c r="A34" s="64" t="s">
        <v>32</v>
      </c>
      <c r="B34" s="67">
        <v>175352.45</v>
      </c>
      <c r="C34" s="67">
        <v>175352.45</v>
      </c>
    </row>
    <row r="35" spans="1:3" x14ac:dyDescent="0.2">
      <c r="A35" s="137" t="s">
        <v>16</v>
      </c>
      <c r="B35" s="67">
        <v>175352.45</v>
      </c>
      <c r="C35" s="67">
        <v>175352.45</v>
      </c>
    </row>
    <row r="36" spans="1:3" x14ac:dyDescent="0.2">
      <c r="A36" s="64" t="s">
        <v>33</v>
      </c>
      <c r="B36" s="67">
        <v>-19545.13</v>
      </c>
      <c r="C36" s="67">
        <v>-19545.13</v>
      </c>
    </row>
    <row r="37" spans="1:3" x14ac:dyDescent="0.2">
      <c r="A37" s="137" t="s">
        <v>16</v>
      </c>
      <c r="B37" s="67">
        <v>-19545.13</v>
      </c>
      <c r="C37" s="67">
        <v>-19545.13</v>
      </c>
    </row>
    <row r="38" spans="1:3" x14ac:dyDescent="0.2">
      <c r="A38" s="64" t="s">
        <v>34</v>
      </c>
      <c r="B38" s="67">
        <v>143905.24</v>
      </c>
      <c r="C38" s="67">
        <v>143905.24</v>
      </c>
    </row>
    <row r="39" spans="1:3" x14ac:dyDescent="0.2">
      <c r="A39" s="137" t="s">
        <v>16</v>
      </c>
      <c r="B39" s="67">
        <v>143905.24</v>
      </c>
      <c r="C39" s="67">
        <v>143905.24</v>
      </c>
    </row>
    <row r="40" spans="1:3" x14ac:dyDescent="0.2">
      <c r="A40" s="64" t="s">
        <v>35</v>
      </c>
      <c r="B40" s="67">
        <v>573095.24</v>
      </c>
      <c r="C40" s="67">
        <v>573095.24</v>
      </c>
    </row>
    <row r="41" spans="1:3" x14ac:dyDescent="0.2">
      <c r="A41" s="137" t="s">
        <v>36</v>
      </c>
      <c r="B41" s="67">
        <v>573095.24</v>
      </c>
      <c r="C41" s="67">
        <v>573095.24</v>
      </c>
    </row>
    <row r="42" spans="1:3" x14ac:dyDescent="0.2">
      <c r="A42" s="64" t="s">
        <v>230</v>
      </c>
      <c r="B42" s="67">
        <v>-423635.66</v>
      </c>
      <c r="C42" s="67">
        <v>-423635.66</v>
      </c>
    </row>
    <row r="43" spans="1:3" x14ac:dyDescent="0.2">
      <c r="A43" s="137" t="s">
        <v>17</v>
      </c>
      <c r="B43" s="67">
        <v>-423635.66</v>
      </c>
      <c r="C43" s="67">
        <v>-423635.66</v>
      </c>
    </row>
    <row r="44" spans="1:3" x14ac:dyDescent="0.2">
      <c r="A44" s="64" t="s">
        <v>37</v>
      </c>
      <c r="B44" s="67">
        <v>903087.96</v>
      </c>
      <c r="C44" s="67">
        <v>903087.96</v>
      </c>
    </row>
    <row r="45" spans="1:3" x14ac:dyDescent="0.2">
      <c r="A45" s="137" t="s">
        <v>16</v>
      </c>
      <c r="B45" s="67">
        <v>903087.96</v>
      </c>
      <c r="C45" s="67">
        <v>903087.96</v>
      </c>
    </row>
    <row r="46" spans="1:3" x14ac:dyDescent="0.2">
      <c r="A46" s="64" t="s">
        <v>41</v>
      </c>
      <c r="B46" s="67">
        <v>597569.35999999987</v>
      </c>
      <c r="C46" s="67">
        <v>597569.35999999987</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6"/>
  <sheetViews>
    <sheetView zoomScale="80" zoomScaleNormal="80" workbookViewId="0">
      <selection activeCell="G14" sqref="G14"/>
    </sheetView>
  </sheetViews>
  <sheetFormatPr defaultRowHeight="12.75" x14ac:dyDescent="0.2"/>
  <cols>
    <col min="1" max="1" width="33.42578125" bestFit="1" customWidth="1"/>
    <col min="2" max="2" width="27.85546875" bestFit="1" customWidth="1"/>
    <col min="3" max="3" width="23.7109375" bestFit="1" customWidth="1"/>
    <col min="5" max="5" width="17" bestFit="1" customWidth="1"/>
    <col min="6" max="6" width="15.85546875" bestFit="1" customWidth="1"/>
  </cols>
  <sheetData>
    <row r="1" spans="1:6" ht="15.75" customHeight="1" x14ac:dyDescent="0.2">
      <c r="A1" s="199" t="s">
        <v>0</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46173</v>
      </c>
      <c r="B5" s="200"/>
      <c r="C5" s="200"/>
    </row>
    <row r="7" spans="1:6" x14ac:dyDescent="0.2">
      <c r="A7" s="63" t="s">
        <v>4</v>
      </c>
      <c r="B7" t="s">
        <v>5</v>
      </c>
      <c r="C7" t="s">
        <v>6</v>
      </c>
      <c r="E7" s="6" t="s">
        <v>7</v>
      </c>
      <c r="F7" s="178">
        <f>SUMIFS(B8:B143,A8:A143,"Grand Total")</f>
        <v>-13905761.82</v>
      </c>
    </row>
    <row r="8" spans="1:6" x14ac:dyDescent="0.2">
      <c r="A8" s="64" t="s">
        <v>8</v>
      </c>
      <c r="B8" s="67">
        <v>-360094.24</v>
      </c>
      <c r="C8" s="67">
        <v>-360094.24</v>
      </c>
      <c r="E8" s="6"/>
      <c r="F8" s="178"/>
    </row>
    <row r="9" spans="1:6" x14ac:dyDescent="0.2">
      <c r="A9" s="137" t="s">
        <v>9</v>
      </c>
      <c r="B9" s="67">
        <v>-360094.24</v>
      </c>
      <c r="C9" s="67">
        <v>-360094.24</v>
      </c>
      <c r="E9" s="6" t="s">
        <v>10</v>
      </c>
      <c r="F9" s="178">
        <v>-13905761.82</v>
      </c>
    </row>
    <row r="10" spans="1:6" x14ac:dyDescent="0.2">
      <c r="A10" s="64" t="s">
        <v>11</v>
      </c>
      <c r="B10" s="67">
        <v>-69629.799999999988</v>
      </c>
      <c r="C10" s="67">
        <v>-69629.799999999988</v>
      </c>
      <c r="E10" s="6"/>
      <c r="F10" s="178"/>
    </row>
    <row r="11" spans="1:6" ht="13.5" customHeight="1" thickBot="1" x14ac:dyDescent="0.25">
      <c r="A11" s="137" t="s">
        <v>16</v>
      </c>
      <c r="B11" s="67">
        <v>276949.2</v>
      </c>
      <c r="C11" s="67">
        <v>276949.2</v>
      </c>
      <c r="E11" s="6" t="s">
        <v>13</v>
      </c>
      <c r="F11" s="190">
        <f>F7-F9</f>
        <v>0</v>
      </c>
    </row>
    <row r="12" spans="1:6" ht="13.5" customHeight="1" thickTop="1" x14ac:dyDescent="0.2">
      <c r="A12" s="137" t="s">
        <v>12</v>
      </c>
      <c r="B12" s="67">
        <v>143661</v>
      </c>
      <c r="C12" s="67">
        <v>143661</v>
      </c>
      <c r="E12" s="6"/>
      <c r="F12" s="6"/>
    </row>
    <row r="13" spans="1:6" x14ac:dyDescent="0.2">
      <c r="A13" s="137" t="s">
        <v>9</v>
      </c>
      <c r="B13" s="67">
        <v>-490240</v>
      </c>
      <c r="C13" s="67">
        <v>-490240</v>
      </c>
      <c r="E13" s="6" t="s">
        <v>15</v>
      </c>
      <c r="F13" s="179">
        <v>46185</v>
      </c>
    </row>
    <row r="14" spans="1:6" x14ac:dyDescent="0.2">
      <c r="A14" s="64" t="s">
        <v>14</v>
      </c>
      <c r="B14" s="67">
        <v>881922.6</v>
      </c>
      <c r="C14" s="67">
        <v>881922.6</v>
      </c>
    </row>
    <row r="15" spans="1:6" x14ac:dyDescent="0.2">
      <c r="A15" s="137" t="s">
        <v>17</v>
      </c>
      <c r="B15" s="67">
        <v>881922.6</v>
      </c>
      <c r="C15" s="67">
        <v>881922.6</v>
      </c>
    </row>
    <row r="16" spans="1:6" x14ac:dyDescent="0.2">
      <c r="A16" s="64" t="s">
        <v>18</v>
      </c>
      <c r="B16" s="67">
        <v>-12708351.43</v>
      </c>
      <c r="C16" s="67">
        <v>-12708351.43</v>
      </c>
    </row>
    <row r="17" spans="1:3" x14ac:dyDescent="0.2">
      <c r="A17" s="137" t="s">
        <v>16</v>
      </c>
      <c r="B17" s="67">
        <v>-12699295.15</v>
      </c>
      <c r="C17" s="67">
        <v>-12699295.15</v>
      </c>
    </row>
    <row r="18" spans="1:3" x14ac:dyDescent="0.2">
      <c r="A18" s="137" t="s">
        <v>19</v>
      </c>
      <c r="B18" s="67">
        <v>-9056.2800000000007</v>
      </c>
      <c r="C18" s="67">
        <v>-9056.2800000000007</v>
      </c>
    </row>
    <row r="19" spans="1:3" x14ac:dyDescent="0.2">
      <c r="A19" s="64" t="s">
        <v>22</v>
      </c>
      <c r="B19" s="67">
        <v>-124729.56</v>
      </c>
      <c r="C19" s="67">
        <v>-124729.56</v>
      </c>
    </row>
    <row r="20" spans="1:3" x14ac:dyDescent="0.2">
      <c r="A20" s="137" t="s">
        <v>16</v>
      </c>
      <c r="B20" s="67">
        <v>-124729.56</v>
      </c>
      <c r="C20" s="67">
        <v>-124729.56</v>
      </c>
    </row>
    <row r="21" spans="1:3" x14ac:dyDescent="0.2">
      <c r="A21" s="64" t="s">
        <v>23</v>
      </c>
      <c r="B21" s="67">
        <v>-90000</v>
      </c>
      <c r="C21" s="67">
        <v>-90000</v>
      </c>
    </row>
    <row r="22" spans="1:3" x14ac:dyDescent="0.2">
      <c r="A22" s="137" t="s">
        <v>17</v>
      </c>
      <c r="B22" s="67">
        <v>3000</v>
      </c>
      <c r="C22" s="67">
        <v>3000</v>
      </c>
    </row>
    <row r="23" spans="1:3" x14ac:dyDescent="0.2">
      <c r="A23" s="137" t="s">
        <v>24</v>
      </c>
      <c r="B23" s="67">
        <v>-93000</v>
      </c>
      <c r="C23" s="67">
        <v>-93000</v>
      </c>
    </row>
    <row r="24" spans="1:3" x14ac:dyDescent="0.2">
      <c r="A24" s="64" t="s">
        <v>25</v>
      </c>
      <c r="B24" s="67">
        <v>-245000</v>
      </c>
      <c r="C24" s="67">
        <v>-245000</v>
      </c>
    </row>
    <row r="25" spans="1:3" x14ac:dyDescent="0.2">
      <c r="A25" s="137" t="s">
        <v>26</v>
      </c>
      <c r="B25" s="67">
        <v>-245000</v>
      </c>
      <c r="C25" s="67">
        <v>-245000</v>
      </c>
    </row>
    <row r="26" spans="1:3" x14ac:dyDescent="0.2">
      <c r="A26" s="64" t="s">
        <v>28</v>
      </c>
      <c r="B26" s="67">
        <v>9707.1</v>
      </c>
      <c r="C26" s="67">
        <v>9707.1</v>
      </c>
    </row>
    <row r="27" spans="1:3" x14ac:dyDescent="0.2">
      <c r="A27" s="137" t="s">
        <v>12</v>
      </c>
      <c r="B27" s="67">
        <v>9707.1</v>
      </c>
      <c r="C27" s="67">
        <v>9707.1</v>
      </c>
    </row>
    <row r="28" spans="1:3" x14ac:dyDescent="0.2">
      <c r="A28" s="64" t="s">
        <v>30</v>
      </c>
      <c r="B28" s="67">
        <v>-1131868.18</v>
      </c>
      <c r="C28" s="67">
        <v>-1131868.18</v>
      </c>
    </row>
    <row r="29" spans="1:3" x14ac:dyDescent="0.2">
      <c r="A29" s="137" t="s">
        <v>16</v>
      </c>
      <c r="B29" s="67">
        <v>-295962.88</v>
      </c>
      <c r="C29" s="67">
        <v>-295962.88</v>
      </c>
    </row>
    <row r="30" spans="1:3" x14ac:dyDescent="0.2">
      <c r="A30" s="137" t="s">
        <v>27</v>
      </c>
      <c r="B30" s="67">
        <v>-19318.5</v>
      </c>
      <c r="C30" s="67">
        <v>-19318.5</v>
      </c>
    </row>
    <row r="31" spans="1:3" x14ac:dyDescent="0.2">
      <c r="A31" s="137" t="s">
        <v>24</v>
      </c>
      <c r="B31" s="67">
        <v>-816586.8</v>
      </c>
      <c r="C31" s="67">
        <v>-816586.8</v>
      </c>
    </row>
    <row r="32" spans="1:3" x14ac:dyDescent="0.2">
      <c r="A32" s="64" t="s">
        <v>32</v>
      </c>
      <c r="B32" s="67">
        <v>175352.45</v>
      </c>
      <c r="C32" s="67">
        <v>175352.45</v>
      </c>
    </row>
    <row r="33" spans="1:3" x14ac:dyDescent="0.2">
      <c r="A33" s="137" t="s">
        <v>16</v>
      </c>
      <c r="B33" s="67">
        <v>175352.45</v>
      </c>
      <c r="C33" s="67">
        <v>175352.45</v>
      </c>
    </row>
    <row r="34" spans="1:3" x14ac:dyDescent="0.2">
      <c r="A34" s="64" t="s">
        <v>33</v>
      </c>
      <c r="B34" s="67">
        <v>-19545.13</v>
      </c>
      <c r="C34" s="67">
        <v>-19545.13</v>
      </c>
    </row>
    <row r="35" spans="1:3" x14ac:dyDescent="0.2">
      <c r="A35" s="137" t="s">
        <v>16</v>
      </c>
      <c r="B35" s="67">
        <v>-19545.13</v>
      </c>
      <c r="C35" s="67">
        <v>-19545.13</v>
      </c>
    </row>
    <row r="36" spans="1:3" x14ac:dyDescent="0.2">
      <c r="A36" s="64" t="s">
        <v>34</v>
      </c>
      <c r="B36" s="67">
        <v>143905.24</v>
      </c>
      <c r="C36" s="67">
        <v>143905.24</v>
      </c>
    </row>
    <row r="37" spans="1:3" x14ac:dyDescent="0.2">
      <c r="A37" s="137" t="s">
        <v>16</v>
      </c>
      <c r="B37" s="67">
        <v>143905.24</v>
      </c>
      <c r="C37" s="67">
        <v>143905.24</v>
      </c>
    </row>
    <row r="38" spans="1:3" x14ac:dyDescent="0.2">
      <c r="A38" s="64" t="s">
        <v>35</v>
      </c>
      <c r="B38" s="67">
        <v>573095.24</v>
      </c>
      <c r="C38" s="67">
        <v>573095.24</v>
      </c>
    </row>
    <row r="39" spans="1:3" x14ac:dyDescent="0.2">
      <c r="A39" s="137" t="s">
        <v>36</v>
      </c>
      <c r="B39" s="67">
        <v>573095.24</v>
      </c>
      <c r="C39" s="67">
        <v>573095.24</v>
      </c>
    </row>
    <row r="40" spans="1:3" x14ac:dyDescent="0.2">
      <c r="A40" s="64" t="s">
        <v>37</v>
      </c>
      <c r="B40" s="67">
        <v>903087.96</v>
      </c>
      <c r="C40" s="67">
        <v>903087.96</v>
      </c>
    </row>
    <row r="41" spans="1:3" x14ac:dyDescent="0.2">
      <c r="A41" s="137" t="s">
        <v>16</v>
      </c>
      <c r="B41" s="67">
        <v>903087.96</v>
      </c>
      <c r="C41" s="67">
        <v>903087.96</v>
      </c>
    </row>
    <row r="42" spans="1:3" x14ac:dyDescent="0.2">
      <c r="A42" s="64" t="s">
        <v>220</v>
      </c>
      <c r="B42" s="67">
        <v>96304.290000000008</v>
      </c>
      <c r="C42" s="67">
        <v>96304.290000000008</v>
      </c>
    </row>
    <row r="43" spans="1:3" x14ac:dyDescent="0.2">
      <c r="A43" s="137" t="s">
        <v>16</v>
      </c>
      <c r="B43" s="67">
        <v>96304.290000000008</v>
      </c>
      <c r="C43" s="67">
        <v>96304.290000000008</v>
      </c>
    </row>
    <row r="44" spans="1:3" x14ac:dyDescent="0.2">
      <c r="A44" s="64" t="s">
        <v>38</v>
      </c>
      <c r="B44" s="67">
        <v>-1939918.36</v>
      </c>
      <c r="C44" s="67">
        <v>-1939918.36</v>
      </c>
    </row>
    <row r="45" spans="1:3" x14ac:dyDescent="0.2">
      <c r="A45" s="137" t="s">
        <v>16</v>
      </c>
      <c r="B45" s="67">
        <v>-1939918.36</v>
      </c>
      <c r="C45" s="67">
        <v>-1939918.36</v>
      </c>
    </row>
    <row r="46" spans="1:3" x14ac:dyDescent="0.2">
      <c r="A46" s="64" t="s">
        <v>41</v>
      </c>
      <c r="B46" s="67">
        <v>-13905761.82</v>
      </c>
      <c r="C46" s="67">
        <v>-13905761.82</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53"/>
  <sheetViews>
    <sheetView zoomScale="80" zoomScaleNormal="80" workbookViewId="0">
      <selection activeCell="F14" sqref="F14"/>
    </sheetView>
  </sheetViews>
  <sheetFormatPr defaultRowHeight="12.75" x14ac:dyDescent="0.2"/>
  <cols>
    <col min="1" max="1" width="33.42578125" bestFit="1" customWidth="1"/>
    <col min="2" max="2" width="27.85546875" bestFit="1" customWidth="1"/>
    <col min="3" max="3" width="23.7109375" bestFit="1" customWidth="1"/>
    <col min="5" max="5" width="17" bestFit="1" customWidth="1"/>
    <col min="6" max="6" width="15.85546875" bestFit="1" customWidth="1"/>
  </cols>
  <sheetData>
    <row r="1" spans="1:6" ht="15.75" customHeight="1" x14ac:dyDescent="0.2">
      <c r="A1" s="199" t="s">
        <v>0</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46203</v>
      </c>
      <c r="B5" s="200"/>
      <c r="C5" s="200"/>
    </row>
    <row r="7" spans="1:6" x14ac:dyDescent="0.2">
      <c r="A7" s="63" t="s">
        <v>4</v>
      </c>
      <c r="B7" t="s">
        <v>5</v>
      </c>
      <c r="C7" t="s">
        <v>6</v>
      </c>
      <c r="E7" s="6" t="s">
        <v>7</v>
      </c>
      <c r="F7" s="178">
        <f>SUMIFS(B8:B143,A8:A143,"Grand Total")</f>
        <v>-68318646.810000002</v>
      </c>
    </row>
    <row r="8" spans="1:6" x14ac:dyDescent="0.2">
      <c r="A8" s="64" t="s">
        <v>8</v>
      </c>
      <c r="B8" s="67">
        <v>-360094.24</v>
      </c>
      <c r="C8" s="67">
        <v>-360094.24</v>
      </c>
      <c r="E8" s="6"/>
      <c r="F8" s="178"/>
    </row>
    <row r="9" spans="1:6" x14ac:dyDescent="0.2">
      <c r="A9" s="137" t="s">
        <v>9</v>
      </c>
      <c r="B9" s="67">
        <v>-360094.24</v>
      </c>
      <c r="C9" s="67">
        <v>-360094.24</v>
      </c>
      <c r="E9" s="6" t="s">
        <v>10</v>
      </c>
      <c r="F9" s="178">
        <v>-68318646.810000002</v>
      </c>
    </row>
    <row r="10" spans="1:6" x14ac:dyDescent="0.2">
      <c r="A10" s="64" t="s">
        <v>11</v>
      </c>
      <c r="B10" s="67">
        <v>-346579</v>
      </c>
      <c r="C10" s="67">
        <v>-346579</v>
      </c>
      <c r="E10" s="6"/>
      <c r="F10" s="178"/>
    </row>
    <row r="11" spans="1:6" ht="13.5" customHeight="1" thickBot="1" x14ac:dyDescent="0.25">
      <c r="A11" s="137" t="s">
        <v>16</v>
      </c>
      <c r="B11" s="67">
        <v>0</v>
      </c>
      <c r="C11" s="67">
        <v>0</v>
      </c>
      <c r="E11" s="6" t="s">
        <v>13</v>
      </c>
      <c r="F11" s="190">
        <f>F7-F9</f>
        <v>0</v>
      </c>
    </row>
    <row r="12" spans="1:6" ht="13.5" customHeight="1" thickTop="1" x14ac:dyDescent="0.2">
      <c r="A12" s="137" t="s">
        <v>12</v>
      </c>
      <c r="B12" s="67">
        <v>143661</v>
      </c>
      <c r="C12" s="67">
        <v>143661</v>
      </c>
      <c r="E12" s="6"/>
      <c r="F12" s="6"/>
    </row>
    <row r="13" spans="1:6" x14ac:dyDescent="0.2">
      <c r="A13" s="137" t="s">
        <v>9</v>
      </c>
      <c r="B13" s="67">
        <v>-490240</v>
      </c>
      <c r="C13" s="67">
        <v>-490240</v>
      </c>
      <c r="E13" s="6" t="s">
        <v>15</v>
      </c>
      <c r="F13" s="179">
        <v>46213</v>
      </c>
    </row>
    <row r="14" spans="1:6" x14ac:dyDescent="0.2">
      <c r="A14" s="64" t="s">
        <v>14</v>
      </c>
      <c r="B14" s="67">
        <v>413633.27</v>
      </c>
      <c r="C14" s="67">
        <v>413633.27</v>
      </c>
    </row>
    <row r="15" spans="1:6" x14ac:dyDescent="0.2">
      <c r="A15" s="137" t="s">
        <v>16</v>
      </c>
      <c r="B15" s="67">
        <v>-468289.33</v>
      </c>
      <c r="C15" s="67">
        <v>-468289.33</v>
      </c>
    </row>
    <row r="16" spans="1:6" x14ac:dyDescent="0.2">
      <c r="A16" s="137" t="s">
        <v>17</v>
      </c>
      <c r="B16" s="67">
        <v>881922.6</v>
      </c>
      <c r="C16" s="67">
        <v>881922.6</v>
      </c>
    </row>
    <row r="17" spans="1:3" x14ac:dyDescent="0.2">
      <c r="A17" s="64" t="s">
        <v>18</v>
      </c>
      <c r="B17" s="67">
        <v>-7581488.1800000034</v>
      </c>
      <c r="C17" s="67">
        <v>-7581488.1800000034</v>
      </c>
    </row>
    <row r="18" spans="1:3" x14ac:dyDescent="0.2">
      <c r="A18" s="137" t="s">
        <v>16</v>
      </c>
      <c r="B18" s="67">
        <v>-19718939.760000002</v>
      </c>
      <c r="C18" s="67">
        <v>-19718939.760000002</v>
      </c>
    </row>
    <row r="19" spans="1:3" x14ac:dyDescent="0.2">
      <c r="A19" s="137" t="s">
        <v>19</v>
      </c>
      <c r="B19" s="67">
        <v>-9056.2800000000007</v>
      </c>
      <c r="C19" s="67">
        <v>-9056.2800000000007</v>
      </c>
    </row>
    <row r="20" spans="1:3" x14ac:dyDescent="0.2">
      <c r="A20" s="137" t="s">
        <v>20</v>
      </c>
      <c r="B20" s="67">
        <v>12146507.859999999</v>
      </c>
      <c r="C20" s="67">
        <v>12146507.859999999</v>
      </c>
    </row>
    <row r="21" spans="1:3" x14ac:dyDescent="0.2">
      <c r="A21" s="64" t="s">
        <v>22</v>
      </c>
      <c r="B21" s="67">
        <v>-124729.56</v>
      </c>
      <c r="C21" s="67">
        <v>-124729.56</v>
      </c>
    </row>
    <row r="22" spans="1:3" x14ac:dyDescent="0.2">
      <c r="A22" s="137" t="s">
        <v>16</v>
      </c>
      <c r="B22" s="67">
        <v>-124729.56</v>
      </c>
      <c r="C22" s="67">
        <v>-124729.56</v>
      </c>
    </row>
    <row r="23" spans="1:3" x14ac:dyDescent="0.2">
      <c r="A23" s="64" t="s">
        <v>23</v>
      </c>
      <c r="B23" s="67">
        <v>-90000</v>
      </c>
      <c r="C23" s="67">
        <v>-90000</v>
      </c>
    </row>
    <row r="24" spans="1:3" x14ac:dyDescent="0.2">
      <c r="A24" s="137" t="s">
        <v>17</v>
      </c>
      <c r="B24" s="67">
        <v>3000</v>
      </c>
      <c r="C24" s="67">
        <v>3000</v>
      </c>
    </row>
    <row r="25" spans="1:3" x14ac:dyDescent="0.2">
      <c r="A25" s="137" t="s">
        <v>24</v>
      </c>
      <c r="B25" s="67">
        <v>-93000</v>
      </c>
      <c r="C25" s="67">
        <v>-93000</v>
      </c>
    </row>
    <row r="26" spans="1:3" x14ac:dyDescent="0.2">
      <c r="A26" s="64" t="s">
        <v>25</v>
      </c>
      <c r="B26" s="67">
        <v>-245000</v>
      </c>
      <c r="C26" s="67">
        <v>-245000</v>
      </c>
    </row>
    <row r="27" spans="1:3" x14ac:dyDescent="0.2">
      <c r="A27" s="137" t="s">
        <v>26</v>
      </c>
      <c r="B27" s="67">
        <v>-245000</v>
      </c>
      <c r="C27" s="67">
        <v>-245000</v>
      </c>
    </row>
    <row r="28" spans="1:3" x14ac:dyDescent="0.2">
      <c r="A28" s="64" t="s">
        <v>28</v>
      </c>
      <c r="B28" s="67">
        <v>9707.1</v>
      </c>
      <c r="C28" s="67">
        <v>9707.1</v>
      </c>
    </row>
    <row r="29" spans="1:3" x14ac:dyDescent="0.2">
      <c r="A29" s="137" t="s">
        <v>12</v>
      </c>
      <c r="B29" s="67">
        <v>9707.1</v>
      </c>
      <c r="C29" s="67">
        <v>9707.1</v>
      </c>
    </row>
    <row r="30" spans="1:3" x14ac:dyDescent="0.2">
      <c r="A30" s="64" t="s">
        <v>30</v>
      </c>
      <c r="B30" s="67">
        <v>-3581162.18</v>
      </c>
      <c r="C30" s="67">
        <v>-3581162.18</v>
      </c>
    </row>
    <row r="31" spans="1:3" x14ac:dyDescent="0.2">
      <c r="A31" s="137" t="s">
        <v>16</v>
      </c>
      <c r="B31" s="67">
        <v>-295962.88</v>
      </c>
      <c r="C31" s="67">
        <v>-295962.88</v>
      </c>
    </row>
    <row r="32" spans="1:3" x14ac:dyDescent="0.2">
      <c r="A32" s="137" t="s">
        <v>27</v>
      </c>
      <c r="B32" s="67">
        <v>-2468612.5</v>
      </c>
      <c r="C32" s="67">
        <v>-2468612.5</v>
      </c>
    </row>
    <row r="33" spans="1:3" x14ac:dyDescent="0.2">
      <c r="A33" s="137" t="s">
        <v>24</v>
      </c>
      <c r="B33" s="67">
        <v>-816586.8</v>
      </c>
      <c r="C33" s="67">
        <v>-816586.8</v>
      </c>
    </row>
    <row r="34" spans="1:3" x14ac:dyDescent="0.2">
      <c r="A34" s="64" t="s">
        <v>32</v>
      </c>
      <c r="B34" s="67">
        <v>175352.45</v>
      </c>
      <c r="C34" s="67">
        <v>175352.45</v>
      </c>
    </row>
    <row r="35" spans="1:3" x14ac:dyDescent="0.2">
      <c r="A35" s="137" t="s">
        <v>16</v>
      </c>
      <c r="B35" s="67">
        <v>175352.45</v>
      </c>
      <c r="C35" s="67">
        <v>175352.45</v>
      </c>
    </row>
    <row r="36" spans="1:3" x14ac:dyDescent="0.2">
      <c r="A36" s="64" t="s">
        <v>33</v>
      </c>
      <c r="B36" s="67">
        <v>-19545.13</v>
      </c>
      <c r="C36" s="67">
        <v>-19545.13</v>
      </c>
    </row>
    <row r="37" spans="1:3" x14ac:dyDescent="0.2">
      <c r="A37" s="137" t="s">
        <v>16</v>
      </c>
      <c r="B37" s="67">
        <v>-19545.13</v>
      </c>
      <c r="C37" s="67">
        <v>-19545.13</v>
      </c>
    </row>
    <row r="38" spans="1:3" x14ac:dyDescent="0.2">
      <c r="A38" s="64" t="s">
        <v>34</v>
      </c>
      <c r="B38" s="67">
        <v>143905.24</v>
      </c>
      <c r="C38" s="67">
        <v>143905.24</v>
      </c>
    </row>
    <row r="39" spans="1:3" x14ac:dyDescent="0.2">
      <c r="A39" s="137" t="s">
        <v>16</v>
      </c>
      <c r="B39" s="67">
        <v>143905.24</v>
      </c>
      <c r="C39" s="67">
        <v>143905.24</v>
      </c>
    </row>
    <row r="40" spans="1:3" x14ac:dyDescent="0.2">
      <c r="A40" s="64" t="s">
        <v>35</v>
      </c>
      <c r="B40" s="67">
        <v>573095.24</v>
      </c>
      <c r="C40" s="67">
        <v>573095.24</v>
      </c>
    </row>
    <row r="41" spans="1:3" x14ac:dyDescent="0.2">
      <c r="A41" s="137" t="s">
        <v>36</v>
      </c>
      <c r="B41" s="67">
        <v>573095.24</v>
      </c>
      <c r="C41" s="67">
        <v>573095.24</v>
      </c>
    </row>
    <row r="42" spans="1:3" x14ac:dyDescent="0.2">
      <c r="A42" s="64" t="s">
        <v>37</v>
      </c>
      <c r="B42" s="67">
        <v>903087.96</v>
      </c>
      <c r="C42" s="67">
        <v>903087.96</v>
      </c>
    </row>
    <row r="43" spans="1:3" x14ac:dyDescent="0.2">
      <c r="A43" s="137" t="s">
        <v>16</v>
      </c>
      <c r="B43" s="67">
        <v>903087.96</v>
      </c>
      <c r="C43" s="67">
        <v>903087.96</v>
      </c>
    </row>
    <row r="44" spans="1:3" x14ac:dyDescent="0.2">
      <c r="A44" s="64" t="s">
        <v>220</v>
      </c>
      <c r="B44" s="67">
        <v>148909.29</v>
      </c>
      <c r="C44" s="67">
        <v>148909.29</v>
      </c>
    </row>
    <row r="45" spans="1:3" x14ac:dyDescent="0.2">
      <c r="A45" s="137" t="s">
        <v>16</v>
      </c>
      <c r="B45" s="67">
        <v>148909.29</v>
      </c>
      <c r="C45" s="67">
        <v>148909.29</v>
      </c>
    </row>
    <row r="46" spans="1:3" x14ac:dyDescent="0.2">
      <c r="A46" s="64" t="s">
        <v>38</v>
      </c>
      <c r="B46" s="67">
        <v>-3885876.2</v>
      </c>
      <c r="C46" s="67">
        <v>-3885876.2</v>
      </c>
    </row>
    <row r="47" spans="1:3" x14ac:dyDescent="0.2">
      <c r="A47" s="137" t="s">
        <v>16</v>
      </c>
      <c r="B47" s="67">
        <v>-3885876.2</v>
      </c>
      <c r="C47" s="67">
        <v>-3885876.2</v>
      </c>
    </row>
    <row r="48" spans="1:3" x14ac:dyDescent="0.2">
      <c r="A48" s="64" t="s">
        <v>39</v>
      </c>
      <c r="B48" s="67">
        <v>-54429362.869999997</v>
      </c>
      <c r="C48" s="67">
        <v>-54429362.869999997</v>
      </c>
    </row>
    <row r="49" spans="1:3" x14ac:dyDescent="0.2">
      <c r="A49" s="137" t="s">
        <v>27</v>
      </c>
      <c r="B49" s="67">
        <v>-55137962.869999997</v>
      </c>
      <c r="C49" s="67">
        <v>-55137962.869999997</v>
      </c>
    </row>
    <row r="50" spans="1:3" x14ac:dyDescent="0.2">
      <c r="A50" s="137" t="s">
        <v>36</v>
      </c>
      <c r="B50" s="67">
        <v>708600</v>
      </c>
      <c r="C50" s="67">
        <v>708600</v>
      </c>
    </row>
    <row r="51" spans="1:3" x14ac:dyDescent="0.2">
      <c r="A51" s="64" t="s">
        <v>224</v>
      </c>
      <c r="B51" s="67">
        <v>-22500</v>
      </c>
      <c r="C51" s="67">
        <v>-22500</v>
      </c>
    </row>
    <row r="52" spans="1:3" x14ac:dyDescent="0.2">
      <c r="A52" s="137" t="s">
        <v>16</v>
      </c>
      <c r="B52" s="67">
        <v>-22500</v>
      </c>
      <c r="C52" s="67">
        <v>-22500</v>
      </c>
    </row>
    <row r="53" spans="1:3" x14ac:dyDescent="0.2">
      <c r="A53" s="64" t="s">
        <v>41</v>
      </c>
      <c r="B53" s="67">
        <v>-68318646.810000002</v>
      </c>
      <c r="C53" s="67">
        <v>-68318646.810000002</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58"/>
  <sheetViews>
    <sheetView zoomScale="80" zoomScaleNormal="80" workbookViewId="0">
      <selection activeCell="F7" sqref="F7"/>
    </sheetView>
  </sheetViews>
  <sheetFormatPr defaultRowHeight="12.75" x14ac:dyDescent="0.2"/>
  <cols>
    <col min="1" max="1" width="34.85546875" bestFit="1" customWidth="1"/>
    <col min="2" max="2" width="24.42578125" bestFit="1" customWidth="1"/>
    <col min="3" max="3" width="20.5703125" bestFit="1" customWidth="1"/>
    <col min="5" max="5" width="17" bestFit="1" customWidth="1"/>
    <col min="6" max="6" width="15.85546875" bestFit="1" customWidth="1"/>
  </cols>
  <sheetData>
    <row r="1" spans="1:6" ht="15.75" customHeight="1" x14ac:dyDescent="0.2">
      <c r="A1" s="199" t="s">
        <v>0</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46234</v>
      </c>
      <c r="B5" s="200"/>
      <c r="C5" s="200"/>
    </row>
    <row r="7" spans="1:6" x14ac:dyDescent="0.2">
      <c r="A7" s="63" t="s">
        <v>4</v>
      </c>
      <c r="B7" t="s">
        <v>5</v>
      </c>
      <c r="C7" t="s">
        <v>6</v>
      </c>
      <c r="E7" s="6" t="s">
        <v>7</v>
      </c>
      <c r="F7" s="178">
        <f>SUMIFS(B8:B143,A8:A143,"Grand Total")</f>
        <v>9698733.9800000023</v>
      </c>
    </row>
    <row r="8" spans="1:6" x14ac:dyDescent="0.2">
      <c r="A8" s="64" t="s">
        <v>8</v>
      </c>
      <c r="B8" s="67">
        <v>-360094.24</v>
      </c>
      <c r="C8" s="67">
        <v>-360094.24</v>
      </c>
      <c r="E8" s="6"/>
      <c r="F8" s="178"/>
    </row>
    <row r="9" spans="1:6" x14ac:dyDescent="0.2">
      <c r="A9" s="137" t="s">
        <v>9</v>
      </c>
      <c r="B9" s="67">
        <v>-360094.24</v>
      </c>
      <c r="C9" s="67">
        <v>-360094.24</v>
      </c>
      <c r="E9" s="6" t="s">
        <v>10</v>
      </c>
      <c r="F9" s="178">
        <v>9698733.9800000004</v>
      </c>
    </row>
    <row r="10" spans="1:6" x14ac:dyDescent="0.2">
      <c r="A10" s="64" t="s">
        <v>11</v>
      </c>
      <c r="B10" s="67">
        <v>-14632.92</v>
      </c>
      <c r="C10" s="67">
        <v>-14632.92</v>
      </c>
      <c r="E10" s="6"/>
      <c r="F10" s="178"/>
    </row>
    <row r="11" spans="1:6" ht="13.5" customHeight="1" thickBot="1" x14ac:dyDescent="0.25">
      <c r="A11" s="137" t="s">
        <v>12</v>
      </c>
      <c r="B11" s="67">
        <v>143661</v>
      </c>
      <c r="C11" s="67">
        <v>143661</v>
      </c>
      <c r="E11" s="6" t="s">
        <v>13</v>
      </c>
      <c r="F11" s="190">
        <f>F7-F9</f>
        <v>0</v>
      </c>
    </row>
    <row r="12" spans="1:6" ht="13.5" customHeight="1" thickTop="1" x14ac:dyDescent="0.2">
      <c r="A12" s="137" t="s">
        <v>9</v>
      </c>
      <c r="B12" s="67">
        <v>-245120</v>
      </c>
      <c r="C12" s="67">
        <v>-245120</v>
      </c>
      <c r="E12" s="6"/>
      <c r="F12" s="6"/>
    </row>
    <row r="13" spans="1:6" x14ac:dyDescent="0.2">
      <c r="A13" s="137" t="s">
        <v>26</v>
      </c>
      <c r="B13" s="67">
        <v>86826.08</v>
      </c>
      <c r="C13" s="67">
        <v>86826.08</v>
      </c>
      <c r="E13" s="6" t="s">
        <v>15</v>
      </c>
      <c r="F13" s="179">
        <v>46244</v>
      </c>
    </row>
    <row r="14" spans="1:6" x14ac:dyDescent="0.2">
      <c r="A14" s="64" t="s">
        <v>14</v>
      </c>
      <c r="B14" s="67">
        <v>413633.27</v>
      </c>
      <c r="C14" s="67">
        <v>413633.27</v>
      </c>
    </row>
    <row r="15" spans="1:6" x14ac:dyDescent="0.2">
      <c r="A15" s="137" t="s">
        <v>16</v>
      </c>
      <c r="B15" s="67">
        <v>-468289.33</v>
      </c>
      <c r="C15" s="67">
        <v>-468289.33</v>
      </c>
    </row>
    <row r="16" spans="1:6" x14ac:dyDescent="0.2">
      <c r="A16" s="137" t="s">
        <v>17</v>
      </c>
      <c r="B16" s="67">
        <v>881922.6</v>
      </c>
      <c r="C16" s="67">
        <v>881922.6</v>
      </c>
    </row>
    <row r="17" spans="1:3" x14ac:dyDescent="0.2">
      <c r="A17" s="64" t="s">
        <v>18</v>
      </c>
      <c r="B17" s="67">
        <v>-367481.86000000132</v>
      </c>
      <c r="C17" s="67">
        <v>-367481.86000000132</v>
      </c>
    </row>
    <row r="18" spans="1:3" x14ac:dyDescent="0.2">
      <c r="A18" s="137" t="s">
        <v>16</v>
      </c>
      <c r="B18" s="67">
        <v>-16901059.16</v>
      </c>
      <c r="C18" s="67">
        <v>-16901059.16</v>
      </c>
    </row>
    <row r="19" spans="1:3" x14ac:dyDescent="0.2">
      <c r="A19" s="137" t="s">
        <v>19</v>
      </c>
      <c r="B19" s="67">
        <v>-9056.2800000000007</v>
      </c>
      <c r="C19" s="67">
        <v>-9056.2800000000007</v>
      </c>
    </row>
    <row r="20" spans="1:3" x14ac:dyDescent="0.2">
      <c r="A20" s="137" t="s">
        <v>20</v>
      </c>
      <c r="B20" s="67">
        <v>12146507.859999999</v>
      </c>
      <c r="C20" s="67">
        <v>12146507.859999999</v>
      </c>
    </row>
    <row r="21" spans="1:3" x14ac:dyDescent="0.2">
      <c r="A21" s="137" t="s">
        <v>21</v>
      </c>
      <c r="B21" s="67">
        <v>4396125.7200000007</v>
      </c>
      <c r="C21" s="67">
        <v>4396125.7200000007</v>
      </c>
    </row>
    <row r="22" spans="1:3" x14ac:dyDescent="0.2">
      <c r="A22" s="64" t="s">
        <v>22</v>
      </c>
      <c r="B22" s="67">
        <v>-124729.56</v>
      </c>
      <c r="C22" s="67">
        <v>-124729.56</v>
      </c>
    </row>
    <row r="23" spans="1:3" x14ac:dyDescent="0.2">
      <c r="A23" s="137" t="s">
        <v>16</v>
      </c>
      <c r="B23" s="67">
        <v>-124729.56</v>
      </c>
      <c r="C23" s="67">
        <v>-124729.56</v>
      </c>
    </row>
    <row r="24" spans="1:3" x14ac:dyDescent="0.2">
      <c r="A24" s="64" t="s">
        <v>23</v>
      </c>
      <c r="B24" s="67">
        <v>-90000</v>
      </c>
      <c r="C24" s="67">
        <v>-90000</v>
      </c>
    </row>
    <row r="25" spans="1:3" x14ac:dyDescent="0.2">
      <c r="A25" s="137" t="s">
        <v>17</v>
      </c>
      <c r="B25" s="67">
        <v>3000</v>
      </c>
      <c r="C25" s="67">
        <v>3000</v>
      </c>
    </row>
    <row r="26" spans="1:3" x14ac:dyDescent="0.2">
      <c r="A26" s="137" t="s">
        <v>24</v>
      </c>
      <c r="B26" s="67">
        <v>-93000</v>
      </c>
      <c r="C26" s="67">
        <v>-93000</v>
      </c>
    </row>
    <row r="27" spans="1:3" x14ac:dyDescent="0.2">
      <c r="A27" s="64" t="s">
        <v>25</v>
      </c>
      <c r="B27" s="67">
        <v>-366792.2</v>
      </c>
      <c r="C27" s="67">
        <v>-366792.2</v>
      </c>
    </row>
    <row r="28" spans="1:3" x14ac:dyDescent="0.2">
      <c r="A28" s="137" t="s">
        <v>17</v>
      </c>
      <c r="B28" s="67">
        <v>245000</v>
      </c>
      <c r="C28" s="67">
        <v>245000</v>
      </c>
    </row>
    <row r="29" spans="1:3" x14ac:dyDescent="0.2">
      <c r="A29" s="137" t="s">
        <v>26</v>
      </c>
      <c r="B29" s="67">
        <v>-245000</v>
      </c>
      <c r="C29" s="67">
        <v>-245000</v>
      </c>
    </row>
    <row r="30" spans="1:3" x14ac:dyDescent="0.2">
      <c r="A30" s="137" t="s">
        <v>27</v>
      </c>
      <c r="B30" s="67">
        <v>-366792.2</v>
      </c>
      <c r="C30" s="67">
        <v>-366792.2</v>
      </c>
    </row>
    <row r="31" spans="1:3" x14ac:dyDescent="0.2">
      <c r="A31" s="64" t="s">
        <v>28</v>
      </c>
      <c r="B31" s="67">
        <v>19414.2</v>
      </c>
      <c r="C31" s="67">
        <v>19414.2</v>
      </c>
    </row>
    <row r="32" spans="1:3" x14ac:dyDescent="0.2">
      <c r="A32" s="137" t="s">
        <v>12</v>
      </c>
      <c r="B32" s="67">
        <v>9707.1</v>
      </c>
      <c r="C32" s="67">
        <v>9707.1</v>
      </c>
    </row>
    <row r="33" spans="1:3" x14ac:dyDescent="0.2">
      <c r="A33" s="137" t="s">
        <v>29</v>
      </c>
      <c r="B33" s="67">
        <v>9707.1</v>
      </c>
      <c r="C33" s="67">
        <v>9707.1</v>
      </c>
    </row>
    <row r="34" spans="1:3" x14ac:dyDescent="0.2">
      <c r="A34" s="64" t="s">
        <v>30</v>
      </c>
      <c r="B34" s="67">
        <v>8969634.379999999</v>
      </c>
      <c r="C34" s="67">
        <v>8969634.379999999</v>
      </c>
    </row>
    <row r="35" spans="1:3" x14ac:dyDescent="0.2">
      <c r="A35" s="137" t="s">
        <v>16</v>
      </c>
      <c r="B35" s="67">
        <v>-295962.88</v>
      </c>
      <c r="C35" s="67">
        <v>-295962.88</v>
      </c>
    </row>
    <row r="36" spans="1:3" x14ac:dyDescent="0.2">
      <c r="A36" s="137" t="s">
        <v>12</v>
      </c>
      <c r="B36" s="67">
        <v>9722736.2000000011</v>
      </c>
      <c r="C36" s="67">
        <v>9722736.2000000011</v>
      </c>
    </row>
    <row r="37" spans="1:3" x14ac:dyDescent="0.2">
      <c r="A37" s="137" t="s">
        <v>27</v>
      </c>
      <c r="B37" s="67">
        <v>-19318.5</v>
      </c>
      <c r="C37" s="67">
        <v>-19318.5</v>
      </c>
    </row>
    <row r="38" spans="1:3" x14ac:dyDescent="0.2">
      <c r="A38" s="137" t="s">
        <v>24</v>
      </c>
      <c r="B38" s="67">
        <v>-816586.8</v>
      </c>
      <c r="C38" s="67">
        <v>-816586.8</v>
      </c>
    </row>
    <row r="39" spans="1:3" x14ac:dyDescent="0.2">
      <c r="A39" s="137" t="s">
        <v>31</v>
      </c>
      <c r="B39" s="67">
        <v>378766.36</v>
      </c>
      <c r="C39" s="67">
        <v>378766.36</v>
      </c>
    </row>
    <row r="40" spans="1:3" x14ac:dyDescent="0.2">
      <c r="A40" s="64" t="s">
        <v>32</v>
      </c>
      <c r="B40" s="67">
        <v>175352.45</v>
      </c>
      <c r="C40" s="67">
        <v>175352.45</v>
      </c>
    </row>
    <row r="41" spans="1:3" x14ac:dyDescent="0.2">
      <c r="A41" s="137" t="s">
        <v>16</v>
      </c>
      <c r="B41" s="67">
        <v>175352.45</v>
      </c>
      <c r="C41" s="67">
        <v>175352.45</v>
      </c>
    </row>
    <row r="42" spans="1:3" x14ac:dyDescent="0.2">
      <c r="A42" s="64" t="s">
        <v>33</v>
      </c>
      <c r="B42" s="67">
        <v>-19545.13</v>
      </c>
      <c r="C42" s="67">
        <v>-19545.13</v>
      </c>
    </row>
    <row r="43" spans="1:3" x14ac:dyDescent="0.2">
      <c r="A43" s="137" t="s">
        <v>16</v>
      </c>
      <c r="B43" s="67">
        <v>-19545.13</v>
      </c>
      <c r="C43" s="67">
        <v>-19545.13</v>
      </c>
    </row>
    <row r="44" spans="1:3" x14ac:dyDescent="0.2">
      <c r="A44" s="64" t="s">
        <v>34</v>
      </c>
      <c r="B44" s="67">
        <v>143905.24</v>
      </c>
      <c r="C44" s="67">
        <v>143905.24</v>
      </c>
    </row>
    <row r="45" spans="1:3" x14ac:dyDescent="0.2">
      <c r="A45" s="137" t="s">
        <v>16</v>
      </c>
      <c r="B45" s="67">
        <v>143905.24</v>
      </c>
      <c r="C45" s="67">
        <v>143905.24</v>
      </c>
    </row>
    <row r="46" spans="1:3" x14ac:dyDescent="0.2">
      <c r="A46" s="64" t="s">
        <v>35</v>
      </c>
      <c r="B46" s="67">
        <v>573095.24</v>
      </c>
      <c r="C46" s="67">
        <v>573095.24</v>
      </c>
    </row>
    <row r="47" spans="1:3" x14ac:dyDescent="0.2">
      <c r="A47" s="137" t="s">
        <v>36</v>
      </c>
      <c r="B47" s="67">
        <v>573095.24</v>
      </c>
      <c r="C47" s="67">
        <v>573095.24</v>
      </c>
    </row>
    <row r="48" spans="1:3" x14ac:dyDescent="0.2">
      <c r="A48" s="64" t="s">
        <v>37</v>
      </c>
      <c r="B48" s="67">
        <v>903087.96</v>
      </c>
      <c r="C48" s="67">
        <v>903087.96</v>
      </c>
    </row>
    <row r="49" spans="1:3" x14ac:dyDescent="0.2">
      <c r="A49" s="137" t="s">
        <v>16</v>
      </c>
      <c r="B49" s="67">
        <v>903087.96</v>
      </c>
      <c r="C49" s="67">
        <v>903087.96</v>
      </c>
    </row>
    <row r="50" spans="1:3" x14ac:dyDescent="0.2">
      <c r="A50" s="64" t="s">
        <v>38</v>
      </c>
      <c r="B50" s="67">
        <v>11287.149999999911</v>
      </c>
      <c r="C50" s="67">
        <v>11287.149999999911</v>
      </c>
    </row>
    <row r="51" spans="1:3" x14ac:dyDescent="0.2">
      <c r="A51" s="137" t="s">
        <v>16</v>
      </c>
      <c r="B51" s="67">
        <v>11287.149999999911</v>
      </c>
      <c r="C51" s="67">
        <v>11287.149999999911</v>
      </c>
    </row>
    <row r="52" spans="1:3" x14ac:dyDescent="0.2">
      <c r="A52" s="64" t="s">
        <v>39</v>
      </c>
      <c r="B52" s="67">
        <v>708600</v>
      </c>
      <c r="C52" s="67">
        <v>708600</v>
      </c>
    </row>
    <row r="53" spans="1:3" x14ac:dyDescent="0.2">
      <c r="A53" s="137" t="s">
        <v>36</v>
      </c>
      <c r="B53" s="67">
        <v>708600</v>
      </c>
      <c r="C53" s="67">
        <v>708600</v>
      </c>
    </row>
    <row r="54" spans="1:3" x14ac:dyDescent="0.2">
      <c r="A54" s="64" t="s">
        <v>40</v>
      </c>
      <c r="B54" s="67">
        <v>-876000</v>
      </c>
      <c r="C54" s="67">
        <v>-876000</v>
      </c>
    </row>
    <row r="55" spans="1:3" x14ac:dyDescent="0.2">
      <c r="A55" s="137" t="s">
        <v>27</v>
      </c>
      <c r="B55" s="67">
        <v>-876000</v>
      </c>
      <c r="C55" s="67">
        <v>-876000</v>
      </c>
    </row>
    <row r="56" spans="1:3" x14ac:dyDescent="0.2">
      <c r="A56" s="64" t="s">
        <v>78</v>
      </c>
      <c r="B56" s="67"/>
      <c r="C56" s="67"/>
    </row>
    <row r="57" spans="1:3" x14ac:dyDescent="0.2">
      <c r="A57" s="137" t="s">
        <v>78</v>
      </c>
      <c r="B57" s="67"/>
      <c r="C57" s="67"/>
    </row>
    <row r="58" spans="1:3" x14ac:dyDescent="0.2">
      <c r="A58" s="64" t="s">
        <v>41</v>
      </c>
      <c r="B58" s="67">
        <v>9698733.9800000023</v>
      </c>
      <c r="C58" s="67">
        <v>9698733.9800000023</v>
      </c>
    </row>
  </sheetData>
  <mergeCells count="5">
    <mergeCell ref="A1:C1"/>
    <mergeCell ref="A5:C5"/>
    <mergeCell ref="A3:C3"/>
    <mergeCell ref="A4:C4"/>
    <mergeCell ref="A2:C2"/>
  </mergeCells>
  <pageMargins left="0.7" right="0.7" top="0.75" bottom="0.75" header="0.3" footer="0.3"/>
  <headerFooter>
    <oddFooter>&amp;C&amp;"Calibri"&amp;10 &amp;K000000_x000D_# CONFIDENTIAL_x000D_&amp;1#&amp;"Aptos"&amp;10&amp;K0000FF PUBLIC</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8"/>
  <sheetViews>
    <sheetView tabSelected="1" topLeftCell="A20" workbookViewId="0">
      <selection sqref="A1:C1"/>
    </sheetView>
  </sheetViews>
  <sheetFormatPr defaultRowHeight="12.75" x14ac:dyDescent="0.2"/>
  <cols>
    <col min="1" max="1" width="34.85546875" bestFit="1" customWidth="1"/>
    <col min="2" max="2" width="24.42578125" bestFit="1" customWidth="1"/>
    <col min="3" max="3" width="20.5703125" bestFit="1" customWidth="1"/>
    <col min="5" max="5" width="17" bestFit="1" customWidth="1"/>
    <col min="6" max="6" width="15.85546875" bestFit="1" customWidth="1"/>
  </cols>
  <sheetData>
    <row r="1" spans="1:6" ht="15.75" customHeight="1" x14ac:dyDescent="0.2">
      <c r="A1" s="199" t="s">
        <v>0</v>
      </c>
      <c r="B1" s="200"/>
      <c r="C1" s="200"/>
    </row>
    <row r="2" spans="1:6" ht="15.75" customHeight="1" x14ac:dyDescent="0.2">
      <c r="A2" s="199" t="s">
        <v>1</v>
      </c>
      <c r="B2" s="200"/>
      <c r="C2" s="200"/>
    </row>
    <row r="3" spans="1:6" ht="15.75" customHeight="1" x14ac:dyDescent="0.2">
      <c r="A3" s="199" t="s">
        <v>2</v>
      </c>
      <c r="B3" s="200"/>
      <c r="C3" s="200"/>
    </row>
    <row r="4" spans="1:6" ht="15.75" customHeight="1" x14ac:dyDescent="0.2">
      <c r="A4" s="199" t="s">
        <v>3</v>
      </c>
      <c r="B4" s="200"/>
      <c r="C4" s="200"/>
    </row>
    <row r="5" spans="1:6" ht="15.75" customHeight="1" x14ac:dyDescent="0.2">
      <c r="A5" s="201">
        <v>46265</v>
      </c>
      <c r="B5" s="200"/>
      <c r="C5" s="200"/>
    </row>
    <row r="7" spans="1:6" x14ac:dyDescent="0.2">
      <c r="A7" s="63" t="s">
        <v>4</v>
      </c>
      <c r="B7" t="s">
        <v>5</v>
      </c>
      <c r="C7" t="s">
        <v>6</v>
      </c>
      <c r="E7" s="6" t="s">
        <v>7</v>
      </c>
      <c r="F7" s="178">
        <f>SUMIFS(B8:B55,A8:A55,"Grand Total")</f>
        <v>9611907.9000000004</v>
      </c>
    </row>
    <row r="8" spans="1:6" x14ac:dyDescent="0.2">
      <c r="A8" s="194" t="s">
        <v>8</v>
      </c>
      <c r="B8" s="195">
        <v>-360094.24</v>
      </c>
      <c r="C8" s="195">
        <v>-360094.24</v>
      </c>
      <c r="E8" s="6"/>
      <c r="F8" s="178"/>
    </row>
    <row r="9" spans="1:6" x14ac:dyDescent="0.2">
      <c r="A9" s="137" t="s">
        <v>9</v>
      </c>
      <c r="B9" s="67">
        <v>-360094.24</v>
      </c>
      <c r="C9" s="67">
        <v>-360094.24</v>
      </c>
      <c r="E9" s="6" t="s">
        <v>10</v>
      </c>
      <c r="F9" s="178">
        <v>9611907.9000000004</v>
      </c>
    </row>
    <row r="10" spans="1:6" x14ac:dyDescent="0.2">
      <c r="A10" s="194" t="s">
        <v>11</v>
      </c>
      <c r="B10" s="195">
        <v>-101459</v>
      </c>
      <c r="C10" s="195">
        <v>-101459</v>
      </c>
      <c r="E10" s="6"/>
      <c r="F10" s="178"/>
    </row>
    <row r="11" spans="1:6" ht="13.5" customHeight="1" thickBot="1" x14ac:dyDescent="0.25">
      <c r="A11" s="137" t="s">
        <v>12</v>
      </c>
      <c r="B11" s="67">
        <v>143661</v>
      </c>
      <c r="C11" s="67">
        <v>143661</v>
      </c>
      <c r="E11" s="6" t="s">
        <v>13</v>
      </c>
      <c r="F11" s="190">
        <f>F7-F9</f>
        <v>0</v>
      </c>
    </row>
    <row r="12" spans="1:6" ht="13.5" customHeight="1" thickTop="1" x14ac:dyDescent="0.2">
      <c r="A12" s="137" t="s">
        <v>9</v>
      </c>
      <c r="B12" s="67">
        <v>-245120</v>
      </c>
      <c r="C12" s="67">
        <v>-245120</v>
      </c>
      <c r="E12" s="6"/>
      <c r="F12" s="6"/>
    </row>
    <row r="13" spans="1:6" x14ac:dyDescent="0.2">
      <c r="A13" s="196" t="s">
        <v>14</v>
      </c>
      <c r="B13" s="195">
        <v>413633.27</v>
      </c>
      <c r="C13" s="195">
        <v>413633.27</v>
      </c>
      <c r="E13" s="6" t="s">
        <v>15</v>
      </c>
      <c r="F13" s="179">
        <v>46251</v>
      </c>
    </row>
    <row r="14" spans="1:6" x14ac:dyDescent="0.2">
      <c r="A14" s="64" t="s">
        <v>16</v>
      </c>
      <c r="B14" s="67">
        <v>-468289.33</v>
      </c>
      <c r="C14" s="67">
        <v>-468289.33</v>
      </c>
    </row>
    <row r="15" spans="1:6" x14ac:dyDescent="0.2">
      <c r="A15" s="137" t="s">
        <v>17</v>
      </c>
      <c r="B15" s="67">
        <v>881922.6</v>
      </c>
      <c r="C15" s="67">
        <v>881922.6</v>
      </c>
    </row>
    <row r="16" spans="1:6" x14ac:dyDescent="0.2">
      <c r="A16" s="196" t="s">
        <v>18</v>
      </c>
      <c r="B16" s="195">
        <v>-367481.86</v>
      </c>
      <c r="C16" s="195">
        <v>-367481.86</v>
      </c>
    </row>
    <row r="17" spans="1:3" x14ac:dyDescent="0.2">
      <c r="A17" s="64" t="s">
        <v>16</v>
      </c>
      <c r="B17" s="67">
        <v>-16901059.16</v>
      </c>
      <c r="C17" s="67">
        <v>-16901059.16</v>
      </c>
    </row>
    <row r="18" spans="1:3" x14ac:dyDescent="0.2">
      <c r="A18" s="137" t="s">
        <v>19</v>
      </c>
      <c r="B18" s="67">
        <v>-9056.2800000000007</v>
      </c>
      <c r="C18" s="67">
        <v>-9056.2800000000007</v>
      </c>
    </row>
    <row r="19" spans="1:3" x14ac:dyDescent="0.2">
      <c r="A19" s="137" t="s">
        <v>20</v>
      </c>
      <c r="B19" s="67">
        <v>12146507.859999999</v>
      </c>
      <c r="C19" s="67">
        <v>12146507.859999999</v>
      </c>
    </row>
    <row r="20" spans="1:3" x14ac:dyDescent="0.2">
      <c r="A20" s="137" t="s">
        <v>21</v>
      </c>
      <c r="B20" s="67">
        <v>4396125.72</v>
      </c>
      <c r="C20" s="67">
        <v>4396125.72</v>
      </c>
    </row>
    <row r="21" spans="1:3" x14ac:dyDescent="0.2">
      <c r="A21" s="196" t="s">
        <v>22</v>
      </c>
      <c r="B21" s="195">
        <v>-124729.56</v>
      </c>
      <c r="C21" s="195">
        <v>-124729.56</v>
      </c>
    </row>
    <row r="22" spans="1:3" x14ac:dyDescent="0.2">
      <c r="A22" s="64" t="s">
        <v>16</v>
      </c>
      <c r="B22" s="67">
        <v>-124729.56</v>
      </c>
      <c r="C22" s="67">
        <v>-124729.56</v>
      </c>
    </row>
    <row r="23" spans="1:3" x14ac:dyDescent="0.2">
      <c r="A23" s="196" t="s">
        <v>23</v>
      </c>
      <c r="B23" s="195">
        <v>-90000</v>
      </c>
      <c r="C23" s="195">
        <v>-90000</v>
      </c>
    </row>
    <row r="24" spans="1:3" x14ac:dyDescent="0.2">
      <c r="A24" s="64" t="s">
        <v>17</v>
      </c>
      <c r="B24" s="67">
        <v>3000</v>
      </c>
      <c r="C24" s="67">
        <v>3000</v>
      </c>
    </row>
    <row r="25" spans="1:3" x14ac:dyDescent="0.2">
      <c r="A25" s="137" t="s">
        <v>24</v>
      </c>
      <c r="B25" s="67">
        <v>-93000</v>
      </c>
      <c r="C25" s="67">
        <v>-93000</v>
      </c>
    </row>
    <row r="26" spans="1:3" x14ac:dyDescent="0.2">
      <c r="A26" s="196" t="s">
        <v>25</v>
      </c>
      <c r="B26" s="195">
        <v>-366792.2</v>
      </c>
      <c r="C26" s="195">
        <v>-366792.2</v>
      </c>
    </row>
    <row r="27" spans="1:3" x14ac:dyDescent="0.2">
      <c r="A27" s="64" t="s">
        <v>17</v>
      </c>
      <c r="B27" s="67">
        <v>245000</v>
      </c>
      <c r="C27" s="67">
        <v>245000</v>
      </c>
    </row>
    <row r="28" spans="1:3" x14ac:dyDescent="0.2">
      <c r="A28" s="137" t="s">
        <v>26</v>
      </c>
      <c r="B28" s="67">
        <v>-245000</v>
      </c>
      <c r="C28" s="67">
        <v>-245000</v>
      </c>
    </row>
    <row r="29" spans="1:3" x14ac:dyDescent="0.2">
      <c r="A29" s="137" t="s">
        <v>27</v>
      </c>
      <c r="B29" s="67">
        <v>-366792.2</v>
      </c>
      <c r="C29" s="67">
        <v>-366792.2</v>
      </c>
    </row>
    <row r="30" spans="1:3" x14ac:dyDescent="0.2">
      <c r="A30" s="196" t="s">
        <v>28</v>
      </c>
      <c r="B30" s="195">
        <v>19414.2</v>
      </c>
      <c r="C30" s="195">
        <v>19414.2</v>
      </c>
    </row>
    <row r="31" spans="1:3" x14ac:dyDescent="0.2">
      <c r="A31" s="64" t="s">
        <v>12</v>
      </c>
      <c r="B31" s="67">
        <v>9707.1</v>
      </c>
      <c r="C31" s="67">
        <v>9707.1</v>
      </c>
    </row>
    <row r="32" spans="1:3" x14ac:dyDescent="0.2">
      <c r="A32" s="137" t="s">
        <v>29</v>
      </c>
      <c r="B32" s="67">
        <v>9707.1</v>
      </c>
      <c r="C32" s="67">
        <v>9707.1</v>
      </c>
    </row>
    <row r="33" spans="1:3" x14ac:dyDescent="0.2">
      <c r="A33" s="196" t="s">
        <v>30</v>
      </c>
      <c r="B33" s="195">
        <v>8969634.3800000008</v>
      </c>
      <c r="C33" s="195">
        <v>8969634.3800000008</v>
      </c>
    </row>
    <row r="34" spans="1:3" x14ac:dyDescent="0.2">
      <c r="A34" s="64" t="s">
        <v>16</v>
      </c>
      <c r="B34" s="67">
        <v>-295962.88</v>
      </c>
      <c r="C34" s="67">
        <v>-295962.88</v>
      </c>
    </row>
    <row r="35" spans="1:3" x14ac:dyDescent="0.2">
      <c r="A35" s="137" t="s">
        <v>12</v>
      </c>
      <c r="B35" s="67">
        <v>9722736.1999999993</v>
      </c>
      <c r="C35" s="67">
        <v>9722736.1999999993</v>
      </c>
    </row>
    <row r="36" spans="1:3" x14ac:dyDescent="0.2">
      <c r="A36" s="137" t="s">
        <v>27</v>
      </c>
      <c r="B36" s="67">
        <v>-19318.5</v>
      </c>
      <c r="C36" s="67">
        <v>-19318.5</v>
      </c>
    </row>
    <row r="37" spans="1:3" x14ac:dyDescent="0.2">
      <c r="A37" s="137" t="s">
        <v>24</v>
      </c>
      <c r="B37" s="67">
        <v>-816586.8</v>
      </c>
      <c r="C37" s="67">
        <v>-816586.8</v>
      </c>
    </row>
    <row r="38" spans="1:3" x14ac:dyDescent="0.2">
      <c r="A38" s="137" t="s">
        <v>31</v>
      </c>
      <c r="B38" s="67">
        <v>378766.36</v>
      </c>
      <c r="C38" s="67">
        <v>378766.36</v>
      </c>
    </row>
    <row r="39" spans="1:3" x14ac:dyDescent="0.2">
      <c r="A39" s="196" t="s">
        <v>32</v>
      </c>
      <c r="B39" s="195">
        <v>175352.45</v>
      </c>
      <c r="C39" s="195">
        <v>175352.45</v>
      </c>
    </row>
    <row r="40" spans="1:3" x14ac:dyDescent="0.2">
      <c r="A40" s="64" t="s">
        <v>16</v>
      </c>
      <c r="B40" s="67">
        <v>175352.45</v>
      </c>
      <c r="C40" s="67">
        <v>175352.45</v>
      </c>
    </row>
    <row r="41" spans="1:3" x14ac:dyDescent="0.2">
      <c r="A41" s="196" t="s">
        <v>33</v>
      </c>
      <c r="B41" s="195">
        <v>-19545.13</v>
      </c>
      <c r="C41" s="195">
        <v>-19545.13</v>
      </c>
    </row>
    <row r="42" spans="1:3" x14ac:dyDescent="0.2">
      <c r="A42" s="64" t="s">
        <v>16</v>
      </c>
      <c r="B42" s="67">
        <v>-19545.13</v>
      </c>
      <c r="C42" s="67">
        <v>-19545.13</v>
      </c>
    </row>
    <row r="43" spans="1:3" x14ac:dyDescent="0.2">
      <c r="A43" s="196" t="s">
        <v>34</v>
      </c>
      <c r="B43" s="195">
        <v>143905.24</v>
      </c>
      <c r="C43" s="195">
        <v>143905.24</v>
      </c>
    </row>
    <row r="44" spans="1:3" x14ac:dyDescent="0.2">
      <c r="A44" s="64" t="s">
        <v>16</v>
      </c>
      <c r="B44" s="67">
        <v>143905.24</v>
      </c>
      <c r="C44" s="67">
        <v>143905.24</v>
      </c>
    </row>
    <row r="45" spans="1:3" x14ac:dyDescent="0.2">
      <c r="A45" s="196" t="s">
        <v>35</v>
      </c>
      <c r="B45" s="195">
        <v>573095.24</v>
      </c>
      <c r="C45" s="195">
        <v>573095.24</v>
      </c>
    </row>
    <row r="46" spans="1:3" x14ac:dyDescent="0.2">
      <c r="A46" s="64" t="s">
        <v>36</v>
      </c>
      <c r="B46" s="67">
        <v>573095.24</v>
      </c>
      <c r="C46" s="67">
        <v>573095.24</v>
      </c>
    </row>
    <row r="47" spans="1:3" x14ac:dyDescent="0.2">
      <c r="A47" s="196" t="s">
        <v>37</v>
      </c>
      <c r="B47" s="195">
        <v>903087.96</v>
      </c>
      <c r="C47" s="195">
        <v>903087.96</v>
      </c>
    </row>
    <row r="48" spans="1:3" x14ac:dyDescent="0.2">
      <c r="A48" s="64" t="s">
        <v>16</v>
      </c>
      <c r="B48" s="67">
        <v>903087.96</v>
      </c>
      <c r="C48" s="67">
        <v>903087.96</v>
      </c>
    </row>
    <row r="49" spans="1:3" x14ac:dyDescent="0.2">
      <c r="A49" s="196" t="s">
        <v>38</v>
      </c>
      <c r="B49" s="195">
        <v>11287.15</v>
      </c>
      <c r="C49" s="195">
        <v>11287.15</v>
      </c>
    </row>
    <row r="50" spans="1:3" x14ac:dyDescent="0.2">
      <c r="A50" s="64" t="s">
        <v>16</v>
      </c>
      <c r="B50" s="67">
        <v>11287.15</v>
      </c>
      <c r="C50" s="67">
        <v>11287.15</v>
      </c>
    </row>
    <row r="51" spans="1:3" x14ac:dyDescent="0.2">
      <c r="A51" s="196" t="s">
        <v>39</v>
      </c>
      <c r="B51" s="195">
        <v>708600</v>
      </c>
      <c r="C51" s="195">
        <v>708600</v>
      </c>
    </row>
    <row r="52" spans="1:3" x14ac:dyDescent="0.2">
      <c r="A52" s="64" t="s">
        <v>36</v>
      </c>
      <c r="B52" s="67">
        <v>708600</v>
      </c>
      <c r="C52" s="67">
        <v>708600</v>
      </c>
    </row>
    <row r="53" spans="1:3" x14ac:dyDescent="0.2">
      <c r="A53" s="196" t="s">
        <v>40</v>
      </c>
      <c r="B53" s="195">
        <v>-876000</v>
      </c>
      <c r="C53" s="195">
        <v>-876000</v>
      </c>
    </row>
    <row r="54" spans="1:3" x14ac:dyDescent="0.2">
      <c r="A54" s="64" t="s">
        <v>27</v>
      </c>
      <c r="B54" s="67">
        <v>-876000</v>
      </c>
      <c r="C54" s="67">
        <v>-876000</v>
      </c>
    </row>
    <row r="55" spans="1:3" x14ac:dyDescent="0.2">
      <c r="A55" s="197" t="s">
        <v>41</v>
      </c>
      <c r="B55" s="198">
        <v>9611907.9000000004</v>
      </c>
      <c r="C55" s="198">
        <v>9611907.9000000004</v>
      </c>
    </row>
    <row r="56" spans="1:3" x14ac:dyDescent="0.2">
      <c r="A56" s="64"/>
      <c r="B56" s="67"/>
      <c r="C56" s="67"/>
    </row>
    <row r="57" spans="1:3" x14ac:dyDescent="0.2">
      <c r="A57" s="137"/>
      <c r="B57" s="67"/>
      <c r="C57" s="67"/>
    </row>
    <row r="58" spans="1:3" x14ac:dyDescent="0.2">
      <c r="A58" s="64"/>
      <c r="B58" s="67"/>
      <c r="C58" s="67"/>
    </row>
  </sheetData>
  <mergeCells count="5">
    <mergeCell ref="A1:C1"/>
    <mergeCell ref="A5:C5"/>
    <mergeCell ref="A3:C3"/>
    <mergeCell ref="A4:C4"/>
    <mergeCell ref="A2:C2"/>
  </mergeCells>
  <pageMargins left="0.7" right="0.7" top="0.75" bottom="0.75" header="0.3" footer="0.3"/>
  <headerFooter>
    <oddFooter>&amp;C_x000D_&amp;1#&amp;"Aptos"&amp;10&amp;K0000FF PUBLIC</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
  <dimension ref="A1:AM63"/>
  <sheetViews>
    <sheetView topLeftCell="A19" zoomScale="80" zoomScaleNormal="80" workbookViewId="0">
      <selection sqref="A1:C1"/>
    </sheetView>
  </sheetViews>
  <sheetFormatPr defaultColWidth="23.140625" defaultRowHeight="11.25" x14ac:dyDescent="0.2"/>
  <cols>
    <col min="1" max="1" width="5.85546875" style="112" customWidth="1"/>
    <col min="2" max="3" width="8.42578125" style="112" customWidth="1"/>
    <col min="4" max="4" width="43.42578125" style="112" customWidth="1"/>
    <col min="5" max="5" width="12.85546875" style="112" customWidth="1"/>
    <col min="6" max="6" width="13.85546875" style="112" customWidth="1"/>
    <col min="7" max="7" width="34" style="112" customWidth="1"/>
    <col min="8" max="8" width="36.140625" style="112" customWidth="1"/>
    <col min="9" max="9" width="23.140625" style="112" customWidth="1"/>
    <col min="10" max="10" width="10" style="112" customWidth="1"/>
    <col min="11" max="11" width="14.42578125" style="114" bestFit="1" customWidth="1"/>
    <col min="12" max="12" width="16.7109375" style="114" bestFit="1" customWidth="1"/>
    <col min="13" max="13" width="13.7109375" style="114" bestFit="1" customWidth="1"/>
    <col min="14" max="15" width="5.7109375" style="112" customWidth="1"/>
    <col min="16" max="16" width="24.5703125" style="112" customWidth="1"/>
    <col min="17" max="17" width="11.5703125" style="112" customWidth="1"/>
    <col min="18" max="18" width="10.28515625" style="112" customWidth="1"/>
    <col min="19" max="19" width="12" style="112" customWidth="1"/>
    <col min="20" max="20" width="6.5703125" style="112" customWidth="1"/>
    <col min="21" max="22" width="23.140625" style="112" customWidth="1"/>
    <col min="23" max="24" width="5.28515625" style="112" customWidth="1"/>
    <col min="25" max="25" width="7.85546875" style="112" customWidth="1"/>
    <col min="26" max="30" width="5.28515625" style="112" customWidth="1"/>
    <col min="31" max="36" width="10.5703125" style="112" customWidth="1"/>
    <col min="37" max="37" width="23.140625" style="112" customWidth="1"/>
    <col min="38" max="16384" width="23.140625" style="112"/>
  </cols>
  <sheetData>
    <row r="1" spans="1:39" ht="17.25" customHeight="1" x14ac:dyDescent="0.2">
      <c r="D1" s="74" t="s">
        <v>231</v>
      </c>
    </row>
    <row r="2" spans="1:39" ht="17.25" customHeight="1" x14ac:dyDescent="0.2">
      <c r="D2" s="170" t="s">
        <v>232</v>
      </c>
      <c r="F2" s="113"/>
      <c r="H2" s="99"/>
      <c r="I2" s="177"/>
      <c r="L2" s="112"/>
      <c r="N2" s="114"/>
    </row>
    <row r="3" spans="1:39" ht="17.25" customHeight="1" x14ac:dyDescent="0.2">
      <c r="D3" s="115" t="s">
        <v>233</v>
      </c>
      <c r="F3" s="113"/>
      <c r="I3" s="177"/>
      <c r="L3" s="112"/>
      <c r="N3" s="114"/>
    </row>
    <row r="4" spans="1:39" ht="17.25" customHeight="1" x14ac:dyDescent="0.2">
      <c r="D4" s="167" t="s">
        <v>234</v>
      </c>
      <c r="F4" s="113"/>
      <c r="I4" s="177"/>
      <c r="L4" s="169"/>
      <c r="N4" s="114"/>
    </row>
    <row r="5" spans="1:39" ht="21.6" customHeight="1" x14ac:dyDescent="0.2">
      <c r="F5" s="113"/>
      <c r="L5" s="114">
        <f>SUBTOTAL(9,L7:L1048576)</f>
        <v>9698733.9799999986</v>
      </c>
    </row>
    <row r="6" spans="1:39" x14ac:dyDescent="0.2">
      <c r="A6" s="191" t="s">
        <v>44</v>
      </c>
      <c r="B6" s="192" t="s">
        <v>235</v>
      </c>
      <c r="C6" s="192" t="s">
        <v>236</v>
      </c>
      <c r="D6" s="192" t="s">
        <v>237</v>
      </c>
      <c r="E6" s="92" t="s">
        <v>238</v>
      </c>
      <c r="F6" s="93" t="s">
        <v>239</v>
      </c>
      <c r="G6" s="93" t="s">
        <v>240</v>
      </c>
      <c r="H6" s="93" t="s">
        <v>241</v>
      </c>
      <c r="I6" s="93" t="s">
        <v>242</v>
      </c>
      <c r="J6" s="93" t="s">
        <v>243</v>
      </c>
      <c r="K6" s="118" t="s">
        <v>244</v>
      </c>
      <c r="L6" s="118" t="s">
        <v>245</v>
      </c>
      <c r="M6" s="118" t="s">
        <v>246</v>
      </c>
      <c r="N6" s="93" t="s">
        <v>247</v>
      </c>
      <c r="O6" s="93" t="s">
        <v>248</v>
      </c>
      <c r="P6" s="93" t="s">
        <v>249</v>
      </c>
      <c r="Q6" s="93" t="s">
        <v>250</v>
      </c>
      <c r="R6" s="93" t="s">
        <v>251</v>
      </c>
      <c r="S6" s="93" t="s">
        <v>252</v>
      </c>
      <c r="T6" s="93" t="s">
        <v>253</v>
      </c>
      <c r="U6" s="93" t="s">
        <v>254</v>
      </c>
      <c r="V6" s="93" t="s">
        <v>255</v>
      </c>
      <c r="W6" s="94" t="s">
        <v>256</v>
      </c>
      <c r="X6" s="94" t="s">
        <v>257</v>
      </c>
      <c r="Y6" s="94" t="s">
        <v>258</v>
      </c>
      <c r="Z6" s="94" t="s">
        <v>259</v>
      </c>
      <c r="AA6" s="94" t="s">
        <v>260</v>
      </c>
      <c r="AB6" s="94" t="s">
        <v>261</v>
      </c>
      <c r="AC6" s="94" t="s">
        <v>262</v>
      </c>
      <c r="AD6" s="94" t="s">
        <v>263</v>
      </c>
      <c r="AE6" s="93" t="s">
        <v>264</v>
      </c>
      <c r="AF6" s="93" t="s">
        <v>265</v>
      </c>
      <c r="AG6" s="93" t="s">
        <v>266</v>
      </c>
      <c r="AH6" s="93" t="s">
        <v>267</v>
      </c>
      <c r="AI6" s="93" t="s">
        <v>268</v>
      </c>
      <c r="AJ6" s="93" t="s">
        <v>269</v>
      </c>
      <c r="AK6" s="93" t="s">
        <v>270</v>
      </c>
      <c r="AL6" s="93" t="s">
        <v>271</v>
      </c>
      <c r="AM6" s="93" t="s">
        <v>272</v>
      </c>
    </row>
    <row r="7" spans="1:39" x14ac:dyDescent="0.2">
      <c r="A7" s="116">
        <f t="shared" ref="A7:A38" ca="1" si="0">TODAY()-AK7</f>
        <v>657</v>
      </c>
      <c r="B7" s="112" t="str">
        <f ca="1">IFERROR(VLOOKUP(A7,'Aging Formulas'!A:B,2,FALSE),"365+")</f>
        <v>365+</v>
      </c>
      <c r="D7" s="134" t="s">
        <v>273</v>
      </c>
      <c r="E7" s="112" t="s">
        <v>274</v>
      </c>
      <c r="F7" s="112" t="s">
        <v>11</v>
      </c>
      <c r="G7" s="112" t="s">
        <v>275</v>
      </c>
      <c r="H7" s="112" t="s">
        <v>276</v>
      </c>
      <c r="I7" s="112" t="s">
        <v>9</v>
      </c>
      <c r="J7" s="112" t="s">
        <v>277</v>
      </c>
      <c r="K7" s="114">
        <v>-245120</v>
      </c>
      <c r="L7" s="114">
        <v>-245120</v>
      </c>
      <c r="M7" s="114">
        <v>-245120</v>
      </c>
      <c r="N7" s="112" t="s">
        <v>278</v>
      </c>
      <c r="O7" s="112" t="s">
        <v>278</v>
      </c>
      <c r="P7" s="112" t="s">
        <v>279</v>
      </c>
      <c r="Q7" s="112" t="s">
        <v>280</v>
      </c>
      <c r="R7" s="112" t="s">
        <v>281</v>
      </c>
      <c r="S7" s="112" t="s">
        <v>282</v>
      </c>
      <c r="T7" s="112" t="s">
        <v>283</v>
      </c>
      <c r="U7" s="112" t="s">
        <v>284</v>
      </c>
      <c r="V7" s="112" t="s">
        <v>285</v>
      </c>
      <c r="W7" s="112">
        <v>101</v>
      </c>
      <c r="X7" s="112">
        <v>12012</v>
      </c>
      <c r="Y7" s="112">
        <v>245011</v>
      </c>
      <c r="Z7" s="112">
        <v>9999</v>
      </c>
      <c r="AA7" s="112">
        <v>999</v>
      </c>
      <c r="AB7" s="112">
        <v>999</v>
      </c>
      <c r="AC7" s="112">
        <v>9999</v>
      </c>
      <c r="AD7" s="112">
        <v>9999</v>
      </c>
      <c r="AE7" s="112" t="s">
        <v>1</v>
      </c>
      <c r="AF7" s="112" t="s">
        <v>227</v>
      </c>
      <c r="AG7" s="112" t="s">
        <v>227</v>
      </c>
      <c r="AH7" s="112" t="s">
        <v>286</v>
      </c>
      <c r="AJ7" s="112" t="s">
        <v>227</v>
      </c>
      <c r="AK7" s="112">
        <v>45594</v>
      </c>
      <c r="AL7" s="112" t="s">
        <v>287</v>
      </c>
      <c r="AM7" s="112" t="s">
        <v>288</v>
      </c>
    </row>
    <row r="8" spans="1:39" x14ac:dyDescent="0.2">
      <c r="A8" s="116">
        <f t="shared" ca="1" si="0"/>
        <v>655</v>
      </c>
      <c r="B8" s="112" t="str">
        <f ca="1">IFERROR(VLOOKUP(A8,'Aging Formulas'!A:B,2,FALSE),"365+")</f>
        <v>365+</v>
      </c>
      <c r="D8" s="134" t="s">
        <v>289</v>
      </c>
      <c r="E8" s="112" t="s">
        <v>290</v>
      </c>
      <c r="F8" s="112" t="s">
        <v>8</v>
      </c>
      <c r="G8" s="112" t="s">
        <v>291</v>
      </c>
      <c r="H8" s="112" t="s">
        <v>292</v>
      </c>
      <c r="I8" s="112" t="s">
        <v>9</v>
      </c>
      <c r="J8" s="112" t="s">
        <v>277</v>
      </c>
      <c r="K8" s="114">
        <v>-180047.12</v>
      </c>
      <c r="L8" s="114">
        <v>-180047.12</v>
      </c>
      <c r="M8" s="114">
        <v>-180047.12</v>
      </c>
      <c r="N8" s="112" t="s">
        <v>278</v>
      </c>
      <c r="O8" s="112" t="s">
        <v>278</v>
      </c>
      <c r="P8" s="112" t="s">
        <v>293</v>
      </c>
      <c r="Q8" s="112" t="s">
        <v>280</v>
      </c>
      <c r="R8" s="112" t="s">
        <v>281</v>
      </c>
      <c r="S8" s="112" t="s">
        <v>282</v>
      </c>
      <c r="T8" s="112" t="s">
        <v>294</v>
      </c>
      <c r="U8" s="112" t="s">
        <v>295</v>
      </c>
      <c r="V8" s="112" t="s">
        <v>296</v>
      </c>
      <c r="W8" s="112">
        <v>101</v>
      </c>
      <c r="X8" s="112">
        <v>13008</v>
      </c>
      <c r="Y8" s="112">
        <v>245011</v>
      </c>
      <c r="Z8" s="112">
        <v>9999</v>
      </c>
      <c r="AA8" s="112">
        <v>999</v>
      </c>
      <c r="AB8" s="112">
        <v>999</v>
      </c>
      <c r="AC8" s="112">
        <v>9999</v>
      </c>
      <c r="AD8" s="112">
        <v>9999</v>
      </c>
      <c r="AE8" s="112" t="s">
        <v>1</v>
      </c>
      <c r="AF8" s="112" t="s">
        <v>227</v>
      </c>
      <c r="AG8" s="112" t="s">
        <v>227</v>
      </c>
      <c r="AH8" s="112" t="s">
        <v>286</v>
      </c>
      <c r="AJ8" s="112" t="s">
        <v>227</v>
      </c>
      <c r="AK8" s="112">
        <v>45596</v>
      </c>
      <c r="AL8" s="112" t="s">
        <v>287</v>
      </c>
      <c r="AM8" s="112" t="s">
        <v>288</v>
      </c>
    </row>
    <row r="9" spans="1:39" x14ac:dyDescent="0.2">
      <c r="A9" s="116">
        <f t="shared" ca="1" si="0"/>
        <v>655</v>
      </c>
      <c r="B9" s="112" t="str">
        <f ca="1">IFERROR(VLOOKUP(A9,'Aging Formulas'!A:B,2,FALSE),"365+")</f>
        <v>365+</v>
      </c>
      <c r="D9" s="134" t="s">
        <v>289</v>
      </c>
      <c r="E9" s="112" t="s">
        <v>290</v>
      </c>
      <c r="F9" s="112" t="s">
        <v>8</v>
      </c>
      <c r="G9" s="112" t="s">
        <v>297</v>
      </c>
      <c r="H9" s="112" t="s">
        <v>298</v>
      </c>
      <c r="I9" s="112" t="s">
        <v>9</v>
      </c>
      <c r="J9" s="112" t="s">
        <v>277</v>
      </c>
      <c r="K9" s="114">
        <v>-180047.12</v>
      </c>
      <c r="L9" s="114">
        <v>-180047.12</v>
      </c>
      <c r="M9" s="114">
        <v>-180047.12</v>
      </c>
      <c r="N9" s="112" t="s">
        <v>278</v>
      </c>
      <c r="O9" s="112" t="s">
        <v>278</v>
      </c>
      <c r="P9" s="112" t="s">
        <v>299</v>
      </c>
      <c r="Q9" s="112" t="s">
        <v>280</v>
      </c>
      <c r="R9" s="112" t="s">
        <v>281</v>
      </c>
      <c r="S9" s="112" t="s">
        <v>282</v>
      </c>
      <c r="T9" s="112" t="s">
        <v>294</v>
      </c>
      <c r="U9" s="112" t="s">
        <v>295</v>
      </c>
      <c r="V9" s="112" t="s">
        <v>296</v>
      </c>
      <c r="W9" s="112">
        <v>101</v>
      </c>
      <c r="X9" s="112">
        <v>13008</v>
      </c>
      <c r="Y9" s="112">
        <v>245011</v>
      </c>
      <c r="Z9" s="112">
        <v>9999</v>
      </c>
      <c r="AA9" s="112">
        <v>999</v>
      </c>
      <c r="AB9" s="112">
        <v>999</v>
      </c>
      <c r="AC9" s="112">
        <v>9999</v>
      </c>
      <c r="AD9" s="112">
        <v>9999</v>
      </c>
      <c r="AE9" s="112" t="s">
        <v>1</v>
      </c>
      <c r="AF9" s="112" t="s">
        <v>227</v>
      </c>
      <c r="AG9" s="112" t="s">
        <v>227</v>
      </c>
      <c r="AH9" s="112" t="s">
        <v>286</v>
      </c>
      <c r="AJ9" s="112" t="s">
        <v>227</v>
      </c>
      <c r="AK9" s="112">
        <v>45596</v>
      </c>
      <c r="AL9" s="112" t="s">
        <v>287</v>
      </c>
      <c r="AM9" s="112" t="s">
        <v>288</v>
      </c>
    </row>
    <row r="10" spans="1:39" x14ac:dyDescent="0.2">
      <c r="A10" s="116">
        <f t="shared" ca="1" si="0"/>
        <v>594</v>
      </c>
      <c r="B10" s="112" t="str">
        <f ca="1">IFERROR(VLOOKUP(A10,'Aging Formulas'!A:B,2,FALSE),"365+")</f>
        <v>365+</v>
      </c>
      <c r="D10" s="134" t="s">
        <v>300</v>
      </c>
      <c r="E10" s="112" t="s">
        <v>290</v>
      </c>
      <c r="F10" s="112" t="s">
        <v>14</v>
      </c>
      <c r="G10" s="112" t="s">
        <v>301</v>
      </c>
      <c r="H10" s="112" t="s">
        <v>302</v>
      </c>
      <c r="I10" s="112" t="s">
        <v>17</v>
      </c>
      <c r="J10" s="112" t="s">
        <v>303</v>
      </c>
      <c r="K10" s="114">
        <v>881922.6</v>
      </c>
      <c r="L10" s="114">
        <v>881922.6</v>
      </c>
      <c r="M10" s="114">
        <v>881922.6</v>
      </c>
      <c r="N10" s="112" t="s">
        <v>278</v>
      </c>
      <c r="O10" s="112" t="s">
        <v>278</v>
      </c>
      <c r="P10" s="112" t="s">
        <v>304</v>
      </c>
      <c r="Q10" s="112" t="s">
        <v>280</v>
      </c>
      <c r="R10" s="112" t="s">
        <v>281</v>
      </c>
      <c r="S10" s="112" t="s">
        <v>282</v>
      </c>
      <c r="T10" s="112" t="s">
        <v>294</v>
      </c>
      <c r="U10" s="112" t="s">
        <v>305</v>
      </c>
      <c r="V10" s="112" t="s">
        <v>306</v>
      </c>
      <c r="W10" s="112">
        <v>101</v>
      </c>
      <c r="X10" s="112">
        <v>13016</v>
      </c>
      <c r="Y10" s="112">
        <v>245011</v>
      </c>
      <c r="Z10" s="112">
        <v>9999</v>
      </c>
      <c r="AA10" s="112">
        <v>999</v>
      </c>
      <c r="AB10" s="112">
        <v>999</v>
      </c>
      <c r="AC10" s="112">
        <v>9999</v>
      </c>
      <c r="AD10" s="112">
        <v>9999</v>
      </c>
      <c r="AE10" s="112" t="s">
        <v>1</v>
      </c>
      <c r="AF10" s="112" t="s">
        <v>227</v>
      </c>
      <c r="AG10" s="112" t="s">
        <v>227</v>
      </c>
      <c r="AH10" s="112" t="s">
        <v>286</v>
      </c>
      <c r="AJ10" s="112" t="s">
        <v>227</v>
      </c>
      <c r="AK10" s="112">
        <v>45657</v>
      </c>
      <c r="AL10" s="112" t="s">
        <v>287</v>
      </c>
      <c r="AM10" s="112" t="s">
        <v>288</v>
      </c>
    </row>
    <row r="11" spans="1:39" x14ac:dyDescent="0.2">
      <c r="A11" s="116">
        <f t="shared" ca="1" si="0"/>
        <v>563</v>
      </c>
      <c r="B11" s="112" t="str">
        <f ca="1">IFERROR(VLOOKUP(A11,'Aging Formulas'!A:B,2,FALSE),"365+")</f>
        <v>365+</v>
      </c>
      <c r="D11" s="134" t="s">
        <v>307</v>
      </c>
      <c r="E11" s="112" t="s">
        <v>308</v>
      </c>
      <c r="F11" s="112" t="s">
        <v>18</v>
      </c>
      <c r="G11" s="112" t="s">
        <v>309</v>
      </c>
      <c r="H11" s="112" t="s">
        <v>310</v>
      </c>
      <c r="I11" s="112" t="s">
        <v>19</v>
      </c>
      <c r="J11" s="112" t="s">
        <v>311</v>
      </c>
      <c r="K11" s="114">
        <v>-1293.75</v>
      </c>
      <c r="L11" s="114">
        <v>-1293.75</v>
      </c>
      <c r="M11" s="114">
        <v>-1293.75</v>
      </c>
      <c r="N11" s="112" t="s">
        <v>278</v>
      </c>
      <c r="O11" s="112" t="s">
        <v>278</v>
      </c>
      <c r="P11" s="112" t="s">
        <v>312</v>
      </c>
      <c r="Q11" s="112" t="s">
        <v>280</v>
      </c>
      <c r="R11" s="112" t="s">
        <v>281</v>
      </c>
      <c r="S11" s="112" t="s">
        <v>282</v>
      </c>
      <c r="T11" s="112" t="s">
        <v>283</v>
      </c>
      <c r="U11" s="112" t="s">
        <v>313</v>
      </c>
      <c r="V11" s="112" t="s">
        <v>314</v>
      </c>
      <c r="W11" s="112">
        <v>101</v>
      </c>
      <c r="X11" s="112">
        <v>11002</v>
      </c>
      <c r="Y11" s="112">
        <v>245011</v>
      </c>
      <c r="Z11" s="112">
        <v>9999</v>
      </c>
      <c r="AA11" s="112">
        <v>999</v>
      </c>
      <c r="AB11" s="112">
        <v>999</v>
      </c>
      <c r="AC11" s="112">
        <v>9999</v>
      </c>
      <c r="AD11" s="112">
        <v>9999</v>
      </c>
      <c r="AE11" s="112" t="s">
        <v>1</v>
      </c>
      <c r="AF11" s="112" t="s">
        <v>227</v>
      </c>
      <c r="AG11" s="112" t="s">
        <v>227</v>
      </c>
      <c r="AH11" s="112" t="s">
        <v>286</v>
      </c>
      <c r="AJ11" s="112" t="s">
        <v>227</v>
      </c>
      <c r="AK11" s="112">
        <v>45688</v>
      </c>
      <c r="AL11" s="112" t="s">
        <v>315</v>
      </c>
      <c r="AM11" s="112" t="s">
        <v>288</v>
      </c>
    </row>
    <row r="12" spans="1:39" x14ac:dyDescent="0.2">
      <c r="A12" s="116">
        <f t="shared" ca="1" si="0"/>
        <v>504</v>
      </c>
      <c r="B12" s="112" t="str">
        <f ca="1">IFERROR(VLOOKUP(A12,'Aging Formulas'!A:B,2,FALSE),"365+")</f>
        <v>365+</v>
      </c>
      <c r="D12" s="134" t="s">
        <v>316</v>
      </c>
      <c r="E12" s="112" t="s">
        <v>308</v>
      </c>
      <c r="F12" s="112" t="s">
        <v>22</v>
      </c>
      <c r="G12" s="112" t="s">
        <v>317</v>
      </c>
      <c r="H12" s="112" t="s">
        <v>318</v>
      </c>
      <c r="I12" s="112" t="s">
        <v>16</v>
      </c>
      <c r="J12" s="112" t="s">
        <v>319</v>
      </c>
      <c r="K12" s="114">
        <v>-103941.3</v>
      </c>
      <c r="L12" s="114">
        <v>-103941.3</v>
      </c>
      <c r="M12" s="114">
        <v>-103941.3</v>
      </c>
      <c r="N12" s="112" t="s">
        <v>278</v>
      </c>
      <c r="O12" s="112" t="s">
        <v>278</v>
      </c>
      <c r="P12" s="112" t="s">
        <v>320</v>
      </c>
      <c r="Q12" s="112" t="s">
        <v>280</v>
      </c>
      <c r="R12" s="112" t="s">
        <v>281</v>
      </c>
      <c r="S12" s="112" t="s">
        <v>282</v>
      </c>
      <c r="T12" s="112" t="s">
        <v>283</v>
      </c>
      <c r="U12" s="112" t="s">
        <v>313</v>
      </c>
      <c r="V12" s="112" t="s">
        <v>321</v>
      </c>
      <c r="W12" s="112">
        <v>101</v>
      </c>
      <c r="X12" s="112">
        <v>11004</v>
      </c>
      <c r="Y12" s="112">
        <v>245011</v>
      </c>
      <c r="Z12" s="112">
        <v>9999</v>
      </c>
      <c r="AA12" s="112">
        <v>999</v>
      </c>
      <c r="AB12" s="112">
        <v>999</v>
      </c>
      <c r="AC12" s="112">
        <v>9999</v>
      </c>
      <c r="AD12" s="112">
        <v>9999</v>
      </c>
      <c r="AE12" s="112" t="s">
        <v>1</v>
      </c>
      <c r="AF12" s="112" t="s">
        <v>322</v>
      </c>
      <c r="AG12" s="112" t="s">
        <v>227</v>
      </c>
      <c r="AH12" s="112" t="s">
        <v>286</v>
      </c>
      <c r="AJ12" s="112" t="s">
        <v>227</v>
      </c>
      <c r="AK12" s="112">
        <v>45747</v>
      </c>
      <c r="AL12" s="112" t="s">
        <v>315</v>
      </c>
      <c r="AM12" s="112" t="s">
        <v>288</v>
      </c>
    </row>
    <row r="13" spans="1:39" x14ac:dyDescent="0.2">
      <c r="A13" s="116">
        <f t="shared" ca="1" si="0"/>
        <v>504</v>
      </c>
      <c r="B13" s="112" t="str">
        <f ca="1">IFERROR(VLOOKUP(A13,'Aging Formulas'!A:B,2,FALSE),"365+")</f>
        <v>365+</v>
      </c>
      <c r="D13" s="134" t="s">
        <v>316</v>
      </c>
      <c r="E13" s="112" t="s">
        <v>308</v>
      </c>
      <c r="F13" s="112" t="s">
        <v>22</v>
      </c>
      <c r="G13" s="112" t="s">
        <v>317</v>
      </c>
      <c r="H13" s="112" t="s">
        <v>318</v>
      </c>
      <c r="I13" s="112" t="s">
        <v>16</v>
      </c>
      <c r="J13" s="112" t="s">
        <v>319</v>
      </c>
      <c r="K13" s="114">
        <v>-20788.259999999998</v>
      </c>
      <c r="L13" s="114">
        <v>-20788.259999999998</v>
      </c>
      <c r="M13" s="114">
        <v>-20788.259999999998</v>
      </c>
      <c r="N13" s="112" t="s">
        <v>278</v>
      </c>
      <c r="O13" s="112" t="s">
        <v>278</v>
      </c>
      <c r="P13" s="112" t="s">
        <v>320</v>
      </c>
      <c r="Q13" s="112" t="s">
        <v>280</v>
      </c>
      <c r="R13" s="112" t="s">
        <v>281</v>
      </c>
      <c r="S13" s="112" t="s">
        <v>282</v>
      </c>
      <c r="T13" s="112" t="s">
        <v>283</v>
      </c>
      <c r="U13" s="112" t="s">
        <v>313</v>
      </c>
      <c r="V13" s="112" t="s">
        <v>321</v>
      </c>
      <c r="W13" s="112">
        <v>101</v>
      </c>
      <c r="X13" s="112">
        <v>11004</v>
      </c>
      <c r="Y13" s="112">
        <v>245011</v>
      </c>
      <c r="Z13" s="112">
        <v>9999</v>
      </c>
      <c r="AA13" s="112">
        <v>999</v>
      </c>
      <c r="AB13" s="112">
        <v>999</v>
      </c>
      <c r="AC13" s="112">
        <v>9999</v>
      </c>
      <c r="AD13" s="112">
        <v>9999</v>
      </c>
      <c r="AE13" s="112" t="s">
        <v>1</v>
      </c>
      <c r="AF13" s="112" t="s">
        <v>322</v>
      </c>
      <c r="AG13" s="112" t="s">
        <v>227</v>
      </c>
      <c r="AH13" s="112" t="s">
        <v>286</v>
      </c>
      <c r="AJ13" s="112" t="s">
        <v>227</v>
      </c>
      <c r="AK13" s="112">
        <v>45747</v>
      </c>
      <c r="AL13" s="112" t="s">
        <v>315</v>
      </c>
      <c r="AM13" s="112" t="s">
        <v>288</v>
      </c>
    </row>
    <row r="14" spans="1:39" x14ac:dyDescent="0.2">
      <c r="A14" s="116">
        <f t="shared" ca="1" si="0"/>
        <v>443</v>
      </c>
      <c r="B14" s="112" t="str">
        <f ca="1">IFERROR(VLOOKUP(A14,'Aging Formulas'!A:B,2,FALSE),"365+")</f>
        <v>365+</v>
      </c>
      <c r="D14" s="134" t="s">
        <v>307</v>
      </c>
      <c r="E14" s="112" t="s">
        <v>308</v>
      </c>
      <c r="F14" s="189" t="s">
        <v>18</v>
      </c>
      <c r="G14" s="189" t="s">
        <v>323</v>
      </c>
      <c r="H14" s="189" t="s">
        <v>323</v>
      </c>
      <c r="I14" s="189" t="s">
        <v>16</v>
      </c>
      <c r="J14" s="189" t="s">
        <v>324</v>
      </c>
      <c r="K14" s="185">
        <v>-1293.75</v>
      </c>
      <c r="L14" s="185">
        <v>-1293.75</v>
      </c>
      <c r="M14" s="185">
        <v>-1293.75</v>
      </c>
      <c r="N14" s="189" t="s">
        <v>278</v>
      </c>
      <c r="O14" s="189" t="s">
        <v>278</v>
      </c>
      <c r="P14" s="189" t="s">
        <v>325</v>
      </c>
      <c r="Q14" s="189" t="s">
        <v>227</v>
      </c>
      <c r="R14" s="189" t="s">
        <v>281</v>
      </c>
      <c r="S14" s="189" t="s">
        <v>282</v>
      </c>
      <c r="T14" s="189" t="s">
        <v>283</v>
      </c>
      <c r="U14" s="189" t="s">
        <v>313</v>
      </c>
      <c r="V14" s="189" t="s">
        <v>326</v>
      </c>
      <c r="W14" s="186">
        <v>101</v>
      </c>
      <c r="X14" s="186">
        <v>11002</v>
      </c>
      <c r="Y14" s="186">
        <v>245011</v>
      </c>
      <c r="Z14" s="186">
        <v>9999</v>
      </c>
      <c r="AA14" s="186">
        <v>950</v>
      </c>
      <c r="AB14" s="186">
        <v>999</v>
      </c>
      <c r="AC14" s="186">
        <v>9999</v>
      </c>
      <c r="AD14" s="186">
        <v>9999</v>
      </c>
      <c r="AE14" s="189" t="s">
        <v>1</v>
      </c>
      <c r="AF14" s="189" t="s">
        <v>327</v>
      </c>
      <c r="AG14" s="189" t="s">
        <v>227</v>
      </c>
      <c r="AH14" s="189" t="s">
        <v>286</v>
      </c>
      <c r="AI14" s="187"/>
      <c r="AJ14" s="189" t="s">
        <v>227</v>
      </c>
      <c r="AK14" s="188">
        <v>45808</v>
      </c>
      <c r="AL14" s="189" t="s">
        <v>328</v>
      </c>
      <c r="AM14" s="189" t="s">
        <v>288</v>
      </c>
    </row>
    <row r="15" spans="1:39" x14ac:dyDescent="0.2">
      <c r="A15" s="116">
        <f t="shared" ca="1" si="0"/>
        <v>351</v>
      </c>
      <c r="B15" s="112" t="str">
        <f ca="1">IFERROR(VLOOKUP(A15,'Aging Formulas'!A:B,2,FALSE),"365+")</f>
        <v>331-365</v>
      </c>
      <c r="D15" s="193" t="s">
        <v>329</v>
      </c>
      <c r="E15" s="112" t="s">
        <v>274</v>
      </c>
      <c r="F15" s="112" t="s">
        <v>11</v>
      </c>
      <c r="G15" s="112" t="s">
        <v>330</v>
      </c>
      <c r="H15" s="112" t="s">
        <v>331</v>
      </c>
      <c r="I15" s="112" t="s">
        <v>12</v>
      </c>
      <c r="J15" s="112" t="s">
        <v>332</v>
      </c>
      <c r="K15" s="114">
        <v>143661</v>
      </c>
      <c r="L15" s="114">
        <v>143661</v>
      </c>
      <c r="M15" s="114">
        <v>143661</v>
      </c>
      <c r="N15" s="112" t="s">
        <v>278</v>
      </c>
      <c r="O15" s="112" t="s">
        <v>278</v>
      </c>
      <c r="P15" s="112" t="s">
        <v>333</v>
      </c>
      <c r="Q15" s="112" t="s">
        <v>280</v>
      </c>
      <c r="R15" s="112" t="s">
        <v>281</v>
      </c>
      <c r="S15" s="112" t="s">
        <v>282</v>
      </c>
      <c r="T15" s="112" t="s">
        <v>283</v>
      </c>
      <c r="U15" s="112" t="s">
        <v>284</v>
      </c>
      <c r="V15" s="112" t="s">
        <v>334</v>
      </c>
      <c r="W15" s="112">
        <v>101</v>
      </c>
      <c r="X15" s="112">
        <v>12012</v>
      </c>
      <c r="Y15" s="112">
        <v>245011</v>
      </c>
      <c r="Z15" s="112">
        <v>9999</v>
      </c>
      <c r="AA15" s="112">
        <v>950</v>
      </c>
      <c r="AB15" s="112">
        <v>999</v>
      </c>
      <c r="AC15" s="112">
        <v>9999</v>
      </c>
      <c r="AD15" s="112">
        <v>9999</v>
      </c>
      <c r="AE15" s="112" t="s">
        <v>1</v>
      </c>
      <c r="AF15" s="112" t="s">
        <v>335</v>
      </c>
      <c r="AG15" s="112" t="s">
        <v>227</v>
      </c>
      <c r="AH15" s="112" t="s">
        <v>286</v>
      </c>
      <c r="AJ15" s="112" t="s">
        <v>227</v>
      </c>
      <c r="AK15" s="112">
        <v>45900</v>
      </c>
      <c r="AL15" s="112" t="s">
        <v>315</v>
      </c>
      <c r="AM15" s="112" t="s">
        <v>288</v>
      </c>
    </row>
    <row r="16" spans="1:39" x14ac:dyDescent="0.2">
      <c r="A16" s="116">
        <f t="shared" ca="1" si="0"/>
        <v>321</v>
      </c>
      <c r="B16" s="112" t="str">
        <f ca="1">IFERROR(VLOOKUP(A16,'Aging Formulas'!A:B,2,FALSE),"365+")</f>
        <v>301-330</v>
      </c>
      <c r="D16" s="134" t="s">
        <v>307</v>
      </c>
      <c r="E16" s="112" t="s">
        <v>308</v>
      </c>
      <c r="F16" s="112" t="s">
        <v>18</v>
      </c>
      <c r="G16" s="112" t="s">
        <v>336</v>
      </c>
      <c r="H16" s="112" t="s">
        <v>337</v>
      </c>
      <c r="I16" s="112" t="s">
        <v>16</v>
      </c>
      <c r="J16" s="112" t="s">
        <v>338</v>
      </c>
      <c r="K16" s="114">
        <v>-1293.75</v>
      </c>
      <c r="L16" s="114">
        <v>-1293.75</v>
      </c>
      <c r="M16" s="114">
        <v>-1293.75</v>
      </c>
      <c r="N16" s="112" t="s">
        <v>278</v>
      </c>
      <c r="O16" s="112" t="s">
        <v>278</v>
      </c>
      <c r="P16" s="112" t="s">
        <v>339</v>
      </c>
      <c r="Q16" s="112" t="s">
        <v>280</v>
      </c>
      <c r="R16" s="112" t="s">
        <v>281</v>
      </c>
      <c r="S16" s="112" t="s">
        <v>282</v>
      </c>
      <c r="T16" s="112" t="s">
        <v>283</v>
      </c>
      <c r="U16" s="112" t="s">
        <v>313</v>
      </c>
      <c r="V16" s="112" t="s">
        <v>314</v>
      </c>
      <c r="W16" s="112">
        <v>101</v>
      </c>
      <c r="X16" s="112">
        <v>11002</v>
      </c>
      <c r="Y16" s="112">
        <v>245011</v>
      </c>
      <c r="Z16" s="112">
        <v>9999</v>
      </c>
      <c r="AA16" s="112">
        <v>999</v>
      </c>
      <c r="AB16" s="112">
        <v>999</v>
      </c>
      <c r="AC16" s="112">
        <v>9999</v>
      </c>
      <c r="AD16" s="112">
        <v>9999</v>
      </c>
      <c r="AE16" s="112" t="s">
        <v>1</v>
      </c>
      <c r="AF16" s="112" t="s">
        <v>340</v>
      </c>
      <c r="AG16" s="112" t="s">
        <v>227</v>
      </c>
      <c r="AH16" s="112" t="s">
        <v>286</v>
      </c>
      <c r="AJ16" s="112" t="s">
        <v>227</v>
      </c>
      <c r="AK16" s="112">
        <v>45930</v>
      </c>
      <c r="AL16" s="112" t="s">
        <v>315</v>
      </c>
      <c r="AM16" s="112" t="s">
        <v>288</v>
      </c>
    </row>
    <row r="17" spans="1:39" x14ac:dyDescent="0.2">
      <c r="A17" s="116">
        <f t="shared" ca="1" si="0"/>
        <v>321</v>
      </c>
      <c r="B17" s="112" t="str">
        <f ca="1">IFERROR(VLOOKUP(A17,'Aging Formulas'!A:B,2,FALSE),"365+")</f>
        <v>301-330</v>
      </c>
      <c r="D17" s="134" t="s">
        <v>341</v>
      </c>
      <c r="E17" s="112" t="s">
        <v>308</v>
      </c>
      <c r="F17" s="112" t="s">
        <v>23</v>
      </c>
      <c r="G17" s="112" t="s">
        <v>342</v>
      </c>
      <c r="H17" s="112" t="s">
        <v>343</v>
      </c>
      <c r="I17" s="112" t="s">
        <v>17</v>
      </c>
      <c r="J17" s="112" t="s">
        <v>338</v>
      </c>
      <c r="K17" s="114">
        <v>3000</v>
      </c>
      <c r="L17" s="114">
        <v>3000</v>
      </c>
      <c r="M17" s="114">
        <v>3000</v>
      </c>
      <c r="N17" s="112" t="s">
        <v>278</v>
      </c>
      <c r="O17" s="112" t="s">
        <v>278</v>
      </c>
      <c r="P17" s="112" t="s">
        <v>344</v>
      </c>
      <c r="Q17" s="112" t="s">
        <v>280</v>
      </c>
      <c r="R17" s="112" t="s">
        <v>281</v>
      </c>
      <c r="S17" s="112" t="s">
        <v>282</v>
      </c>
      <c r="T17" s="112" t="s">
        <v>283</v>
      </c>
      <c r="U17" s="112" t="s">
        <v>313</v>
      </c>
      <c r="V17" s="112" t="s">
        <v>345</v>
      </c>
      <c r="W17" s="112">
        <v>101</v>
      </c>
      <c r="X17" s="112">
        <v>11003</v>
      </c>
      <c r="Y17" s="112">
        <v>245011</v>
      </c>
      <c r="Z17" s="112">
        <v>9999</v>
      </c>
      <c r="AA17" s="112">
        <v>950</v>
      </c>
      <c r="AB17" s="112">
        <v>999</v>
      </c>
      <c r="AC17" s="112">
        <v>9999</v>
      </c>
      <c r="AD17" s="112">
        <v>9999</v>
      </c>
      <c r="AE17" s="112" t="s">
        <v>1</v>
      </c>
      <c r="AF17" s="112" t="s">
        <v>227</v>
      </c>
      <c r="AG17" s="112" t="s">
        <v>227</v>
      </c>
      <c r="AH17" s="112" t="s">
        <v>286</v>
      </c>
      <c r="AJ17" s="112" t="s">
        <v>227</v>
      </c>
      <c r="AK17" s="112">
        <v>45930</v>
      </c>
      <c r="AL17" s="112" t="s">
        <v>315</v>
      </c>
      <c r="AM17" s="112" t="s">
        <v>288</v>
      </c>
    </row>
    <row r="18" spans="1:39" x14ac:dyDescent="0.2">
      <c r="A18" s="116">
        <f t="shared" ca="1" si="0"/>
        <v>290</v>
      </c>
      <c r="B18" s="112" t="str">
        <f ca="1">IFERROR(VLOOKUP(A18,'Aging Formulas'!A:B,2,FALSE),"365+")</f>
        <v>151-300</v>
      </c>
      <c r="D18" s="134" t="s">
        <v>307</v>
      </c>
      <c r="E18" s="112" t="s">
        <v>308</v>
      </c>
      <c r="F18" s="112" t="s">
        <v>18</v>
      </c>
      <c r="G18" s="112" t="s">
        <v>346</v>
      </c>
      <c r="H18" s="112" t="s">
        <v>347</v>
      </c>
      <c r="I18" s="112" t="s">
        <v>19</v>
      </c>
      <c r="J18" s="112" t="s">
        <v>348</v>
      </c>
      <c r="K18" s="114">
        <v>-1293.75</v>
      </c>
      <c r="L18" s="114">
        <v>-1293.75</v>
      </c>
      <c r="M18" s="114">
        <v>-1293.75</v>
      </c>
      <c r="N18" s="112" t="s">
        <v>278</v>
      </c>
      <c r="O18" s="112" t="s">
        <v>278</v>
      </c>
      <c r="P18" s="112" t="s">
        <v>349</v>
      </c>
      <c r="Q18" s="112" t="s">
        <v>280</v>
      </c>
      <c r="R18" s="112" t="s">
        <v>281</v>
      </c>
      <c r="S18" s="112" t="s">
        <v>282</v>
      </c>
      <c r="T18" s="112" t="s">
        <v>283</v>
      </c>
      <c r="U18" s="112" t="s">
        <v>313</v>
      </c>
      <c r="V18" s="112" t="s">
        <v>314</v>
      </c>
      <c r="W18" s="112">
        <v>101</v>
      </c>
      <c r="X18" s="112">
        <v>11002</v>
      </c>
      <c r="Y18" s="112">
        <v>245011</v>
      </c>
      <c r="Z18" s="112">
        <v>9999</v>
      </c>
      <c r="AA18" s="112">
        <v>999</v>
      </c>
      <c r="AB18" s="112">
        <v>999</v>
      </c>
      <c r="AC18" s="112">
        <v>9999</v>
      </c>
      <c r="AD18" s="112">
        <v>9999</v>
      </c>
      <c r="AE18" s="112" t="s">
        <v>1</v>
      </c>
      <c r="AF18" s="112" t="s">
        <v>340</v>
      </c>
      <c r="AG18" s="112" t="s">
        <v>227</v>
      </c>
      <c r="AH18" s="112" t="s">
        <v>286</v>
      </c>
      <c r="AJ18" s="112" t="s">
        <v>227</v>
      </c>
      <c r="AK18" s="112">
        <v>45961</v>
      </c>
      <c r="AL18" s="112" t="s">
        <v>315</v>
      </c>
      <c r="AM18" s="112" t="s">
        <v>288</v>
      </c>
    </row>
    <row r="19" spans="1:39" x14ac:dyDescent="0.2">
      <c r="A19" s="116">
        <f t="shared" ca="1" si="0"/>
        <v>260</v>
      </c>
      <c r="B19" s="112" t="str">
        <f ca="1">IFERROR(VLOOKUP(A19,'Aging Formulas'!A:B,2,FALSE),"365+")</f>
        <v>151-300</v>
      </c>
      <c r="D19" s="134" t="s">
        <v>307</v>
      </c>
      <c r="E19" s="112" t="s">
        <v>308</v>
      </c>
      <c r="F19" s="112" t="s">
        <v>18</v>
      </c>
      <c r="G19" s="112" t="s">
        <v>350</v>
      </c>
      <c r="H19" s="112" t="s">
        <v>350</v>
      </c>
      <c r="I19" s="112" t="s">
        <v>19</v>
      </c>
      <c r="J19" s="112" t="s">
        <v>351</v>
      </c>
      <c r="K19" s="114">
        <v>-1293.75</v>
      </c>
      <c r="L19" s="114">
        <v>-1293.75</v>
      </c>
      <c r="M19" s="114">
        <v>-1293.75</v>
      </c>
      <c r="N19" s="112" t="s">
        <v>278</v>
      </c>
      <c r="O19" s="112" t="s">
        <v>278</v>
      </c>
      <c r="P19" s="112" t="s">
        <v>352</v>
      </c>
      <c r="Q19" s="112" t="s">
        <v>352</v>
      </c>
      <c r="R19" s="112" t="s">
        <v>281</v>
      </c>
      <c r="S19" s="112" t="s">
        <v>282</v>
      </c>
      <c r="T19" s="112" t="s">
        <v>283</v>
      </c>
      <c r="U19" s="112" t="s">
        <v>313</v>
      </c>
      <c r="V19" s="112" t="s">
        <v>314</v>
      </c>
      <c r="W19" s="112">
        <v>101</v>
      </c>
      <c r="X19" s="112">
        <v>11002</v>
      </c>
      <c r="Y19" s="112">
        <v>245011</v>
      </c>
      <c r="Z19" s="112">
        <v>9999</v>
      </c>
      <c r="AA19" s="112">
        <v>999</v>
      </c>
      <c r="AB19" s="112">
        <v>999</v>
      </c>
      <c r="AC19" s="112">
        <v>9999</v>
      </c>
      <c r="AD19" s="112">
        <v>9999</v>
      </c>
      <c r="AE19" s="112" t="s">
        <v>1</v>
      </c>
      <c r="AF19" s="112" t="s">
        <v>227</v>
      </c>
      <c r="AG19" s="112" t="s">
        <v>227</v>
      </c>
      <c r="AH19" s="112" t="s">
        <v>286</v>
      </c>
      <c r="AJ19" s="112" t="s">
        <v>227</v>
      </c>
      <c r="AK19" s="112">
        <v>45991</v>
      </c>
      <c r="AL19" s="112" t="s">
        <v>328</v>
      </c>
      <c r="AM19" s="112" t="s">
        <v>288</v>
      </c>
    </row>
    <row r="20" spans="1:39" x14ac:dyDescent="0.2">
      <c r="A20" s="116">
        <f t="shared" ca="1" si="0"/>
        <v>199</v>
      </c>
      <c r="B20" s="112" t="str">
        <f ca="1">IFERROR(VLOOKUP(A20,'Aging Formulas'!A:B,2,FALSE),"365+")</f>
        <v>151-300</v>
      </c>
      <c r="D20" s="134" t="s">
        <v>307</v>
      </c>
      <c r="E20" s="112" t="s">
        <v>308</v>
      </c>
      <c r="F20" s="112" t="s">
        <v>18</v>
      </c>
      <c r="G20" s="112" t="s">
        <v>353</v>
      </c>
      <c r="H20" s="112" t="s">
        <v>354</v>
      </c>
      <c r="I20" s="112" t="s">
        <v>19</v>
      </c>
      <c r="J20" s="112" t="s">
        <v>355</v>
      </c>
      <c r="K20" s="114">
        <v>-1293.75</v>
      </c>
      <c r="L20" s="114">
        <v>-1293.75</v>
      </c>
      <c r="M20" s="114">
        <v>-1293.75</v>
      </c>
      <c r="N20" s="112" t="s">
        <v>278</v>
      </c>
      <c r="O20" s="112" t="s">
        <v>278</v>
      </c>
      <c r="P20" s="112" t="s">
        <v>356</v>
      </c>
      <c r="Q20" s="112" t="s">
        <v>280</v>
      </c>
      <c r="R20" s="112" t="s">
        <v>281</v>
      </c>
      <c r="S20" s="112" t="s">
        <v>282</v>
      </c>
      <c r="T20" s="112" t="s">
        <v>283</v>
      </c>
      <c r="U20" s="112" t="s">
        <v>313</v>
      </c>
      <c r="V20" s="112" t="s">
        <v>314</v>
      </c>
      <c r="W20" s="112">
        <v>101</v>
      </c>
      <c r="X20" s="112">
        <v>11002</v>
      </c>
      <c r="Y20" s="112">
        <v>245011</v>
      </c>
      <c r="Z20" s="112">
        <v>9999</v>
      </c>
      <c r="AA20" s="112">
        <v>999</v>
      </c>
      <c r="AB20" s="112">
        <v>999</v>
      </c>
      <c r="AC20" s="112">
        <v>9999</v>
      </c>
      <c r="AD20" s="112">
        <v>9999</v>
      </c>
      <c r="AE20" s="112" t="s">
        <v>1</v>
      </c>
      <c r="AF20" s="112" t="s">
        <v>340</v>
      </c>
      <c r="AG20" s="112" t="s">
        <v>227</v>
      </c>
      <c r="AH20" s="112" t="s">
        <v>286</v>
      </c>
      <c r="AJ20" s="112" t="s">
        <v>227</v>
      </c>
      <c r="AK20" s="112">
        <v>46052</v>
      </c>
      <c r="AL20" s="112" t="s">
        <v>315</v>
      </c>
      <c r="AM20" s="112" t="s">
        <v>288</v>
      </c>
    </row>
    <row r="21" spans="1:39" x14ac:dyDescent="0.2">
      <c r="A21" s="116">
        <f t="shared" ca="1" si="0"/>
        <v>170</v>
      </c>
      <c r="B21" s="112" t="str">
        <f ca="1">IFERROR(VLOOKUP(A21,'Aging Formulas'!A:B,2,FALSE),"365+")</f>
        <v>151-300</v>
      </c>
      <c r="D21" s="134" t="s">
        <v>307</v>
      </c>
      <c r="E21" s="112" t="s">
        <v>308</v>
      </c>
      <c r="F21" s="112" t="s">
        <v>18</v>
      </c>
      <c r="G21" s="112" t="s">
        <v>357</v>
      </c>
      <c r="H21" s="112" t="s">
        <v>358</v>
      </c>
      <c r="I21" s="112" t="s">
        <v>19</v>
      </c>
      <c r="J21" s="112" t="s">
        <v>359</v>
      </c>
      <c r="K21" s="114">
        <v>-1293.75</v>
      </c>
      <c r="L21" s="114">
        <v>-1293.75</v>
      </c>
      <c r="M21" s="114">
        <v>-1293.75</v>
      </c>
      <c r="N21" s="112" t="s">
        <v>278</v>
      </c>
      <c r="O21" s="112" t="s">
        <v>278</v>
      </c>
      <c r="P21" s="112" t="s">
        <v>360</v>
      </c>
      <c r="Q21" s="112" t="s">
        <v>280</v>
      </c>
      <c r="R21" s="112" t="s">
        <v>281</v>
      </c>
      <c r="S21" s="112" t="s">
        <v>282</v>
      </c>
      <c r="T21" s="112" t="s">
        <v>283</v>
      </c>
      <c r="U21" s="112" t="s">
        <v>313</v>
      </c>
      <c r="V21" s="112" t="s">
        <v>314</v>
      </c>
      <c r="W21" s="112">
        <v>101</v>
      </c>
      <c r="X21" s="112">
        <v>11002</v>
      </c>
      <c r="Y21" s="112">
        <v>245011</v>
      </c>
      <c r="Z21" s="112">
        <v>9999</v>
      </c>
      <c r="AA21" s="112">
        <v>999</v>
      </c>
      <c r="AB21" s="112">
        <v>999</v>
      </c>
      <c r="AC21" s="112">
        <v>9999</v>
      </c>
      <c r="AD21" s="112">
        <v>9999</v>
      </c>
      <c r="AE21" s="112" t="s">
        <v>1</v>
      </c>
      <c r="AF21" s="112" t="s">
        <v>340</v>
      </c>
      <c r="AG21" s="112" t="s">
        <v>227</v>
      </c>
      <c r="AH21" s="112" t="s">
        <v>286</v>
      </c>
      <c r="AJ21" s="112" t="s">
        <v>227</v>
      </c>
      <c r="AK21" s="112">
        <v>46081</v>
      </c>
      <c r="AL21" s="112" t="s">
        <v>315</v>
      </c>
      <c r="AM21" s="112" t="s">
        <v>288</v>
      </c>
    </row>
    <row r="22" spans="1:39" x14ac:dyDescent="0.2">
      <c r="A22" s="116">
        <f t="shared" ca="1" si="0"/>
        <v>139</v>
      </c>
      <c r="B22" s="112" t="str">
        <f ca="1">IFERROR(VLOOKUP(A22,'Aging Formulas'!A:B,2,FALSE),"365+")</f>
        <v>121-150</v>
      </c>
      <c r="D22" s="134" t="s">
        <v>361</v>
      </c>
      <c r="E22" s="112" t="s">
        <v>308</v>
      </c>
      <c r="F22" s="112" t="s">
        <v>28</v>
      </c>
      <c r="G22" s="112" t="s">
        <v>362</v>
      </c>
      <c r="H22" s="112" t="s">
        <v>363</v>
      </c>
      <c r="I22" s="112" t="s">
        <v>12</v>
      </c>
      <c r="J22" s="112" t="s">
        <v>364</v>
      </c>
      <c r="K22" s="114">
        <v>9707.1</v>
      </c>
      <c r="L22" s="114">
        <v>9707.1</v>
      </c>
      <c r="M22" s="114">
        <v>9707.1</v>
      </c>
      <c r="N22" s="112" t="s">
        <v>278</v>
      </c>
      <c r="O22" s="112" t="s">
        <v>278</v>
      </c>
      <c r="P22" s="112" t="s">
        <v>365</v>
      </c>
      <c r="Q22" s="112" t="s">
        <v>280</v>
      </c>
      <c r="R22" s="112" t="s">
        <v>281</v>
      </c>
      <c r="S22" s="112" t="s">
        <v>282</v>
      </c>
      <c r="T22" s="112" t="s">
        <v>283</v>
      </c>
      <c r="U22" s="112" t="s">
        <v>366</v>
      </c>
      <c r="V22" s="112" t="s">
        <v>367</v>
      </c>
      <c r="W22" s="112">
        <v>101</v>
      </c>
      <c r="X22" s="112">
        <v>12014</v>
      </c>
      <c r="Y22" s="112">
        <v>245011</v>
      </c>
      <c r="Z22" s="112">
        <v>9999</v>
      </c>
      <c r="AA22" s="112">
        <v>950</v>
      </c>
      <c r="AB22" s="112">
        <v>999</v>
      </c>
      <c r="AC22" s="112">
        <v>9999</v>
      </c>
      <c r="AD22" s="112">
        <v>9999</v>
      </c>
      <c r="AE22" s="112" t="s">
        <v>1</v>
      </c>
      <c r="AF22" s="112" t="s">
        <v>368</v>
      </c>
      <c r="AG22" s="112" t="s">
        <v>227</v>
      </c>
      <c r="AH22" s="112" t="s">
        <v>286</v>
      </c>
      <c r="AJ22" s="112" t="s">
        <v>227</v>
      </c>
      <c r="AK22" s="112">
        <v>46112</v>
      </c>
      <c r="AL22" s="112" t="s">
        <v>315</v>
      </c>
      <c r="AM22" s="112" t="s">
        <v>288</v>
      </c>
    </row>
    <row r="23" spans="1:39" x14ac:dyDescent="0.2">
      <c r="A23" s="116">
        <f t="shared" ca="1" si="0"/>
        <v>139</v>
      </c>
      <c r="B23" s="112" t="str">
        <f ca="1">IFERROR(VLOOKUP(A23,'Aging Formulas'!A:B,2,FALSE),"365+")</f>
        <v>121-150</v>
      </c>
      <c r="D23" s="134" t="s">
        <v>307</v>
      </c>
      <c r="E23" s="112" t="s">
        <v>308</v>
      </c>
      <c r="F23" s="112" t="s">
        <v>18</v>
      </c>
      <c r="G23" s="112" t="s">
        <v>369</v>
      </c>
      <c r="H23" s="112" t="s">
        <v>370</v>
      </c>
      <c r="I23" s="112" t="s">
        <v>19</v>
      </c>
      <c r="J23" s="112" t="s">
        <v>364</v>
      </c>
      <c r="K23" s="114">
        <v>-1293.75</v>
      </c>
      <c r="L23" s="114">
        <v>-1293.75</v>
      </c>
      <c r="M23" s="114">
        <v>-1293.75</v>
      </c>
      <c r="N23" s="112" t="s">
        <v>278</v>
      </c>
      <c r="O23" s="112" t="s">
        <v>278</v>
      </c>
      <c r="P23" s="112" t="s">
        <v>371</v>
      </c>
      <c r="Q23" s="112" t="s">
        <v>280</v>
      </c>
      <c r="R23" s="112" t="s">
        <v>281</v>
      </c>
      <c r="S23" s="112" t="s">
        <v>282</v>
      </c>
      <c r="T23" s="112" t="s">
        <v>283</v>
      </c>
      <c r="U23" s="112" t="s">
        <v>313</v>
      </c>
      <c r="V23" s="112" t="s">
        <v>314</v>
      </c>
      <c r="W23" s="112">
        <v>101</v>
      </c>
      <c r="X23" s="112">
        <v>11002</v>
      </c>
      <c r="Y23" s="112">
        <v>245011</v>
      </c>
      <c r="Z23" s="112">
        <v>9999</v>
      </c>
      <c r="AA23" s="112">
        <v>999</v>
      </c>
      <c r="AB23" s="112">
        <v>999</v>
      </c>
      <c r="AC23" s="112">
        <v>9999</v>
      </c>
      <c r="AD23" s="112">
        <v>9999</v>
      </c>
      <c r="AE23" s="112" t="s">
        <v>1</v>
      </c>
      <c r="AF23" s="112" t="s">
        <v>340</v>
      </c>
      <c r="AG23" s="112" t="s">
        <v>227</v>
      </c>
      <c r="AH23" s="112" t="s">
        <v>286</v>
      </c>
      <c r="AJ23" s="112" t="s">
        <v>227</v>
      </c>
      <c r="AK23" s="112">
        <v>46112</v>
      </c>
      <c r="AL23" s="112" t="s">
        <v>315</v>
      </c>
      <c r="AM23" s="112" t="s">
        <v>288</v>
      </c>
    </row>
    <row r="24" spans="1:39" x14ac:dyDescent="0.2">
      <c r="A24" s="116">
        <f t="shared" ca="1" si="0"/>
        <v>139</v>
      </c>
      <c r="B24" s="112" t="str">
        <f ca="1">IFERROR(VLOOKUP(A24,'Aging Formulas'!A:B,2,FALSE),"365+")</f>
        <v>121-150</v>
      </c>
      <c r="D24" s="134" t="s">
        <v>372</v>
      </c>
      <c r="E24" s="112" t="s">
        <v>290</v>
      </c>
      <c r="F24" s="112" t="s">
        <v>30</v>
      </c>
      <c r="G24" s="112" t="s">
        <v>373</v>
      </c>
      <c r="H24" s="112" t="s">
        <v>374</v>
      </c>
      <c r="I24" s="112" t="s">
        <v>16</v>
      </c>
      <c r="J24" s="112" t="s">
        <v>364</v>
      </c>
      <c r="K24" s="114">
        <v>-295962.88</v>
      </c>
      <c r="L24" s="114">
        <v>-295962.88</v>
      </c>
      <c r="M24" s="114">
        <v>-295962.88</v>
      </c>
      <c r="N24" s="112" t="s">
        <v>278</v>
      </c>
      <c r="O24" s="112" t="s">
        <v>278</v>
      </c>
      <c r="P24" s="112" t="s">
        <v>375</v>
      </c>
      <c r="Q24" s="112" t="s">
        <v>280</v>
      </c>
      <c r="R24" s="112" t="s">
        <v>281</v>
      </c>
      <c r="S24" s="112" t="s">
        <v>282</v>
      </c>
      <c r="T24" s="112" t="s">
        <v>294</v>
      </c>
      <c r="U24" s="112" t="s">
        <v>295</v>
      </c>
      <c r="V24" s="112" t="s">
        <v>376</v>
      </c>
      <c r="W24" s="112">
        <v>101</v>
      </c>
      <c r="X24" s="112">
        <v>13018</v>
      </c>
      <c r="Y24" s="112">
        <v>245011</v>
      </c>
      <c r="Z24" s="112">
        <v>9999</v>
      </c>
      <c r="AA24" s="112">
        <v>950</v>
      </c>
      <c r="AB24" s="112">
        <v>999</v>
      </c>
      <c r="AC24" s="112">
        <v>9999</v>
      </c>
      <c r="AD24" s="112">
        <v>9999</v>
      </c>
      <c r="AE24" s="112" t="s">
        <v>1</v>
      </c>
      <c r="AF24" s="112" t="s">
        <v>227</v>
      </c>
      <c r="AG24" s="112" t="s">
        <v>227</v>
      </c>
      <c r="AH24" s="112" t="s">
        <v>286</v>
      </c>
      <c r="AJ24" s="112" t="s">
        <v>227</v>
      </c>
      <c r="AK24" s="112">
        <v>46112</v>
      </c>
      <c r="AL24" s="112" t="s">
        <v>315</v>
      </c>
      <c r="AM24" s="112" t="s">
        <v>288</v>
      </c>
    </row>
    <row r="25" spans="1:39" x14ac:dyDescent="0.2">
      <c r="A25" s="116">
        <f t="shared" ca="1" si="0"/>
        <v>139</v>
      </c>
      <c r="B25" s="112" t="str">
        <f ca="1">IFERROR(VLOOKUP(A25,'Aging Formulas'!A:B,2,FALSE),"365+")</f>
        <v>121-150</v>
      </c>
      <c r="D25" s="134" t="s">
        <v>377</v>
      </c>
      <c r="E25" s="112" t="s">
        <v>308</v>
      </c>
      <c r="F25" s="112" t="s">
        <v>32</v>
      </c>
      <c r="G25" s="112" t="s">
        <v>378</v>
      </c>
      <c r="H25" s="112" t="s">
        <v>379</v>
      </c>
      <c r="I25" s="112" t="s">
        <v>16</v>
      </c>
      <c r="J25" s="112" t="s">
        <v>364</v>
      </c>
      <c r="K25" s="114">
        <v>175352.45</v>
      </c>
      <c r="L25" s="114">
        <v>175352.45</v>
      </c>
      <c r="M25" s="114">
        <v>175352.45</v>
      </c>
      <c r="N25" s="112" t="s">
        <v>278</v>
      </c>
      <c r="O25" s="112" t="s">
        <v>278</v>
      </c>
      <c r="P25" s="112" t="s">
        <v>380</v>
      </c>
      <c r="Q25" s="112" t="s">
        <v>280</v>
      </c>
      <c r="R25" s="112" t="s">
        <v>281</v>
      </c>
      <c r="S25" s="112" t="s">
        <v>282</v>
      </c>
      <c r="T25" s="112" t="s">
        <v>283</v>
      </c>
      <c r="U25" s="112" t="s">
        <v>313</v>
      </c>
      <c r="V25" s="112" t="s">
        <v>381</v>
      </c>
      <c r="W25" s="112">
        <v>101</v>
      </c>
      <c r="X25" s="112">
        <v>12015</v>
      </c>
      <c r="Y25" s="112">
        <v>245011</v>
      </c>
      <c r="Z25" s="112">
        <v>9999</v>
      </c>
      <c r="AA25" s="112">
        <v>999</v>
      </c>
      <c r="AB25" s="112">
        <v>999</v>
      </c>
      <c r="AC25" s="112">
        <v>9999</v>
      </c>
      <c r="AD25" s="112">
        <v>9999</v>
      </c>
      <c r="AE25" s="112" t="s">
        <v>1</v>
      </c>
      <c r="AF25" s="112" t="s">
        <v>227</v>
      </c>
      <c r="AG25" s="112" t="s">
        <v>227</v>
      </c>
      <c r="AH25" s="112" t="s">
        <v>286</v>
      </c>
      <c r="AJ25" s="112" t="s">
        <v>227</v>
      </c>
      <c r="AK25" s="112">
        <v>46112</v>
      </c>
      <c r="AL25" s="112" t="s">
        <v>382</v>
      </c>
      <c r="AM25" s="112" t="s">
        <v>288</v>
      </c>
    </row>
    <row r="26" spans="1:39" x14ac:dyDescent="0.2">
      <c r="A26" s="116">
        <f t="shared" ca="1" si="0"/>
        <v>145</v>
      </c>
      <c r="B26" s="112" t="str">
        <f ca="1">IFERROR(VLOOKUP(A26,'Aging Formulas'!A:B,2,FALSE),"365+")</f>
        <v>121-150</v>
      </c>
      <c r="D26" s="134" t="s">
        <v>383</v>
      </c>
      <c r="E26" s="112" t="s">
        <v>290</v>
      </c>
      <c r="F26" s="112" t="s">
        <v>30</v>
      </c>
      <c r="G26" s="112" t="s">
        <v>384</v>
      </c>
      <c r="H26" s="112" t="s">
        <v>385</v>
      </c>
      <c r="I26" s="112" t="s">
        <v>27</v>
      </c>
      <c r="J26" s="112" t="s">
        <v>364</v>
      </c>
      <c r="K26" s="114">
        <v>-19318.5</v>
      </c>
      <c r="L26" s="114">
        <v>-19318.5</v>
      </c>
      <c r="M26" s="114">
        <v>-19318.5</v>
      </c>
      <c r="N26" s="112" t="s">
        <v>278</v>
      </c>
      <c r="O26" s="112" t="s">
        <v>278</v>
      </c>
      <c r="P26" s="112" t="s">
        <v>386</v>
      </c>
      <c r="Q26" s="112" t="s">
        <v>280</v>
      </c>
      <c r="R26" s="112" t="s">
        <v>281</v>
      </c>
      <c r="S26" s="112" t="s">
        <v>282</v>
      </c>
      <c r="T26" s="112" t="s">
        <v>294</v>
      </c>
      <c r="U26" s="112" t="s">
        <v>295</v>
      </c>
      <c r="V26" s="112" t="s">
        <v>387</v>
      </c>
      <c r="W26" s="112">
        <v>101</v>
      </c>
      <c r="X26" s="112">
        <v>13018</v>
      </c>
      <c r="Y26" s="112">
        <v>245011</v>
      </c>
      <c r="Z26" s="112">
        <v>9999</v>
      </c>
      <c r="AA26" s="112">
        <v>999</v>
      </c>
      <c r="AB26" s="112">
        <v>999</v>
      </c>
      <c r="AC26" s="112">
        <v>9999</v>
      </c>
      <c r="AD26" s="112">
        <v>9999</v>
      </c>
      <c r="AE26" s="112" t="s">
        <v>1</v>
      </c>
      <c r="AF26" s="112" t="s">
        <v>227</v>
      </c>
      <c r="AG26" s="112" t="s">
        <v>227</v>
      </c>
      <c r="AH26" s="112" t="s">
        <v>286</v>
      </c>
      <c r="AJ26" s="112" t="s">
        <v>227</v>
      </c>
      <c r="AK26" s="112">
        <v>46106</v>
      </c>
      <c r="AL26" s="112" t="s">
        <v>287</v>
      </c>
      <c r="AM26" s="112" t="s">
        <v>288</v>
      </c>
    </row>
    <row r="27" spans="1:39" x14ac:dyDescent="0.2">
      <c r="A27" s="116">
        <f t="shared" ca="1" si="0"/>
        <v>109</v>
      </c>
      <c r="B27" s="112" t="str">
        <f ca="1">IFERROR(VLOOKUP(A27,'Aging Formulas'!A:B,2,FALSE),"365+")</f>
        <v>91-120</v>
      </c>
      <c r="D27" s="134" t="s">
        <v>388</v>
      </c>
      <c r="E27" s="112" t="s">
        <v>274</v>
      </c>
      <c r="F27" s="112" t="s">
        <v>33</v>
      </c>
      <c r="G27" s="112" t="s">
        <v>389</v>
      </c>
      <c r="H27" s="112" t="s">
        <v>390</v>
      </c>
      <c r="I27" s="112" t="s">
        <v>16</v>
      </c>
      <c r="J27" s="112" t="s">
        <v>391</v>
      </c>
      <c r="K27" s="114">
        <v>-19545.13</v>
      </c>
      <c r="L27" s="114">
        <v>-19545.13</v>
      </c>
      <c r="M27" s="114">
        <v>-19545.13</v>
      </c>
      <c r="N27" s="112" t="s">
        <v>278</v>
      </c>
      <c r="O27" s="112" t="s">
        <v>278</v>
      </c>
      <c r="P27" s="112" t="s">
        <v>392</v>
      </c>
      <c r="Q27" s="112" t="s">
        <v>280</v>
      </c>
      <c r="R27" s="112" t="s">
        <v>281</v>
      </c>
      <c r="S27" s="112" t="s">
        <v>282</v>
      </c>
      <c r="T27" s="112" t="s">
        <v>283</v>
      </c>
      <c r="U27" s="112" t="s">
        <v>284</v>
      </c>
      <c r="V27" s="112" t="s">
        <v>393</v>
      </c>
      <c r="W27" s="112">
        <v>101</v>
      </c>
      <c r="X27" s="112">
        <v>12025</v>
      </c>
      <c r="Y27" s="112">
        <v>245011</v>
      </c>
      <c r="Z27" s="112">
        <v>9999</v>
      </c>
      <c r="AA27" s="112">
        <v>999</v>
      </c>
      <c r="AB27" s="112">
        <v>999</v>
      </c>
      <c r="AC27" s="112">
        <v>9999</v>
      </c>
      <c r="AD27" s="112">
        <v>9999</v>
      </c>
      <c r="AE27" s="112" t="s">
        <v>1</v>
      </c>
      <c r="AF27" s="112" t="s">
        <v>227</v>
      </c>
      <c r="AG27" s="112" t="s">
        <v>227</v>
      </c>
      <c r="AH27" s="112" t="s">
        <v>286</v>
      </c>
      <c r="AJ27" s="112" t="s">
        <v>227</v>
      </c>
      <c r="AK27" s="112">
        <v>46142</v>
      </c>
      <c r="AL27" s="112" t="s">
        <v>315</v>
      </c>
      <c r="AM27" s="112" t="s">
        <v>288</v>
      </c>
    </row>
    <row r="28" spans="1:39" x14ac:dyDescent="0.2">
      <c r="A28" s="116">
        <f t="shared" ca="1" si="0"/>
        <v>109</v>
      </c>
      <c r="B28" s="112" t="str">
        <f ca="1">IFERROR(VLOOKUP(A28,'Aging Formulas'!A:B,2,FALSE),"365+")</f>
        <v>91-120</v>
      </c>
      <c r="D28" s="134" t="s">
        <v>394</v>
      </c>
      <c r="E28" s="112" t="s">
        <v>290</v>
      </c>
      <c r="F28" s="112" t="s">
        <v>34</v>
      </c>
      <c r="G28" s="112" t="s">
        <v>395</v>
      </c>
      <c r="H28" s="112" t="s">
        <v>396</v>
      </c>
      <c r="I28" s="112" t="s">
        <v>16</v>
      </c>
      <c r="J28" s="112" t="s">
        <v>391</v>
      </c>
      <c r="K28" s="114">
        <v>143905.24</v>
      </c>
      <c r="L28" s="114">
        <v>143905.24</v>
      </c>
      <c r="M28" s="114">
        <v>143905.24</v>
      </c>
      <c r="N28" s="112" t="s">
        <v>278</v>
      </c>
      <c r="O28" s="112" t="s">
        <v>278</v>
      </c>
      <c r="P28" s="112" t="s">
        <v>397</v>
      </c>
      <c r="Q28" s="112" t="s">
        <v>280</v>
      </c>
      <c r="R28" s="112" t="s">
        <v>281</v>
      </c>
      <c r="S28" s="112" t="s">
        <v>282</v>
      </c>
      <c r="T28" s="112" t="s">
        <v>294</v>
      </c>
      <c r="U28" s="112" t="s">
        <v>295</v>
      </c>
      <c r="V28" s="112" t="s">
        <v>398</v>
      </c>
      <c r="W28" s="112">
        <v>101</v>
      </c>
      <c r="X28" s="112">
        <v>13014</v>
      </c>
      <c r="Y28" s="112">
        <v>245011</v>
      </c>
      <c r="Z28" s="112">
        <v>9999</v>
      </c>
      <c r="AA28" s="112">
        <v>999</v>
      </c>
      <c r="AB28" s="112">
        <v>999</v>
      </c>
      <c r="AC28" s="112">
        <v>9999</v>
      </c>
      <c r="AD28" s="112">
        <v>9999</v>
      </c>
      <c r="AE28" s="112" t="s">
        <v>1</v>
      </c>
      <c r="AF28" s="112" t="s">
        <v>399</v>
      </c>
      <c r="AG28" s="112" t="s">
        <v>227</v>
      </c>
      <c r="AH28" s="112" t="s">
        <v>286</v>
      </c>
      <c r="AJ28" s="112" t="s">
        <v>227</v>
      </c>
      <c r="AK28" s="112">
        <v>46142</v>
      </c>
      <c r="AL28" s="112" t="s">
        <v>315</v>
      </c>
      <c r="AM28" s="112" t="s">
        <v>288</v>
      </c>
    </row>
    <row r="29" spans="1:39" x14ac:dyDescent="0.2">
      <c r="A29" s="116">
        <f t="shared" ca="1" si="0"/>
        <v>109</v>
      </c>
      <c r="B29" s="112" t="str">
        <f ca="1">IFERROR(VLOOKUP(A29,'Aging Formulas'!A:B,2,FALSE),"365+")</f>
        <v>91-120</v>
      </c>
      <c r="D29" s="134" t="s">
        <v>400</v>
      </c>
      <c r="E29" s="112" t="s">
        <v>308</v>
      </c>
      <c r="F29" s="112" t="s">
        <v>35</v>
      </c>
      <c r="G29" s="112" t="s">
        <v>401</v>
      </c>
      <c r="H29" s="112" t="s">
        <v>402</v>
      </c>
      <c r="I29" s="112" t="s">
        <v>36</v>
      </c>
      <c r="J29" s="112" t="s">
        <v>391</v>
      </c>
      <c r="K29" s="114">
        <v>573095.24</v>
      </c>
      <c r="L29" s="114">
        <v>573095.24</v>
      </c>
      <c r="M29" s="114">
        <v>573095.24</v>
      </c>
      <c r="N29" s="112" t="s">
        <v>278</v>
      </c>
      <c r="O29" s="112" t="s">
        <v>278</v>
      </c>
      <c r="P29" s="112" t="s">
        <v>403</v>
      </c>
      <c r="Q29" s="112" t="s">
        <v>280</v>
      </c>
      <c r="R29" s="112" t="s">
        <v>281</v>
      </c>
      <c r="S29" s="112" t="s">
        <v>282</v>
      </c>
      <c r="T29" s="112" t="s">
        <v>283</v>
      </c>
      <c r="U29" s="112" t="s">
        <v>366</v>
      </c>
      <c r="V29" s="112" t="s">
        <v>404</v>
      </c>
      <c r="W29" s="112">
        <v>101</v>
      </c>
      <c r="X29" s="112">
        <v>11010</v>
      </c>
      <c r="Y29" s="112">
        <v>245011</v>
      </c>
      <c r="Z29" s="112">
        <v>9999</v>
      </c>
      <c r="AA29" s="112">
        <v>204</v>
      </c>
      <c r="AB29" s="112">
        <v>999</v>
      </c>
      <c r="AC29" s="112">
        <v>9999</v>
      </c>
      <c r="AD29" s="112">
        <v>9999</v>
      </c>
      <c r="AE29" s="112" t="s">
        <v>1</v>
      </c>
      <c r="AF29" s="112" t="s">
        <v>405</v>
      </c>
      <c r="AG29" s="112" t="s">
        <v>227</v>
      </c>
      <c r="AH29" s="112" t="s">
        <v>286</v>
      </c>
      <c r="AJ29" s="112" t="s">
        <v>227</v>
      </c>
      <c r="AK29" s="112">
        <v>46142</v>
      </c>
      <c r="AL29" s="112" t="s">
        <v>315</v>
      </c>
      <c r="AM29" s="112" t="s">
        <v>288</v>
      </c>
    </row>
    <row r="30" spans="1:39" x14ac:dyDescent="0.2">
      <c r="A30" s="116">
        <f t="shared" ca="1" si="0"/>
        <v>109</v>
      </c>
      <c r="B30" s="112" t="str">
        <f ca="1">IFERROR(VLOOKUP(A30,'Aging Formulas'!A:B,2,FALSE),"365+")</f>
        <v>91-120</v>
      </c>
      <c r="D30" s="134" t="s">
        <v>307</v>
      </c>
      <c r="E30" s="112" t="s">
        <v>308</v>
      </c>
      <c r="F30" s="112" t="s">
        <v>18</v>
      </c>
      <c r="G30" s="112" t="s">
        <v>406</v>
      </c>
      <c r="H30" s="112" t="s">
        <v>407</v>
      </c>
      <c r="I30" s="112" t="s">
        <v>19</v>
      </c>
      <c r="J30" s="112" t="s">
        <v>391</v>
      </c>
      <c r="K30" s="114">
        <v>-1293.78</v>
      </c>
      <c r="L30" s="114">
        <v>-1293.78</v>
      </c>
      <c r="M30" s="114">
        <v>-1293.78</v>
      </c>
      <c r="N30" s="112" t="s">
        <v>278</v>
      </c>
      <c r="O30" s="112" t="s">
        <v>278</v>
      </c>
      <c r="P30" s="112" t="s">
        <v>408</v>
      </c>
      <c r="Q30" s="112" t="s">
        <v>280</v>
      </c>
      <c r="R30" s="112" t="s">
        <v>281</v>
      </c>
      <c r="S30" s="112" t="s">
        <v>282</v>
      </c>
      <c r="T30" s="112" t="s">
        <v>283</v>
      </c>
      <c r="U30" s="112" t="s">
        <v>313</v>
      </c>
      <c r="V30" s="112" t="s">
        <v>314</v>
      </c>
      <c r="W30" s="112">
        <v>101</v>
      </c>
      <c r="X30" s="112">
        <v>11002</v>
      </c>
      <c r="Y30" s="112">
        <v>245011</v>
      </c>
      <c r="Z30" s="112">
        <v>9999</v>
      </c>
      <c r="AA30" s="112">
        <v>999</v>
      </c>
      <c r="AB30" s="112">
        <v>999</v>
      </c>
      <c r="AC30" s="112">
        <v>9999</v>
      </c>
      <c r="AD30" s="112">
        <v>9999</v>
      </c>
      <c r="AE30" s="112" t="s">
        <v>1</v>
      </c>
      <c r="AF30" s="112" t="s">
        <v>340</v>
      </c>
      <c r="AG30" s="112" t="s">
        <v>227</v>
      </c>
      <c r="AH30" s="112" t="s">
        <v>286</v>
      </c>
      <c r="AJ30" s="112" t="s">
        <v>227</v>
      </c>
      <c r="AK30" s="112">
        <v>46142</v>
      </c>
      <c r="AL30" s="112" t="s">
        <v>315</v>
      </c>
      <c r="AM30" s="112" t="s">
        <v>288</v>
      </c>
    </row>
    <row r="31" spans="1:39" x14ac:dyDescent="0.2">
      <c r="A31" s="116">
        <f t="shared" ca="1" si="0"/>
        <v>109</v>
      </c>
      <c r="B31" s="112" t="str">
        <f ca="1">IFERROR(VLOOKUP(A31,'Aging Formulas'!A:B,2,FALSE),"365+")</f>
        <v>91-120</v>
      </c>
      <c r="D31" s="134" t="s">
        <v>409</v>
      </c>
      <c r="E31" s="112" t="s">
        <v>290</v>
      </c>
      <c r="F31" s="112" t="s">
        <v>30</v>
      </c>
      <c r="G31" s="112" t="s">
        <v>410</v>
      </c>
      <c r="H31" s="112" t="s">
        <v>411</v>
      </c>
      <c r="I31" s="112" t="s">
        <v>24</v>
      </c>
      <c r="J31" s="112" t="s">
        <v>391</v>
      </c>
      <c r="K31" s="114">
        <v>-507000</v>
      </c>
      <c r="L31" s="114">
        <v>-507000</v>
      </c>
      <c r="M31" s="114">
        <v>-507000</v>
      </c>
      <c r="N31" s="112" t="s">
        <v>278</v>
      </c>
      <c r="O31" s="112" t="s">
        <v>278</v>
      </c>
      <c r="P31" s="112" t="s">
        <v>412</v>
      </c>
      <c r="Q31" s="112" t="s">
        <v>280</v>
      </c>
      <c r="R31" s="112" t="s">
        <v>281</v>
      </c>
      <c r="S31" s="112" t="s">
        <v>282</v>
      </c>
      <c r="T31" s="112" t="s">
        <v>294</v>
      </c>
      <c r="U31" s="112" t="s">
        <v>295</v>
      </c>
      <c r="V31" s="112" t="s">
        <v>387</v>
      </c>
      <c r="W31" s="112">
        <v>101</v>
      </c>
      <c r="X31" s="112">
        <v>13018</v>
      </c>
      <c r="Y31" s="112">
        <v>245011</v>
      </c>
      <c r="Z31" s="112">
        <v>9999</v>
      </c>
      <c r="AA31" s="112">
        <v>999</v>
      </c>
      <c r="AB31" s="112">
        <v>999</v>
      </c>
      <c r="AC31" s="112">
        <v>9999</v>
      </c>
      <c r="AD31" s="112">
        <v>9999</v>
      </c>
      <c r="AE31" s="112" t="s">
        <v>1</v>
      </c>
      <c r="AF31" s="112" t="s">
        <v>227</v>
      </c>
      <c r="AG31" s="112" t="s">
        <v>227</v>
      </c>
      <c r="AH31" s="112" t="s">
        <v>286</v>
      </c>
      <c r="AJ31" s="112" t="s">
        <v>227</v>
      </c>
      <c r="AK31" s="112">
        <v>46142</v>
      </c>
      <c r="AL31" s="112" t="s">
        <v>287</v>
      </c>
      <c r="AM31" s="112" t="s">
        <v>288</v>
      </c>
    </row>
    <row r="32" spans="1:39" x14ac:dyDescent="0.2">
      <c r="A32" s="116">
        <f t="shared" ca="1" si="0"/>
        <v>109</v>
      </c>
      <c r="B32" s="112" t="str">
        <f ca="1">IFERROR(VLOOKUP(A32,'Aging Formulas'!A:B,2,FALSE),"365+")</f>
        <v>91-120</v>
      </c>
      <c r="D32" s="134" t="s">
        <v>409</v>
      </c>
      <c r="E32" s="112" t="s">
        <v>308</v>
      </c>
      <c r="F32" s="112" t="s">
        <v>23</v>
      </c>
      <c r="G32" s="112" t="s">
        <v>413</v>
      </c>
      <c r="H32" s="112" t="s">
        <v>414</v>
      </c>
      <c r="I32" s="112" t="s">
        <v>24</v>
      </c>
      <c r="J32" s="112" t="s">
        <v>391</v>
      </c>
      <c r="K32" s="114">
        <v>-93000</v>
      </c>
      <c r="L32" s="114">
        <v>-93000</v>
      </c>
      <c r="M32" s="114">
        <v>-93000</v>
      </c>
      <c r="N32" s="112" t="s">
        <v>278</v>
      </c>
      <c r="O32" s="112" t="s">
        <v>278</v>
      </c>
      <c r="P32" s="112" t="s">
        <v>412</v>
      </c>
      <c r="Q32" s="112" t="s">
        <v>280</v>
      </c>
      <c r="R32" s="112" t="s">
        <v>281</v>
      </c>
      <c r="S32" s="112" t="s">
        <v>282</v>
      </c>
      <c r="T32" s="112" t="s">
        <v>283</v>
      </c>
      <c r="U32" s="112" t="s">
        <v>313</v>
      </c>
      <c r="V32" s="112" t="s">
        <v>415</v>
      </c>
      <c r="W32" s="112">
        <v>101</v>
      </c>
      <c r="X32" s="112">
        <v>11003</v>
      </c>
      <c r="Y32" s="112">
        <v>245011</v>
      </c>
      <c r="Z32" s="112">
        <v>9999</v>
      </c>
      <c r="AA32" s="112">
        <v>999</v>
      </c>
      <c r="AB32" s="112">
        <v>999</v>
      </c>
      <c r="AC32" s="112">
        <v>9999</v>
      </c>
      <c r="AD32" s="112">
        <v>9999</v>
      </c>
      <c r="AE32" s="112" t="s">
        <v>1</v>
      </c>
      <c r="AF32" s="112" t="s">
        <v>227</v>
      </c>
      <c r="AG32" s="112" t="s">
        <v>227</v>
      </c>
      <c r="AH32" s="112" t="s">
        <v>286</v>
      </c>
      <c r="AJ32" s="112" t="s">
        <v>227</v>
      </c>
      <c r="AK32" s="112">
        <v>46142</v>
      </c>
      <c r="AL32" s="112" t="s">
        <v>287</v>
      </c>
      <c r="AM32" s="112" t="s">
        <v>288</v>
      </c>
    </row>
    <row r="33" spans="1:39" x14ac:dyDescent="0.2">
      <c r="A33" s="116">
        <f t="shared" ca="1" si="0"/>
        <v>78</v>
      </c>
      <c r="B33" s="112" t="str">
        <f ca="1">IFERROR(VLOOKUP(A33,'Aging Formulas'!A:B,2,FALSE),"365+")</f>
        <v>61-90</v>
      </c>
      <c r="D33" s="134" t="s">
        <v>416</v>
      </c>
      <c r="E33" s="112" t="s">
        <v>290</v>
      </c>
      <c r="F33" s="112" t="s">
        <v>30</v>
      </c>
      <c r="G33" s="112" t="s">
        <v>417</v>
      </c>
      <c r="H33" s="112" t="s">
        <v>418</v>
      </c>
      <c r="I33" s="112" t="s">
        <v>24</v>
      </c>
      <c r="J33" s="112" t="s">
        <v>419</v>
      </c>
      <c r="K33" s="114">
        <v>-154793.4</v>
      </c>
      <c r="L33" s="114">
        <v>-154793.4</v>
      </c>
      <c r="M33" s="114">
        <v>-154793.4</v>
      </c>
      <c r="N33" s="112" t="s">
        <v>278</v>
      </c>
      <c r="O33" s="112" t="s">
        <v>278</v>
      </c>
      <c r="P33" s="112" t="s">
        <v>420</v>
      </c>
      <c r="Q33" s="112" t="s">
        <v>280</v>
      </c>
      <c r="R33" s="112" t="s">
        <v>281</v>
      </c>
      <c r="S33" s="112" t="s">
        <v>282</v>
      </c>
      <c r="T33" s="112" t="s">
        <v>294</v>
      </c>
      <c r="U33" s="112" t="s">
        <v>295</v>
      </c>
      <c r="V33" s="112" t="s">
        <v>387</v>
      </c>
      <c r="W33" s="112">
        <v>101</v>
      </c>
      <c r="X33" s="112">
        <v>13018</v>
      </c>
      <c r="Y33" s="112">
        <v>245011</v>
      </c>
      <c r="Z33" s="112">
        <v>9999</v>
      </c>
      <c r="AA33" s="112">
        <v>999</v>
      </c>
      <c r="AB33" s="112">
        <v>999</v>
      </c>
      <c r="AC33" s="112">
        <v>9999</v>
      </c>
      <c r="AD33" s="112">
        <v>9999</v>
      </c>
      <c r="AE33" s="112" t="s">
        <v>1</v>
      </c>
      <c r="AF33" s="112" t="s">
        <v>227</v>
      </c>
      <c r="AG33" s="112" t="s">
        <v>227</v>
      </c>
      <c r="AH33" s="112" t="s">
        <v>286</v>
      </c>
      <c r="AJ33" s="112" t="s">
        <v>227</v>
      </c>
      <c r="AK33" s="112">
        <v>46173</v>
      </c>
      <c r="AL33" s="112" t="s">
        <v>287</v>
      </c>
      <c r="AM33" s="112" t="s">
        <v>288</v>
      </c>
    </row>
    <row r="34" spans="1:39" x14ac:dyDescent="0.2">
      <c r="A34" s="116">
        <f t="shared" ca="1" si="0"/>
        <v>78</v>
      </c>
      <c r="B34" s="112" t="str">
        <f ca="1">IFERROR(VLOOKUP(A34,'Aging Formulas'!A:B,2,FALSE),"365+")</f>
        <v>61-90</v>
      </c>
      <c r="D34" s="134" t="s">
        <v>416</v>
      </c>
      <c r="E34" s="112" t="s">
        <v>290</v>
      </c>
      <c r="F34" s="112" t="s">
        <v>30</v>
      </c>
      <c r="G34" s="112" t="s">
        <v>421</v>
      </c>
      <c r="H34" s="112" t="s">
        <v>422</v>
      </c>
      <c r="I34" s="112" t="s">
        <v>24</v>
      </c>
      <c r="J34" s="112" t="s">
        <v>419</v>
      </c>
      <c r="K34" s="114">
        <v>-154793.4</v>
      </c>
      <c r="L34" s="114">
        <v>-154793.4</v>
      </c>
      <c r="M34" s="114">
        <v>-154793.4</v>
      </c>
      <c r="N34" s="112" t="s">
        <v>278</v>
      </c>
      <c r="O34" s="112" t="s">
        <v>278</v>
      </c>
      <c r="P34" s="112" t="s">
        <v>420</v>
      </c>
      <c r="Q34" s="112" t="s">
        <v>280</v>
      </c>
      <c r="R34" s="112" t="s">
        <v>281</v>
      </c>
      <c r="S34" s="112" t="s">
        <v>282</v>
      </c>
      <c r="T34" s="112" t="s">
        <v>294</v>
      </c>
      <c r="U34" s="112" t="s">
        <v>295</v>
      </c>
      <c r="V34" s="112" t="s">
        <v>387</v>
      </c>
      <c r="W34" s="112">
        <v>101</v>
      </c>
      <c r="X34" s="112">
        <v>13018</v>
      </c>
      <c r="Y34" s="112">
        <v>245011</v>
      </c>
      <c r="Z34" s="112">
        <v>9999</v>
      </c>
      <c r="AA34" s="112">
        <v>999</v>
      </c>
      <c r="AB34" s="112">
        <v>999</v>
      </c>
      <c r="AC34" s="112">
        <v>9999</v>
      </c>
      <c r="AD34" s="112">
        <v>9999</v>
      </c>
      <c r="AE34" s="112" t="s">
        <v>1</v>
      </c>
      <c r="AF34" s="112" t="s">
        <v>227</v>
      </c>
      <c r="AG34" s="112" t="s">
        <v>227</v>
      </c>
      <c r="AH34" s="112" t="s">
        <v>286</v>
      </c>
      <c r="AJ34" s="112" t="s">
        <v>227</v>
      </c>
      <c r="AK34" s="112">
        <v>46173</v>
      </c>
      <c r="AL34" s="112" t="s">
        <v>287</v>
      </c>
      <c r="AM34" s="112" t="s">
        <v>288</v>
      </c>
    </row>
    <row r="35" spans="1:39" x14ac:dyDescent="0.2">
      <c r="A35" s="116">
        <f t="shared" ca="1" si="0"/>
        <v>48</v>
      </c>
      <c r="B35" s="112" t="str">
        <f ca="1">IFERROR(VLOOKUP(A35,'Aging Formulas'!A:B,2,FALSE),"365+")</f>
        <v>31-60</v>
      </c>
      <c r="D35" s="134" t="s">
        <v>423</v>
      </c>
      <c r="E35" s="112" t="s">
        <v>308</v>
      </c>
      <c r="F35" s="112" t="s">
        <v>18</v>
      </c>
      <c r="G35" s="112" t="s">
        <v>424</v>
      </c>
      <c r="H35" s="112" t="s">
        <v>425</v>
      </c>
      <c r="I35" s="112" t="s">
        <v>20</v>
      </c>
      <c r="J35" s="112" t="s">
        <v>426</v>
      </c>
      <c r="K35" s="114">
        <v>1944891.27</v>
      </c>
      <c r="L35" s="114">
        <v>1944891.27</v>
      </c>
      <c r="M35" s="114">
        <v>1944891.27</v>
      </c>
      <c r="N35" s="112" t="s">
        <v>278</v>
      </c>
      <c r="O35" s="112" t="s">
        <v>278</v>
      </c>
      <c r="P35" s="112" t="s">
        <v>427</v>
      </c>
      <c r="Q35" s="112" t="s">
        <v>280</v>
      </c>
      <c r="R35" s="112" t="s">
        <v>281</v>
      </c>
      <c r="S35" s="112" t="s">
        <v>282</v>
      </c>
      <c r="T35" s="112" t="s">
        <v>283</v>
      </c>
      <c r="U35" s="112" t="s">
        <v>313</v>
      </c>
      <c r="V35" s="112" t="s">
        <v>314</v>
      </c>
      <c r="W35" s="112">
        <v>101</v>
      </c>
      <c r="X35" s="112">
        <v>11002</v>
      </c>
      <c r="Y35" s="112">
        <v>245011</v>
      </c>
      <c r="Z35" s="112">
        <v>9999</v>
      </c>
      <c r="AA35" s="112">
        <v>999</v>
      </c>
      <c r="AB35" s="112">
        <v>999</v>
      </c>
      <c r="AC35" s="112">
        <v>9999</v>
      </c>
      <c r="AD35" s="112">
        <v>9999</v>
      </c>
      <c r="AE35" s="112" t="s">
        <v>1</v>
      </c>
      <c r="AF35" s="112" t="s">
        <v>227</v>
      </c>
      <c r="AG35" s="112" t="s">
        <v>227</v>
      </c>
      <c r="AH35" s="112" t="s">
        <v>286</v>
      </c>
      <c r="AJ35" s="112" t="s">
        <v>227</v>
      </c>
      <c r="AK35" s="112">
        <v>46203</v>
      </c>
      <c r="AL35" s="112" t="s">
        <v>382</v>
      </c>
      <c r="AM35" s="112" t="s">
        <v>288</v>
      </c>
    </row>
    <row r="36" spans="1:39" x14ac:dyDescent="0.2">
      <c r="A36" s="116">
        <f t="shared" ca="1" si="0"/>
        <v>48</v>
      </c>
      <c r="B36" s="112" t="str">
        <f ca="1">IFERROR(VLOOKUP(A36,'Aging Formulas'!A:B,2,FALSE),"365+")</f>
        <v>31-60</v>
      </c>
      <c r="D36" s="134" t="s">
        <v>423</v>
      </c>
      <c r="E36" s="112" t="s">
        <v>308</v>
      </c>
      <c r="F36" s="112" t="s">
        <v>18</v>
      </c>
      <c r="G36" s="112" t="s">
        <v>424</v>
      </c>
      <c r="H36" s="112" t="s">
        <v>425</v>
      </c>
      <c r="I36" s="112" t="s">
        <v>20</v>
      </c>
      <c r="J36" s="112" t="s">
        <v>426</v>
      </c>
      <c r="K36" s="114">
        <v>114526.39999999999</v>
      </c>
      <c r="L36" s="114">
        <v>114526.39999999999</v>
      </c>
      <c r="M36" s="114">
        <v>114526.39999999999</v>
      </c>
      <c r="N36" s="112" t="s">
        <v>278</v>
      </c>
      <c r="O36" s="112" t="s">
        <v>278</v>
      </c>
      <c r="P36" s="112" t="s">
        <v>427</v>
      </c>
      <c r="Q36" s="112" t="s">
        <v>280</v>
      </c>
      <c r="R36" s="112" t="s">
        <v>281</v>
      </c>
      <c r="S36" s="112" t="s">
        <v>282</v>
      </c>
      <c r="T36" s="112" t="s">
        <v>283</v>
      </c>
      <c r="U36" s="112" t="s">
        <v>313</v>
      </c>
      <c r="V36" s="112" t="s">
        <v>314</v>
      </c>
      <c r="W36" s="112">
        <v>101</v>
      </c>
      <c r="X36" s="112">
        <v>11002</v>
      </c>
      <c r="Y36" s="112">
        <v>245011</v>
      </c>
      <c r="Z36" s="112">
        <v>9999</v>
      </c>
      <c r="AA36" s="112">
        <v>999</v>
      </c>
      <c r="AB36" s="112">
        <v>999</v>
      </c>
      <c r="AC36" s="112">
        <v>9999</v>
      </c>
      <c r="AD36" s="112">
        <v>9999</v>
      </c>
      <c r="AE36" s="112" t="s">
        <v>1</v>
      </c>
      <c r="AF36" s="112" t="s">
        <v>227</v>
      </c>
      <c r="AG36" s="112" t="s">
        <v>227</v>
      </c>
      <c r="AH36" s="112" t="s">
        <v>286</v>
      </c>
      <c r="AJ36" s="112" t="s">
        <v>227</v>
      </c>
      <c r="AK36" s="112">
        <v>46203</v>
      </c>
      <c r="AL36" s="112" t="s">
        <v>382</v>
      </c>
      <c r="AM36" s="112" t="s">
        <v>288</v>
      </c>
    </row>
    <row r="37" spans="1:39" x14ac:dyDescent="0.2">
      <c r="A37" s="116">
        <f t="shared" ca="1" si="0"/>
        <v>48</v>
      </c>
      <c r="B37" s="112" t="str">
        <f ca="1">IFERROR(VLOOKUP(A37,'Aging Formulas'!A:B,2,FALSE),"365+")</f>
        <v>31-60</v>
      </c>
      <c r="D37" s="134" t="s">
        <v>423</v>
      </c>
      <c r="E37" s="112" t="s">
        <v>308</v>
      </c>
      <c r="F37" s="112" t="s">
        <v>18</v>
      </c>
      <c r="G37" s="112" t="s">
        <v>424</v>
      </c>
      <c r="H37" s="112" t="s">
        <v>425</v>
      </c>
      <c r="I37" s="112" t="s">
        <v>20</v>
      </c>
      <c r="J37" s="112" t="s">
        <v>426</v>
      </c>
      <c r="K37" s="114">
        <v>236966.21</v>
      </c>
      <c r="L37" s="114">
        <v>236966.21</v>
      </c>
      <c r="M37" s="114">
        <v>236966.21</v>
      </c>
      <c r="N37" s="112" t="s">
        <v>278</v>
      </c>
      <c r="O37" s="112" t="s">
        <v>278</v>
      </c>
      <c r="P37" s="112" t="s">
        <v>427</v>
      </c>
      <c r="Q37" s="112" t="s">
        <v>280</v>
      </c>
      <c r="R37" s="112" t="s">
        <v>281</v>
      </c>
      <c r="S37" s="112" t="s">
        <v>282</v>
      </c>
      <c r="T37" s="112" t="s">
        <v>283</v>
      </c>
      <c r="U37" s="112" t="s">
        <v>313</v>
      </c>
      <c r="V37" s="112" t="s">
        <v>314</v>
      </c>
      <c r="W37" s="112">
        <v>101</v>
      </c>
      <c r="X37" s="112">
        <v>11002</v>
      </c>
      <c r="Y37" s="112">
        <v>245011</v>
      </c>
      <c r="Z37" s="112">
        <v>9999</v>
      </c>
      <c r="AA37" s="112">
        <v>999</v>
      </c>
      <c r="AB37" s="112">
        <v>999</v>
      </c>
      <c r="AC37" s="112">
        <v>9999</v>
      </c>
      <c r="AD37" s="112">
        <v>9999</v>
      </c>
      <c r="AE37" s="112" t="s">
        <v>1</v>
      </c>
      <c r="AF37" s="112" t="s">
        <v>227</v>
      </c>
      <c r="AG37" s="112" t="s">
        <v>227</v>
      </c>
      <c r="AH37" s="112" t="s">
        <v>286</v>
      </c>
      <c r="AJ37" s="112" t="s">
        <v>227</v>
      </c>
      <c r="AK37" s="112">
        <v>46203</v>
      </c>
      <c r="AL37" s="112" t="s">
        <v>382</v>
      </c>
      <c r="AM37" s="112" t="s">
        <v>288</v>
      </c>
    </row>
    <row r="38" spans="1:39" x14ac:dyDescent="0.2">
      <c r="A38" s="116">
        <f t="shared" ca="1" si="0"/>
        <v>48</v>
      </c>
      <c r="B38" s="112" t="str">
        <f ca="1">IFERROR(VLOOKUP(A38,'Aging Formulas'!A:B,2,FALSE),"365+")</f>
        <v>31-60</v>
      </c>
      <c r="D38" s="134" t="s">
        <v>423</v>
      </c>
      <c r="E38" s="112" t="s">
        <v>308</v>
      </c>
      <c r="F38" s="112" t="s">
        <v>18</v>
      </c>
      <c r="G38" s="112" t="s">
        <v>424</v>
      </c>
      <c r="H38" s="112" t="s">
        <v>425</v>
      </c>
      <c r="I38" s="112" t="s">
        <v>20</v>
      </c>
      <c r="J38" s="112" t="s">
        <v>426</v>
      </c>
      <c r="K38" s="114">
        <v>407630.69</v>
      </c>
      <c r="L38" s="114">
        <v>407630.69</v>
      </c>
      <c r="M38" s="114">
        <v>407630.69</v>
      </c>
      <c r="N38" s="112" t="s">
        <v>278</v>
      </c>
      <c r="O38" s="112" t="s">
        <v>278</v>
      </c>
      <c r="P38" s="112" t="s">
        <v>427</v>
      </c>
      <c r="Q38" s="112" t="s">
        <v>280</v>
      </c>
      <c r="R38" s="112" t="s">
        <v>281</v>
      </c>
      <c r="S38" s="112" t="s">
        <v>282</v>
      </c>
      <c r="T38" s="112" t="s">
        <v>283</v>
      </c>
      <c r="U38" s="112" t="s">
        <v>313</v>
      </c>
      <c r="V38" s="112" t="s">
        <v>314</v>
      </c>
      <c r="W38" s="112">
        <v>101</v>
      </c>
      <c r="X38" s="112">
        <v>11002</v>
      </c>
      <c r="Y38" s="112">
        <v>245011</v>
      </c>
      <c r="Z38" s="112">
        <v>9999</v>
      </c>
      <c r="AA38" s="112">
        <v>999</v>
      </c>
      <c r="AB38" s="112">
        <v>999</v>
      </c>
      <c r="AC38" s="112">
        <v>9999</v>
      </c>
      <c r="AD38" s="112">
        <v>9999</v>
      </c>
      <c r="AE38" s="112" t="s">
        <v>1</v>
      </c>
      <c r="AF38" s="112" t="s">
        <v>227</v>
      </c>
      <c r="AG38" s="112" t="s">
        <v>227</v>
      </c>
      <c r="AH38" s="112" t="s">
        <v>286</v>
      </c>
      <c r="AJ38" s="112" t="s">
        <v>227</v>
      </c>
      <c r="AK38" s="112">
        <v>46203</v>
      </c>
      <c r="AL38" s="112" t="s">
        <v>382</v>
      </c>
      <c r="AM38" s="112" t="s">
        <v>288</v>
      </c>
    </row>
    <row r="39" spans="1:39" x14ac:dyDescent="0.2">
      <c r="A39" s="116">
        <f t="shared" ref="A39:A63" ca="1" si="1">TODAY()-AK39</f>
        <v>48</v>
      </c>
      <c r="B39" s="112" t="str">
        <f ca="1">IFERROR(VLOOKUP(A39,'Aging Formulas'!A:B,2,FALSE),"365+")</f>
        <v>31-60</v>
      </c>
      <c r="D39" s="134" t="s">
        <v>423</v>
      </c>
      <c r="E39" s="112" t="s">
        <v>308</v>
      </c>
      <c r="F39" s="112" t="s">
        <v>18</v>
      </c>
      <c r="G39" s="112" t="s">
        <v>424</v>
      </c>
      <c r="H39" s="112" t="s">
        <v>425</v>
      </c>
      <c r="I39" s="112" t="s">
        <v>20</v>
      </c>
      <c r="J39" s="112" t="s">
        <v>426</v>
      </c>
      <c r="K39" s="114">
        <v>752438.1</v>
      </c>
      <c r="L39" s="114">
        <v>752438.1</v>
      </c>
      <c r="M39" s="114">
        <v>752438.1</v>
      </c>
      <c r="N39" s="112" t="s">
        <v>278</v>
      </c>
      <c r="O39" s="112" t="s">
        <v>278</v>
      </c>
      <c r="P39" s="112" t="s">
        <v>427</v>
      </c>
      <c r="Q39" s="112" t="s">
        <v>280</v>
      </c>
      <c r="R39" s="112" t="s">
        <v>281</v>
      </c>
      <c r="S39" s="112" t="s">
        <v>282</v>
      </c>
      <c r="T39" s="112" t="s">
        <v>283</v>
      </c>
      <c r="U39" s="112" t="s">
        <v>313</v>
      </c>
      <c r="V39" s="112" t="s">
        <v>314</v>
      </c>
      <c r="W39" s="112">
        <v>101</v>
      </c>
      <c r="X39" s="112">
        <v>11002</v>
      </c>
      <c r="Y39" s="112">
        <v>245011</v>
      </c>
      <c r="Z39" s="112">
        <v>9999</v>
      </c>
      <c r="AA39" s="112">
        <v>999</v>
      </c>
      <c r="AB39" s="112">
        <v>999</v>
      </c>
      <c r="AC39" s="112">
        <v>9999</v>
      </c>
      <c r="AD39" s="112">
        <v>9999</v>
      </c>
      <c r="AE39" s="112" t="s">
        <v>1</v>
      </c>
      <c r="AF39" s="112" t="s">
        <v>227</v>
      </c>
      <c r="AG39" s="112" t="s">
        <v>227</v>
      </c>
      <c r="AH39" s="112" t="s">
        <v>286</v>
      </c>
      <c r="AJ39" s="112" t="s">
        <v>227</v>
      </c>
      <c r="AK39" s="112">
        <v>46203</v>
      </c>
      <c r="AL39" s="112" t="s">
        <v>382</v>
      </c>
      <c r="AM39" s="112" t="s">
        <v>288</v>
      </c>
    </row>
    <row r="40" spans="1:39" x14ac:dyDescent="0.2">
      <c r="A40" s="116">
        <f t="shared" ca="1" si="1"/>
        <v>48</v>
      </c>
      <c r="B40" s="112" t="str">
        <f ca="1">IFERROR(VLOOKUP(A40,'Aging Formulas'!A:B,2,FALSE),"365+")</f>
        <v>31-60</v>
      </c>
      <c r="D40" s="134" t="s">
        <v>423</v>
      </c>
      <c r="E40" s="112" t="s">
        <v>308</v>
      </c>
      <c r="F40" s="112" t="s">
        <v>18</v>
      </c>
      <c r="G40" s="112" t="s">
        <v>424</v>
      </c>
      <c r="H40" s="112" t="s">
        <v>425</v>
      </c>
      <c r="I40" s="112" t="s">
        <v>20</v>
      </c>
      <c r="J40" s="112" t="s">
        <v>426</v>
      </c>
      <c r="K40" s="114">
        <v>1635248.09</v>
      </c>
      <c r="L40" s="114">
        <v>1635248.09</v>
      </c>
      <c r="M40" s="114">
        <v>1635248.09</v>
      </c>
      <c r="N40" s="112" t="s">
        <v>278</v>
      </c>
      <c r="O40" s="112" t="s">
        <v>278</v>
      </c>
      <c r="P40" s="112" t="s">
        <v>427</v>
      </c>
      <c r="Q40" s="112" t="s">
        <v>280</v>
      </c>
      <c r="R40" s="112" t="s">
        <v>281</v>
      </c>
      <c r="S40" s="112" t="s">
        <v>282</v>
      </c>
      <c r="T40" s="112" t="s">
        <v>283</v>
      </c>
      <c r="U40" s="112" t="s">
        <v>313</v>
      </c>
      <c r="V40" s="112" t="s">
        <v>314</v>
      </c>
      <c r="W40" s="112">
        <v>101</v>
      </c>
      <c r="X40" s="112">
        <v>11002</v>
      </c>
      <c r="Y40" s="112">
        <v>245011</v>
      </c>
      <c r="Z40" s="112">
        <v>9999</v>
      </c>
      <c r="AA40" s="112">
        <v>999</v>
      </c>
      <c r="AB40" s="112">
        <v>999</v>
      </c>
      <c r="AC40" s="112">
        <v>9999</v>
      </c>
      <c r="AD40" s="112">
        <v>9999</v>
      </c>
      <c r="AE40" s="112" t="s">
        <v>1</v>
      </c>
      <c r="AF40" s="112" t="s">
        <v>227</v>
      </c>
      <c r="AG40" s="112" t="s">
        <v>227</v>
      </c>
      <c r="AH40" s="112" t="s">
        <v>286</v>
      </c>
      <c r="AJ40" s="112" t="s">
        <v>227</v>
      </c>
      <c r="AK40" s="112">
        <v>46203</v>
      </c>
      <c r="AL40" s="112" t="s">
        <v>382</v>
      </c>
      <c r="AM40" s="112" t="s">
        <v>288</v>
      </c>
    </row>
    <row r="41" spans="1:39" x14ac:dyDescent="0.2">
      <c r="A41" s="116">
        <f t="shared" ca="1" si="1"/>
        <v>48</v>
      </c>
      <c r="B41" s="112" t="str">
        <f ca="1">IFERROR(VLOOKUP(A41,'Aging Formulas'!A:B,2,FALSE),"365+")</f>
        <v>31-60</v>
      </c>
      <c r="D41" s="134" t="s">
        <v>423</v>
      </c>
      <c r="E41" s="112" t="s">
        <v>308</v>
      </c>
      <c r="F41" s="112" t="s">
        <v>18</v>
      </c>
      <c r="G41" s="112" t="s">
        <v>424</v>
      </c>
      <c r="H41" s="112" t="s">
        <v>425</v>
      </c>
      <c r="I41" s="112" t="s">
        <v>20</v>
      </c>
      <c r="J41" s="112" t="s">
        <v>426</v>
      </c>
      <c r="K41" s="114">
        <v>7035184.2599999998</v>
      </c>
      <c r="L41" s="114">
        <v>7035184.2599999998</v>
      </c>
      <c r="M41" s="114">
        <v>7035184.2599999998</v>
      </c>
      <c r="N41" s="112" t="s">
        <v>278</v>
      </c>
      <c r="O41" s="112" t="s">
        <v>278</v>
      </c>
      <c r="P41" s="112" t="s">
        <v>427</v>
      </c>
      <c r="Q41" s="112" t="s">
        <v>280</v>
      </c>
      <c r="R41" s="112" t="s">
        <v>281</v>
      </c>
      <c r="S41" s="112" t="s">
        <v>282</v>
      </c>
      <c r="T41" s="112" t="s">
        <v>283</v>
      </c>
      <c r="U41" s="112" t="s">
        <v>313</v>
      </c>
      <c r="V41" s="112" t="s">
        <v>314</v>
      </c>
      <c r="W41" s="112">
        <v>101</v>
      </c>
      <c r="X41" s="112">
        <v>11002</v>
      </c>
      <c r="Y41" s="112">
        <v>245011</v>
      </c>
      <c r="Z41" s="112">
        <v>9999</v>
      </c>
      <c r="AA41" s="112">
        <v>999</v>
      </c>
      <c r="AB41" s="112">
        <v>999</v>
      </c>
      <c r="AC41" s="112">
        <v>9999</v>
      </c>
      <c r="AD41" s="112">
        <v>9999</v>
      </c>
      <c r="AE41" s="112" t="s">
        <v>1</v>
      </c>
      <c r="AF41" s="112" t="s">
        <v>227</v>
      </c>
      <c r="AG41" s="112" t="s">
        <v>227</v>
      </c>
      <c r="AH41" s="112" t="s">
        <v>286</v>
      </c>
      <c r="AJ41" s="112" t="s">
        <v>227</v>
      </c>
      <c r="AK41" s="112">
        <v>46203</v>
      </c>
      <c r="AL41" s="112" t="s">
        <v>382</v>
      </c>
      <c r="AM41" s="112" t="s">
        <v>288</v>
      </c>
    </row>
    <row r="42" spans="1:39" x14ac:dyDescent="0.2">
      <c r="A42" s="116">
        <f t="shared" ca="1" si="1"/>
        <v>48</v>
      </c>
      <c r="B42" s="112" t="str">
        <f ca="1">IFERROR(VLOOKUP(A42,'Aging Formulas'!A:B,2,FALSE),"365+")</f>
        <v>31-60</v>
      </c>
      <c r="D42" s="134" t="s">
        <v>423</v>
      </c>
      <c r="E42" s="112" t="s">
        <v>308</v>
      </c>
      <c r="F42" s="112" t="s">
        <v>18</v>
      </c>
      <c r="G42" s="112" t="s">
        <v>424</v>
      </c>
      <c r="H42" s="112" t="s">
        <v>425</v>
      </c>
      <c r="I42" s="112" t="s">
        <v>20</v>
      </c>
      <c r="J42" s="112" t="s">
        <v>426</v>
      </c>
      <c r="K42" s="114">
        <v>2437.29</v>
      </c>
      <c r="L42" s="114">
        <v>2437.29</v>
      </c>
      <c r="M42" s="114">
        <v>2437.29</v>
      </c>
      <c r="N42" s="112" t="s">
        <v>278</v>
      </c>
      <c r="O42" s="112" t="s">
        <v>278</v>
      </c>
      <c r="P42" s="112" t="s">
        <v>427</v>
      </c>
      <c r="Q42" s="112" t="s">
        <v>280</v>
      </c>
      <c r="R42" s="112" t="s">
        <v>281</v>
      </c>
      <c r="S42" s="112" t="s">
        <v>282</v>
      </c>
      <c r="T42" s="112" t="s">
        <v>283</v>
      </c>
      <c r="U42" s="112" t="s">
        <v>313</v>
      </c>
      <c r="V42" s="112" t="s">
        <v>314</v>
      </c>
      <c r="W42" s="112">
        <v>101</v>
      </c>
      <c r="X42" s="112">
        <v>11002</v>
      </c>
      <c r="Y42" s="112">
        <v>245011</v>
      </c>
      <c r="Z42" s="112">
        <v>9999</v>
      </c>
      <c r="AA42" s="112">
        <v>999</v>
      </c>
      <c r="AB42" s="112">
        <v>999</v>
      </c>
      <c r="AC42" s="112">
        <v>9999</v>
      </c>
      <c r="AD42" s="112">
        <v>9999</v>
      </c>
      <c r="AE42" s="112" t="s">
        <v>1</v>
      </c>
      <c r="AF42" s="112" t="s">
        <v>227</v>
      </c>
      <c r="AG42" s="112" t="s">
        <v>227</v>
      </c>
      <c r="AH42" s="112" t="s">
        <v>286</v>
      </c>
      <c r="AJ42" s="112" t="s">
        <v>227</v>
      </c>
      <c r="AK42" s="112">
        <v>46203</v>
      </c>
      <c r="AL42" s="112" t="s">
        <v>382</v>
      </c>
      <c r="AM42" s="112" t="s">
        <v>288</v>
      </c>
    </row>
    <row r="43" spans="1:39" x14ac:dyDescent="0.2">
      <c r="A43" s="116">
        <f t="shared" ca="1" si="1"/>
        <v>48</v>
      </c>
      <c r="B43" s="112" t="str">
        <f ca="1">IFERROR(VLOOKUP(A43,'Aging Formulas'!A:B,2,FALSE),"365+")</f>
        <v>31-60</v>
      </c>
      <c r="D43" s="134" t="s">
        <v>423</v>
      </c>
      <c r="E43" s="112" t="s">
        <v>308</v>
      </c>
      <c r="F43" s="112" t="s">
        <v>18</v>
      </c>
      <c r="G43" s="112" t="s">
        <v>424</v>
      </c>
      <c r="H43" s="112" t="s">
        <v>425</v>
      </c>
      <c r="I43" s="112" t="s">
        <v>20</v>
      </c>
      <c r="J43" s="112" t="s">
        <v>426</v>
      </c>
      <c r="K43" s="114">
        <v>2993.57</v>
      </c>
      <c r="L43" s="114">
        <v>2993.57</v>
      </c>
      <c r="M43" s="114">
        <v>2993.57</v>
      </c>
      <c r="N43" s="112" t="s">
        <v>278</v>
      </c>
      <c r="O43" s="112" t="s">
        <v>278</v>
      </c>
      <c r="P43" s="112" t="s">
        <v>427</v>
      </c>
      <c r="Q43" s="112" t="s">
        <v>280</v>
      </c>
      <c r="R43" s="112" t="s">
        <v>281</v>
      </c>
      <c r="S43" s="112" t="s">
        <v>282</v>
      </c>
      <c r="T43" s="112" t="s">
        <v>283</v>
      </c>
      <c r="U43" s="112" t="s">
        <v>313</v>
      </c>
      <c r="V43" s="112" t="s">
        <v>314</v>
      </c>
      <c r="W43" s="112">
        <v>101</v>
      </c>
      <c r="X43" s="112">
        <v>11002</v>
      </c>
      <c r="Y43" s="112">
        <v>245011</v>
      </c>
      <c r="Z43" s="112">
        <v>9999</v>
      </c>
      <c r="AA43" s="112">
        <v>999</v>
      </c>
      <c r="AB43" s="112">
        <v>999</v>
      </c>
      <c r="AC43" s="112">
        <v>9999</v>
      </c>
      <c r="AD43" s="112">
        <v>9999</v>
      </c>
      <c r="AE43" s="112" t="s">
        <v>1</v>
      </c>
      <c r="AF43" s="112" t="s">
        <v>227</v>
      </c>
      <c r="AG43" s="112" t="s">
        <v>227</v>
      </c>
      <c r="AH43" s="112" t="s">
        <v>286</v>
      </c>
      <c r="AJ43" s="112" t="s">
        <v>227</v>
      </c>
      <c r="AK43" s="112">
        <v>46203</v>
      </c>
      <c r="AL43" s="112" t="s">
        <v>382</v>
      </c>
      <c r="AM43" s="112" t="s">
        <v>288</v>
      </c>
    </row>
    <row r="44" spans="1:39" x14ac:dyDescent="0.2">
      <c r="A44" s="116">
        <f t="shared" ca="1" si="1"/>
        <v>48</v>
      </c>
      <c r="B44" s="112" t="str">
        <f ca="1">IFERROR(VLOOKUP(A44,'Aging Formulas'!A:B,2,FALSE),"365+")</f>
        <v>31-60</v>
      </c>
      <c r="D44" s="134" t="s">
        <v>423</v>
      </c>
      <c r="E44" s="112" t="s">
        <v>308</v>
      </c>
      <c r="F44" s="112" t="s">
        <v>18</v>
      </c>
      <c r="G44" s="112" t="s">
        <v>424</v>
      </c>
      <c r="H44" s="112" t="s">
        <v>425</v>
      </c>
      <c r="I44" s="112" t="s">
        <v>20</v>
      </c>
      <c r="J44" s="112" t="s">
        <v>426</v>
      </c>
      <c r="K44" s="114">
        <v>14191.98</v>
      </c>
      <c r="L44" s="114">
        <v>14191.98</v>
      </c>
      <c r="M44" s="114">
        <v>14191.98</v>
      </c>
      <c r="N44" s="112" t="s">
        <v>278</v>
      </c>
      <c r="O44" s="112" t="s">
        <v>278</v>
      </c>
      <c r="P44" s="112" t="s">
        <v>427</v>
      </c>
      <c r="Q44" s="112" t="s">
        <v>280</v>
      </c>
      <c r="R44" s="112" t="s">
        <v>281</v>
      </c>
      <c r="S44" s="112" t="s">
        <v>282</v>
      </c>
      <c r="T44" s="112" t="s">
        <v>283</v>
      </c>
      <c r="U44" s="112" t="s">
        <v>313</v>
      </c>
      <c r="V44" s="112" t="s">
        <v>314</v>
      </c>
      <c r="W44" s="112">
        <v>101</v>
      </c>
      <c r="X44" s="112">
        <v>11002</v>
      </c>
      <c r="Y44" s="112">
        <v>245011</v>
      </c>
      <c r="Z44" s="112">
        <v>9999</v>
      </c>
      <c r="AA44" s="112">
        <v>999</v>
      </c>
      <c r="AB44" s="112">
        <v>999</v>
      </c>
      <c r="AC44" s="112">
        <v>9999</v>
      </c>
      <c r="AD44" s="112">
        <v>9999</v>
      </c>
      <c r="AE44" s="112" t="s">
        <v>1</v>
      </c>
      <c r="AF44" s="112" t="s">
        <v>227</v>
      </c>
      <c r="AG44" s="112" t="s">
        <v>227</v>
      </c>
      <c r="AH44" s="112" t="s">
        <v>286</v>
      </c>
      <c r="AJ44" s="112" t="s">
        <v>227</v>
      </c>
      <c r="AK44" s="112">
        <v>46203</v>
      </c>
      <c r="AL44" s="112" t="s">
        <v>382</v>
      </c>
      <c r="AM44" s="112" t="s">
        <v>288</v>
      </c>
    </row>
    <row r="45" spans="1:39" x14ac:dyDescent="0.2">
      <c r="A45" s="116">
        <f t="shared" ca="1" si="1"/>
        <v>48</v>
      </c>
      <c r="B45" s="112" t="str">
        <f ca="1">IFERROR(VLOOKUP(A45,'Aging Formulas'!A:B,2,FALSE),"365+")</f>
        <v>31-60</v>
      </c>
      <c r="D45" s="134" t="s">
        <v>428</v>
      </c>
      <c r="E45" s="112" t="s">
        <v>308</v>
      </c>
      <c r="F45" s="112" t="s">
        <v>39</v>
      </c>
      <c r="G45" s="112" t="s">
        <v>429</v>
      </c>
      <c r="H45" s="112" t="s">
        <v>430</v>
      </c>
      <c r="I45" s="112" t="s">
        <v>36</v>
      </c>
      <c r="J45" s="112" t="s">
        <v>426</v>
      </c>
      <c r="K45" s="114">
        <v>708600</v>
      </c>
      <c r="L45" s="114">
        <v>708600</v>
      </c>
      <c r="M45" s="114">
        <v>708600</v>
      </c>
      <c r="N45" s="112" t="s">
        <v>278</v>
      </c>
      <c r="O45" s="112" t="s">
        <v>278</v>
      </c>
      <c r="P45" s="112" t="s">
        <v>431</v>
      </c>
      <c r="Q45" s="112" t="s">
        <v>431</v>
      </c>
      <c r="R45" s="112" t="s">
        <v>281</v>
      </c>
      <c r="S45" s="112" t="s">
        <v>282</v>
      </c>
      <c r="T45" s="112" t="s">
        <v>283</v>
      </c>
      <c r="U45" s="112" t="s">
        <v>366</v>
      </c>
      <c r="V45" s="112" t="s">
        <v>432</v>
      </c>
      <c r="W45" s="112">
        <v>101</v>
      </c>
      <c r="X45" s="112">
        <v>12013</v>
      </c>
      <c r="Y45" s="112">
        <v>245011</v>
      </c>
      <c r="Z45" s="112">
        <v>9999</v>
      </c>
      <c r="AA45" s="112">
        <v>950</v>
      </c>
      <c r="AB45" s="112">
        <v>999</v>
      </c>
      <c r="AC45" s="112">
        <v>9999</v>
      </c>
      <c r="AD45" s="112">
        <v>9999</v>
      </c>
      <c r="AE45" s="112" t="s">
        <v>1</v>
      </c>
      <c r="AF45" s="112" t="s">
        <v>433</v>
      </c>
      <c r="AG45" s="112" t="s">
        <v>227</v>
      </c>
      <c r="AH45" s="112" t="s">
        <v>286</v>
      </c>
      <c r="AJ45" s="112" t="s">
        <v>227</v>
      </c>
      <c r="AK45" s="112">
        <v>46203</v>
      </c>
      <c r="AL45" s="112" t="s">
        <v>315</v>
      </c>
      <c r="AM45" s="112" t="s">
        <v>288</v>
      </c>
    </row>
    <row r="46" spans="1:39" x14ac:dyDescent="0.2">
      <c r="A46" s="116">
        <f t="shared" ca="1" si="1"/>
        <v>48</v>
      </c>
      <c r="B46" s="112" t="str">
        <f ca="1">IFERROR(VLOOKUP(A46,'Aging Formulas'!A:B,2,FALSE),"365+")</f>
        <v>31-60</v>
      </c>
      <c r="D46" s="134" t="s">
        <v>434</v>
      </c>
      <c r="E46" s="112" t="s">
        <v>290</v>
      </c>
      <c r="F46" s="112" t="s">
        <v>37</v>
      </c>
      <c r="G46" s="112" t="s">
        <v>435</v>
      </c>
      <c r="H46" s="112" t="s">
        <v>436</v>
      </c>
      <c r="I46" s="112" t="s">
        <v>16</v>
      </c>
      <c r="J46" s="112" t="s">
        <v>426</v>
      </c>
      <c r="K46" s="114">
        <v>903087.96</v>
      </c>
      <c r="L46" s="114">
        <v>903087.96</v>
      </c>
      <c r="M46" s="114">
        <v>903087.96</v>
      </c>
      <c r="N46" s="112" t="s">
        <v>278</v>
      </c>
      <c r="O46" s="112" t="s">
        <v>278</v>
      </c>
      <c r="P46" s="112" t="s">
        <v>437</v>
      </c>
      <c r="Q46" s="112" t="s">
        <v>280</v>
      </c>
      <c r="R46" s="112" t="s">
        <v>281</v>
      </c>
      <c r="S46" s="112" t="s">
        <v>282</v>
      </c>
      <c r="T46" s="112" t="s">
        <v>294</v>
      </c>
      <c r="U46" s="112" t="s">
        <v>305</v>
      </c>
      <c r="V46" s="112" t="s">
        <v>438</v>
      </c>
      <c r="W46" s="112">
        <v>101</v>
      </c>
      <c r="X46" s="112">
        <v>13001</v>
      </c>
      <c r="Y46" s="112">
        <v>245011</v>
      </c>
      <c r="Z46" s="112">
        <v>9999</v>
      </c>
      <c r="AA46" s="112">
        <v>999</v>
      </c>
      <c r="AB46" s="112">
        <v>999</v>
      </c>
      <c r="AC46" s="112">
        <v>9999</v>
      </c>
      <c r="AD46" s="112">
        <v>9999</v>
      </c>
      <c r="AE46" s="112" t="s">
        <v>1</v>
      </c>
      <c r="AF46" s="112" t="s">
        <v>227</v>
      </c>
      <c r="AG46" s="112" t="s">
        <v>227</v>
      </c>
      <c r="AH46" s="112" t="s">
        <v>286</v>
      </c>
      <c r="AJ46" s="112" t="s">
        <v>227</v>
      </c>
      <c r="AK46" s="112">
        <v>46203</v>
      </c>
      <c r="AL46" s="112" t="s">
        <v>287</v>
      </c>
      <c r="AM46" s="112" t="s">
        <v>288</v>
      </c>
    </row>
    <row r="47" spans="1:39" x14ac:dyDescent="0.2">
      <c r="A47" s="116">
        <f t="shared" ca="1" si="1"/>
        <v>48</v>
      </c>
      <c r="B47" s="112" t="str">
        <f ca="1">IFERROR(VLOOKUP(A47,'Aging Formulas'!A:B,2,FALSE),"365+")</f>
        <v>31-60</v>
      </c>
      <c r="D47" s="134" t="s">
        <v>439</v>
      </c>
      <c r="E47" s="112" t="s">
        <v>308</v>
      </c>
      <c r="F47" s="112" t="s">
        <v>38</v>
      </c>
      <c r="G47" s="112" t="s">
        <v>440</v>
      </c>
      <c r="H47" s="112" t="s">
        <v>441</v>
      </c>
      <c r="I47" s="112" t="s">
        <v>16</v>
      </c>
      <c r="J47" s="112" t="s">
        <v>426</v>
      </c>
      <c r="K47" s="114">
        <v>-3885876.2</v>
      </c>
      <c r="L47" s="114">
        <v>-3885876.2</v>
      </c>
      <c r="M47" s="114">
        <v>-3885876.2</v>
      </c>
      <c r="N47" s="112" t="s">
        <v>278</v>
      </c>
      <c r="O47" s="112" t="s">
        <v>278</v>
      </c>
      <c r="P47" s="112" t="s">
        <v>442</v>
      </c>
      <c r="Q47" s="112" t="s">
        <v>280</v>
      </c>
      <c r="R47" s="112" t="s">
        <v>281</v>
      </c>
      <c r="S47" s="112" t="s">
        <v>282</v>
      </c>
      <c r="T47" s="112" t="s">
        <v>283</v>
      </c>
      <c r="U47" s="112" t="s">
        <v>313</v>
      </c>
      <c r="V47" s="112" t="s">
        <v>443</v>
      </c>
      <c r="W47" s="112">
        <v>101</v>
      </c>
      <c r="X47" s="112">
        <v>11023</v>
      </c>
      <c r="Y47" s="112">
        <v>245011</v>
      </c>
      <c r="Z47" s="112">
        <v>9999</v>
      </c>
      <c r="AA47" s="112">
        <v>999</v>
      </c>
      <c r="AB47" s="112">
        <v>999</v>
      </c>
      <c r="AC47" s="112">
        <v>9999</v>
      </c>
      <c r="AD47" s="112">
        <v>9999</v>
      </c>
      <c r="AE47" s="112" t="s">
        <v>1</v>
      </c>
      <c r="AF47" s="112" t="s">
        <v>227</v>
      </c>
      <c r="AG47" s="112" t="s">
        <v>227</v>
      </c>
      <c r="AH47" s="112" t="s">
        <v>286</v>
      </c>
      <c r="AJ47" s="112" t="s">
        <v>227</v>
      </c>
      <c r="AK47" s="112">
        <v>46203</v>
      </c>
      <c r="AL47" s="112" t="s">
        <v>382</v>
      </c>
      <c r="AM47" s="112" t="s">
        <v>288</v>
      </c>
    </row>
    <row r="48" spans="1:39" x14ac:dyDescent="0.2">
      <c r="A48" s="116">
        <f t="shared" ca="1" si="1"/>
        <v>48</v>
      </c>
      <c r="B48" s="112" t="str">
        <f ca="1">IFERROR(VLOOKUP(A48,'Aging Formulas'!A:B,2,FALSE),"365+")</f>
        <v>31-60</v>
      </c>
      <c r="D48" s="134" t="s">
        <v>423</v>
      </c>
      <c r="E48" s="112" t="s">
        <v>308</v>
      </c>
      <c r="F48" s="112" t="s">
        <v>18</v>
      </c>
      <c r="G48" s="112" t="s">
        <v>444</v>
      </c>
      <c r="H48" s="112" t="s">
        <v>445</v>
      </c>
      <c r="I48" s="112" t="s">
        <v>16</v>
      </c>
      <c r="J48" s="112" t="s">
        <v>426</v>
      </c>
      <c r="K48" s="114">
        <v>-19716352.260000002</v>
      </c>
      <c r="L48" s="114">
        <v>-19716352.260000002</v>
      </c>
      <c r="M48" s="114">
        <v>-19716352.260000002</v>
      </c>
      <c r="N48" s="112" t="s">
        <v>278</v>
      </c>
      <c r="O48" s="112" t="s">
        <v>278</v>
      </c>
      <c r="P48" s="112" t="s">
        <v>446</v>
      </c>
      <c r="Q48" s="112" t="s">
        <v>280</v>
      </c>
      <c r="R48" s="112" t="s">
        <v>281</v>
      </c>
      <c r="S48" s="112" t="s">
        <v>282</v>
      </c>
      <c r="T48" s="112" t="s">
        <v>283</v>
      </c>
      <c r="U48" s="112" t="s">
        <v>313</v>
      </c>
      <c r="V48" s="112" t="s">
        <v>314</v>
      </c>
      <c r="W48" s="112">
        <v>101</v>
      </c>
      <c r="X48" s="112">
        <v>11002</v>
      </c>
      <c r="Y48" s="112">
        <v>245011</v>
      </c>
      <c r="Z48" s="112">
        <v>9999</v>
      </c>
      <c r="AA48" s="112">
        <v>999</v>
      </c>
      <c r="AB48" s="112">
        <v>999</v>
      </c>
      <c r="AC48" s="112">
        <v>9999</v>
      </c>
      <c r="AD48" s="112">
        <v>9999</v>
      </c>
      <c r="AE48" s="112" t="s">
        <v>1</v>
      </c>
      <c r="AF48" s="112" t="s">
        <v>227</v>
      </c>
      <c r="AG48" s="112" t="s">
        <v>227</v>
      </c>
      <c r="AH48" s="112" t="s">
        <v>286</v>
      </c>
      <c r="AJ48" s="112" t="s">
        <v>227</v>
      </c>
      <c r="AK48" s="112">
        <v>46203</v>
      </c>
      <c r="AL48" s="112" t="s">
        <v>382</v>
      </c>
      <c r="AM48" s="112" t="s">
        <v>288</v>
      </c>
    </row>
    <row r="49" spans="1:39" x14ac:dyDescent="0.2">
      <c r="A49" s="116">
        <f t="shared" ca="1" si="1"/>
        <v>48</v>
      </c>
      <c r="B49" s="112" t="str">
        <f ca="1">IFERROR(VLOOKUP(A49,'Aging Formulas'!A:B,2,FALSE),"365+")</f>
        <v>31-60</v>
      </c>
      <c r="D49" s="134" t="s">
        <v>447</v>
      </c>
      <c r="E49" s="112" t="s">
        <v>290</v>
      </c>
      <c r="F49" s="112" t="s">
        <v>14</v>
      </c>
      <c r="G49" s="112" t="s">
        <v>448</v>
      </c>
      <c r="H49" s="112" t="s">
        <v>449</v>
      </c>
      <c r="I49" s="112" t="s">
        <v>16</v>
      </c>
      <c r="J49" s="112" t="s">
        <v>426</v>
      </c>
      <c r="K49" s="114">
        <v>-468289.33</v>
      </c>
      <c r="L49" s="114">
        <v>-468289.33</v>
      </c>
      <c r="M49" s="114">
        <v>-468289.33</v>
      </c>
      <c r="N49" s="112" t="s">
        <v>278</v>
      </c>
      <c r="O49" s="112" t="s">
        <v>278</v>
      </c>
      <c r="P49" s="112" t="s">
        <v>450</v>
      </c>
      <c r="Q49" s="112" t="s">
        <v>280</v>
      </c>
      <c r="R49" s="112" t="s">
        <v>281</v>
      </c>
      <c r="S49" s="112" t="s">
        <v>282</v>
      </c>
      <c r="T49" s="112" t="s">
        <v>294</v>
      </c>
      <c r="U49" s="112" t="s">
        <v>305</v>
      </c>
      <c r="V49" s="112" t="s">
        <v>306</v>
      </c>
      <c r="W49" s="112">
        <v>101</v>
      </c>
      <c r="X49" s="112">
        <v>13016</v>
      </c>
      <c r="Y49" s="112">
        <v>245011</v>
      </c>
      <c r="Z49" s="112">
        <v>9999</v>
      </c>
      <c r="AA49" s="112">
        <v>999</v>
      </c>
      <c r="AB49" s="112">
        <v>999</v>
      </c>
      <c r="AC49" s="112">
        <v>9999</v>
      </c>
      <c r="AD49" s="112">
        <v>9999</v>
      </c>
      <c r="AE49" s="112" t="s">
        <v>1</v>
      </c>
      <c r="AF49" s="112" t="s">
        <v>227</v>
      </c>
      <c r="AG49" s="112" t="s">
        <v>227</v>
      </c>
      <c r="AH49" s="112" t="s">
        <v>286</v>
      </c>
      <c r="AJ49" s="112" t="s">
        <v>227</v>
      </c>
      <c r="AK49" s="112">
        <v>46203</v>
      </c>
      <c r="AL49" s="112" t="s">
        <v>287</v>
      </c>
      <c r="AM49" s="112" t="s">
        <v>288</v>
      </c>
    </row>
    <row r="50" spans="1:39" x14ac:dyDescent="0.2">
      <c r="A50" s="116">
        <f t="shared" ca="1" si="1"/>
        <v>17</v>
      </c>
      <c r="B50" s="112" t="str">
        <f ca="1">IFERROR(VLOOKUP(A50,'Aging Formulas'!A:B,2,FALSE),"365+")</f>
        <v>0-30</v>
      </c>
      <c r="D50" s="134" t="s">
        <v>451</v>
      </c>
      <c r="E50" s="112" t="s">
        <v>290</v>
      </c>
      <c r="F50" s="112" t="s">
        <v>30</v>
      </c>
      <c r="G50" s="112" t="s">
        <v>452</v>
      </c>
      <c r="H50" s="112" t="s">
        <v>453</v>
      </c>
      <c r="I50" s="112" t="s">
        <v>12</v>
      </c>
      <c r="J50" s="112" t="s">
        <v>454</v>
      </c>
      <c r="K50" s="114">
        <v>987907.41</v>
      </c>
      <c r="L50" s="114">
        <v>987907.41</v>
      </c>
      <c r="M50" s="114">
        <v>987907.41</v>
      </c>
      <c r="N50" s="112" t="s">
        <v>278</v>
      </c>
      <c r="O50" s="112" t="s">
        <v>278</v>
      </c>
      <c r="P50" s="112" t="s">
        <v>451</v>
      </c>
      <c r="Q50" s="112" t="s">
        <v>280</v>
      </c>
      <c r="R50" s="112" t="s">
        <v>281</v>
      </c>
      <c r="S50" s="112" t="s">
        <v>282</v>
      </c>
      <c r="T50" s="112" t="s">
        <v>294</v>
      </c>
      <c r="U50" s="112" t="s">
        <v>295</v>
      </c>
      <c r="V50" s="112" t="s">
        <v>376</v>
      </c>
      <c r="W50" s="112">
        <v>101</v>
      </c>
      <c r="X50" s="112">
        <v>13018</v>
      </c>
      <c r="Y50" s="112">
        <v>245011</v>
      </c>
      <c r="Z50" s="112">
        <v>9999</v>
      </c>
      <c r="AA50" s="112">
        <v>950</v>
      </c>
      <c r="AB50" s="112">
        <v>999</v>
      </c>
      <c r="AC50" s="112">
        <v>9999</v>
      </c>
      <c r="AD50" s="112">
        <v>9999</v>
      </c>
      <c r="AE50" s="112" t="s">
        <v>1</v>
      </c>
      <c r="AF50" s="112" t="s">
        <v>455</v>
      </c>
      <c r="AG50" s="112" t="s">
        <v>227</v>
      </c>
      <c r="AH50" s="112" t="s">
        <v>286</v>
      </c>
      <c r="AJ50" s="112" t="s">
        <v>227</v>
      </c>
      <c r="AK50" s="112">
        <v>46234</v>
      </c>
      <c r="AL50" s="112" t="s">
        <v>315</v>
      </c>
      <c r="AM50" s="112" t="s">
        <v>288</v>
      </c>
    </row>
    <row r="51" spans="1:39" x14ac:dyDescent="0.2">
      <c r="A51" s="116">
        <f t="shared" ca="1" si="1"/>
        <v>17</v>
      </c>
      <c r="B51" s="112" t="str">
        <f ca="1">IFERROR(VLOOKUP(A51,'Aging Formulas'!A:B,2,FALSE),"365+")</f>
        <v>0-30</v>
      </c>
      <c r="D51" s="134" t="s">
        <v>451</v>
      </c>
      <c r="E51" s="112" t="s">
        <v>290</v>
      </c>
      <c r="F51" s="112" t="s">
        <v>30</v>
      </c>
      <c r="G51" s="112" t="s">
        <v>452</v>
      </c>
      <c r="H51" s="112" t="s">
        <v>453</v>
      </c>
      <c r="I51" s="112" t="s">
        <v>12</v>
      </c>
      <c r="J51" s="112" t="s">
        <v>454</v>
      </c>
      <c r="K51" s="114">
        <v>2390407.41</v>
      </c>
      <c r="L51" s="114">
        <v>2390407.41</v>
      </c>
      <c r="M51" s="114">
        <v>2390407.41</v>
      </c>
      <c r="N51" s="112" t="s">
        <v>278</v>
      </c>
      <c r="O51" s="112" t="s">
        <v>278</v>
      </c>
      <c r="P51" s="112" t="s">
        <v>451</v>
      </c>
      <c r="Q51" s="112" t="s">
        <v>280</v>
      </c>
      <c r="R51" s="112" t="s">
        <v>281</v>
      </c>
      <c r="S51" s="112" t="s">
        <v>282</v>
      </c>
      <c r="T51" s="112" t="s">
        <v>294</v>
      </c>
      <c r="U51" s="112" t="s">
        <v>295</v>
      </c>
      <c r="V51" s="112" t="s">
        <v>376</v>
      </c>
      <c r="W51" s="112">
        <v>101</v>
      </c>
      <c r="X51" s="112">
        <v>13018</v>
      </c>
      <c r="Y51" s="112">
        <v>245011</v>
      </c>
      <c r="Z51" s="112">
        <v>9999</v>
      </c>
      <c r="AA51" s="112">
        <v>950</v>
      </c>
      <c r="AB51" s="112">
        <v>999</v>
      </c>
      <c r="AC51" s="112">
        <v>9999</v>
      </c>
      <c r="AD51" s="112">
        <v>9999</v>
      </c>
      <c r="AE51" s="112" t="s">
        <v>1</v>
      </c>
      <c r="AF51" s="112" t="s">
        <v>455</v>
      </c>
      <c r="AG51" s="112" t="s">
        <v>227</v>
      </c>
      <c r="AH51" s="112" t="s">
        <v>286</v>
      </c>
      <c r="AJ51" s="112" t="s">
        <v>227</v>
      </c>
      <c r="AK51" s="112">
        <v>46234</v>
      </c>
      <c r="AL51" s="112" t="s">
        <v>315</v>
      </c>
      <c r="AM51" s="112" t="s">
        <v>288</v>
      </c>
    </row>
    <row r="52" spans="1:39" x14ac:dyDescent="0.2">
      <c r="A52" s="116">
        <f t="shared" ca="1" si="1"/>
        <v>17</v>
      </c>
      <c r="B52" s="112" t="str">
        <f ca="1">IFERROR(VLOOKUP(A52,'Aging Formulas'!A:B,2,FALSE),"365+")</f>
        <v>0-30</v>
      </c>
      <c r="D52" s="134" t="s">
        <v>451</v>
      </c>
      <c r="E52" s="112" t="s">
        <v>290</v>
      </c>
      <c r="F52" s="112" t="s">
        <v>30</v>
      </c>
      <c r="G52" s="112" t="s">
        <v>452</v>
      </c>
      <c r="H52" s="112" t="s">
        <v>453</v>
      </c>
      <c r="I52" s="112" t="s">
        <v>12</v>
      </c>
      <c r="J52" s="112" t="s">
        <v>454</v>
      </c>
      <c r="K52" s="114">
        <v>3258457.64</v>
      </c>
      <c r="L52" s="114">
        <v>3258457.64</v>
      </c>
      <c r="M52" s="114">
        <v>3258457.64</v>
      </c>
      <c r="N52" s="112" t="s">
        <v>278</v>
      </c>
      <c r="O52" s="112" t="s">
        <v>278</v>
      </c>
      <c r="P52" s="112" t="s">
        <v>451</v>
      </c>
      <c r="Q52" s="112" t="s">
        <v>280</v>
      </c>
      <c r="R52" s="112" t="s">
        <v>281</v>
      </c>
      <c r="S52" s="112" t="s">
        <v>282</v>
      </c>
      <c r="T52" s="112" t="s">
        <v>294</v>
      </c>
      <c r="U52" s="112" t="s">
        <v>295</v>
      </c>
      <c r="V52" s="112" t="s">
        <v>376</v>
      </c>
      <c r="W52" s="112">
        <v>101</v>
      </c>
      <c r="X52" s="112">
        <v>13018</v>
      </c>
      <c r="Y52" s="112">
        <v>245011</v>
      </c>
      <c r="Z52" s="112">
        <v>9999</v>
      </c>
      <c r="AA52" s="112">
        <v>950</v>
      </c>
      <c r="AB52" s="112">
        <v>999</v>
      </c>
      <c r="AC52" s="112">
        <v>9999</v>
      </c>
      <c r="AD52" s="112">
        <v>9999</v>
      </c>
      <c r="AE52" s="112" t="s">
        <v>1</v>
      </c>
      <c r="AF52" s="112" t="s">
        <v>455</v>
      </c>
      <c r="AG52" s="112" t="s">
        <v>227</v>
      </c>
      <c r="AH52" s="112" t="s">
        <v>286</v>
      </c>
      <c r="AJ52" s="112" t="s">
        <v>227</v>
      </c>
      <c r="AK52" s="112">
        <v>46234</v>
      </c>
      <c r="AL52" s="112" t="s">
        <v>315</v>
      </c>
      <c r="AM52" s="112" t="s">
        <v>288</v>
      </c>
    </row>
    <row r="53" spans="1:39" x14ac:dyDescent="0.2">
      <c r="A53" s="116">
        <f t="shared" ca="1" si="1"/>
        <v>17</v>
      </c>
      <c r="B53" s="112" t="str">
        <f ca="1">IFERROR(VLOOKUP(A53,'Aging Formulas'!A:B,2,FALSE),"365+")</f>
        <v>0-30</v>
      </c>
      <c r="D53" s="134" t="s">
        <v>451</v>
      </c>
      <c r="E53" s="112" t="s">
        <v>290</v>
      </c>
      <c r="F53" s="112" t="s">
        <v>30</v>
      </c>
      <c r="G53" s="112" t="s">
        <v>452</v>
      </c>
      <c r="H53" s="112" t="s">
        <v>453</v>
      </c>
      <c r="I53" s="112" t="s">
        <v>12</v>
      </c>
      <c r="J53" s="112" t="s">
        <v>454</v>
      </c>
      <c r="K53" s="114">
        <v>92400</v>
      </c>
      <c r="L53" s="114">
        <v>92400</v>
      </c>
      <c r="M53" s="114">
        <v>92400</v>
      </c>
      <c r="N53" s="112" t="s">
        <v>278</v>
      </c>
      <c r="O53" s="112" t="s">
        <v>278</v>
      </c>
      <c r="P53" s="112" t="s">
        <v>451</v>
      </c>
      <c r="Q53" s="112" t="s">
        <v>280</v>
      </c>
      <c r="R53" s="112" t="s">
        <v>281</v>
      </c>
      <c r="S53" s="112" t="s">
        <v>282</v>
      </c>
      <c r="T53" s="112" t="s">
        <v>294</v>
      </c>
      <c r="U53" s="112" t="s">
        <v>295</v>
      </c>
      <c r="V53" s="112" t="s">
        <v>376</v>
      </c>
      <c r="W53" s="112">
        <v>101</v>
      </c>
      <c r="X53" s="112">
        <v>13018</v>
      </c>
      <c r="Y53" s="112">
        <v>245011</v>
      </c>
      <c r="Z53" s="112">
        <v>9999</v>
      </c>
      <c r="AA53" s="112">
        <v>950</v>
      </c>
      <c r="AB53" s="112">
        <v>999</v>
      </c>
      <c r="AC53" s="112">
        <v>9999</v>
      </c>
      <c r="AD53" s="112">
        <v>9999</v>
      </c>
      <c r="AE53" s="112" t="s">
        <v>1</v>
      </c>
      <c r="AF53" s="112" t="s">
        <v>455</v>
      </c>
      <c r="AG53" s="112" t="s">
        <v>227</v>
      </c>
      <c r="AH53" s="112" t="s">
        <v>286</v>
      </c>
      <c r="AJ53" s="112" t="s">
        <v>227</v>
      </c>
      <c r="AK53" s="112">
        <v>46234</v>
      </c>
      <c r="AL53" s="112" t="s">
        <v>315</v>
      </c>
      <c r="AM53" s="112" t="s">
        <v>288</v>
      </c>
    </row>
    <row r="54" spans="1:39" x14ac:dyDescent="0.2">
      <c r="A54" s="116">
        <f t="shared" ca="1" si="1"/>
        <v>17</v>
      </c>
      <c r="B54" s="112" t="str">
        <f ca="1">IFERROR(VLOOKUP(A54,'Aging Formulas'!A:B,2,FALSE),"365+")</f>
        <v>0-30</v>
      </c>
      <c r="D54" s="134" t="s">
        <v>451</v>
      </c>
      <c r="E54" s="112" t="s">
        <v>290</v>
      </c>
      <c r="F54" s="112" t="s">
        <v>30</v>
      </c>
      <c r="G54" s="112" t="s">
        <v>452</v>
      </c>
      <c r="H54" s="112" t="s">
        <v>453</v>
      </c>
      <c r="I54" s="112" t="s">
        <v>12</v>
      </c>
      <c r="J54" s="112" t="s">
        <v>454</v>
      </c>
      <c r="K54" s="114">
        <v>2993563.74</v>
      </c>
      <c r="L54" s="114">
        <v>2993563.74</v>
      </c>
      <c r="M54" s="114">
        <v>2993563.74</v>
      </c>
      <c r="N54" s="112" t="s">
        <v>278</v>
      </c>
      <c r="O54" s="112" t="s">
        <v>278</v>
      </c>
      <c r="P54" s="112" t="s">
        <v>451</v>
      </c>
      <c r="Q54" s="112" t="s">
        <v>280</v>
      </c>
      <c r="R54" s="112" t="s">
        <v>281</v>
      </c>
      <c r="S54" s="112" t="s">
        <v>282</v>
      </c>
      <c r="T54" s="112" t="s">
        <v>294</v>
      </c>
      <c r="U54" s="112" t="s">
        <v>295</v>
      </c>
      <c r="V54" s="112" t="s">
        <v>376</v>
      </c>
      <c r="W54" s="112">
        <v>101</v>
      </c>
      <c r="X54" s="112">
        <v>13018</v>
      </c>
      <c r="Y54" s="112">
        <v>245011</v>
      </c>
      <c r="Z54" s="112">
        <v>9999</v>
      </c>
      <c r="AA54" s="112">
        <v>950</v>
      </c>
      <c r="AB54" s="112">
        <v>999</v>
      </c>
      <c r="AC54" s="112">
        <v>9999</v>
      </c>
      <c r="AD54" s="112">
        <v>9999</v>
      </c>
      <c r="AE54" s="112" t="s">
        <v>1</v>
      </c>
      <c r="AF54" s="112" t="s">
        <v>455</v>
      </c>
      <c r="AG54" s="112" t="s">
        <v>227</v>
      </c>
      <c r="AH54" s="112" t="s">
        <v>286</v>
      </c>
      <c r="AJ54" s="112" t="s">
        <v>227</v>
      </c>
      <c r="AK54" s="112">
        <v>46234</v>
      </c>
      <c r="AL54" s="112" t="s">
        <v>315</v>
      </c>
      <c r="AM54" s="112" t="s">
        <v>288</v>
      </c>
    </row>
    <row r="55" spans="1:39" x14ac:dyDescent="0.2">
      <c r="A55" s="116">
        <f t="shared" ca="1" si="1"/>
        <v>17</v>
      </c>
      <c r="B55" s="112" t="str">
        <f ca="1">IFERROR(VLOOKUP(A55,'Aging Formulas'!A:B,2,FALSE),"365+")</f>
        <v>0-30</v>
      </c>
      <c r="D55" s="134" t="s">
        <v>423</v>
      </c>
      <c r="E55" s="112" t="s">
        <v>308</v>
      </c>
      <c r="F55" s="112" t="s">
        <v>18</v>
      </c>
      <c r="G55" s="112" t="s">
        <v>456</v>
      </c>
      <c r="H55" s="112" t="s">
        <v>457</v>
      </c>
      <c r="I55" s="112" t="s">
        <v>21</v>
      </c>
      <c r="J55" s="112" t="s">
        <v>454</v>
      </c>
      <c r="K55" s="114">
        <v>1578245.1200000001</v>
      </c>
      <c r="L55" s="114">
        <v>1578245.1200000001</v>
      </c>
      <c r="M55" s="114">
        <v>1578245.1200000001</v>
      </c>
      <c r="N55" s="112" t="s">
        <v>278</v>
      </c>
      <c r="O55" s="112" t="s">
        <v>278</v>
      </c>
      <c r="P55" s="112" t="s">
        <v>458</v>
      </c>
      <c r="Q55" s="112" t="s">
        <v>280</v>
      </c>
      <c r="R55" s="112" t="s">
        <v>281</v>
      </c>
      <c r="S55" s="112" t="s">
        <v>282</v>
      </c>
      <c r="T55" s="112" t="s">
        <v>283</v>
      </c>
      <c r="U55" s="112" t="s">
        <v>313</v>
      </c>
      <c r="V55" s="112" t="s">
        <v>314</v>
      </c>
      <c r="W55" s="112">
        <v>101</v>
      </c>
      <c r="X55" s="112">
        <v>11002</v>
      </c>
      <c r="Y55" s="112">
        <v>245011</v>
      </c>
      <c r="Z55" s="112">
        <v>9999</v>
      </c>
      <c r="AA55" s="112">
        <v>999</v>
      </c>
      <c r="AB55" s="112">
        <v>999</v>
      </c>
      <c r="AC55" s="112">
        <v>9999</v>
      </c>
      <c r="AD55" s="112">
        <v>9999</v>
      </c>
      <c r="AE55" s="112" t="s">
        <v>1</v>
      </c>
      <c r="AF55" s="112" t="s">
        <v>227</v>
      </c>
      <c r="AG55" s="112" t="s">
        <v>227</v>
      </c>
      <c r="AH55" s="112" t="s">
        <v>286</v>
      </c>
      <c r="AJ55" s="112" t="s">
        <v>227</v>
      </c>
      <c r="AK55" s="112">
        <v>46234</v>
      </c>
      <c r="AL55" s="112" t="s">
        <v>315</v>
      </c>
      <c r="AM55" s="112" t="s">
        <v>288</v>
      </c>
    </row>
    <row r="56" spans="1:39" x14ac:dyDescent="0.2">
      <c r="A56" s="116">
        <f t="shared" ca="1" si="1"/>
        <v>17</v>
      </c>
      <c r="B56" s="112" t="str">
        <f ca="1">IFERROR(VLOOKUP(A56,'Aging Formulas'!A:B,2,FALSE),"365+")</f>
        <v>0-30</v>
      </c>
      <c r="D56" s="134" t="s">
        <v>361</v>
      </c>
      <c r="E56" s="112" t="s">
        <v>308</v>
      </c>
      <c r="F56" s="112" t="s">
        <v>28</v>
      </c>
      <c r="G56" s="112" t="s">
        <v>459</v>
      </c>
      <c r="H56" s="112" t="s">
        <v>460</v>
      </c>
      <c r="I56" s="112" t="s">
        <v>29</v>
      </c>
      <c r="J56" s="112" t="s">
        <v>454</v>
      </c>
      <c r="K56" s="114">
        <v>9707.1</v>
      </c>
      <c r="L56" s="114">
        <v>9707.1</v>
      </c>
      <c r="M56" s="114">
        <v>9707.1</v>
      </c>
      <c r="N56" s="112" t="s">
        <v>278</v>
      </c>
      <c r="O56" s="112" t="s">
        <v>278</v>
      </c>
      <c r="P56" s="112" t="s">
        <v>361</v>
      </c>
      <c r="Q56" s="112" t="s">
        <v>280</v>
      </c>
      <c r="R56" s="112" t="s">
        <v>281</v>
      </c>
      <c r="S56" s="112" t="s">
        <v>282</v>
      </c>
      <c r="T56" s="112" t="s">
        <v>283</v>
      </c>
      <c r="U56" s="112" t="s">
        <v>366</v>
      </c>
      <c r="V56" s="112" t="s">
        <v>461</v>
      </c>
      <c r="W56" s="112">
        <v>101</v>
      </c>
      <c r="X56" s="112">
        <v>12014</v>
      </c>
      <c r="Y56" s="112">
        <v>245011</v>
      </c>
      <c r="Z56" s="112">
        <v>9999</v>
      </c>
      <c r="AA56" s="112">
        <v>999</v>
      </c>
      <c r="AB56" s="112">
        <v>999</v>
      </c>
      <c r="AC56" s="112">
        <v>9999</v>
      </c>
      <c r="AD56" s="112">
        <v>9999</v>
      </c>
      <c r="AE56" s="112" t="s">
        <v>1</v>
      </c>
      <c r="AF56" s="112" t="s">
        <v>227</v>
      </c>
      <c r="AG56" s="112" t="s">
        <v>227</v>
      </c>
      <c r="AH56" s="112" t="s">
        <v>286</v>
      </c>
      <c r="AJ56" s="112" t="s">
        <v>227</v>
      </c>
      <c r="AK56" s="112">
        <v>46234</v>
      </c>
      <c r="AL56" s="112" t="s">
        <v>287</v>
      </c>
      <c r="AM56" s="112" t="s">
        <v>288</v>
      </c>
    </row>
    <row r="57" spans="1:39" x14ac:dyDescent="0.2">
      <c r="A57" s="116">
        <f t="shared" ca="1" si="1"/>
        <v>17</v>
      </c>
      <c r="B57" s="112" t="str">
        <f ca="1">IFERROR(VLOOKUP(A57,'Aging Formulas'!A:B,2,FALSE),"365+")</f>
        <v>0-30</v>
      </c>
      <c r="D57" s="134" t="s">
        <v>462</v>
      </c>
      <c r="E57" s="112" t="s">
        <v>274</v>
      </c>
      <c r="F57" s="112" t="s">
        <v>11</v>
      </c>
      <c r="G57" s="112" t="s">
        <v>463</v>
      </c>
      <c r="H57" s="112" t="s">
        <v>464</v>
      </c>
      <c r="I57" s="112" t="s">
        <v>26</v>
      </c>
      <c r="J57" s="112" t="s">
        <v>454</v>
      </c>
      <c r="K57" s="114">
        <v>86826.08</v>
      </c>
      <c r="L57" s="114">
        <v>86826.08</v>
      </c>
      <c r="M57" s="114">
        <v>86826.08</v>
      </c>
      <c r="N57" s="112" t="s">
        <v>278</v>
      </c>
      <c r="O57" s="112" t="s">
        <v>278</v>
      </c>
      <c r="P57" s="112" t="s">
        <v>465</v>
      </c>
      <c r="Q57" s="112" t="s">
        <v>280</v>
      </c>
      <c r="R57" s="112" t="s">
        <v>281</v>
      </c>
      <c r="S57" s="112" t="s">
        <v>282</v>
      </c>
      <c r="T57" s="112" t="s">
        <v>283</v>
      </c>
      <c r="U57" s="112" t="s">
        <v>284</v>
      </c>
      <c r="V57" s="112" t="s">
        <v>285</v>
      </c>
      <c r="W57" s="112">
        <v>101</v>
      </c>
      <c r="X57" s="112">
        <v>12012</v>
      </c>
      <c r="Y57" s="112">
        <v>245011</v>
      </c>
      <c r="Z57" s="112">
        <v>9999</v>
      </c>
      <c r="AA57" s="112">
        <v>999</v>
      </c>
      <c r="AB57" s="112">
        <v>999</v>
      </c>
      <c r="AC57" s="112">
        <v>9999</v>
      </c>
      <c r="AD57" s="112">
        <v>9999</v>
      </c>
      <c r="AE57" s="112" t="s">
        <v>1</v>
      </c>
      <c r="AF57" s="112" t="s">
        <v>227</v>
      </c>
      <c r="AG57" s="112" t="s">
        <v>227</v>
      </c>
      <c r="AH57" s="112" t="s">
        <v>286</v>
      </c>
      <c r="AJ57" s="112" t="s">
        <v>227</v>
      </c>
      <c r="AK57" s="112">
        <v>46234</v>
      </c>
      <c r="AL57" s="112" t="s">
        <v>382</v>
      </c>
      <c r="AM57" s="112" t="s">
        <v>288</v>
      </c>
    </row>
    <row r="58" spans="1:39" x14ac:dyDescent="0.2">
      <c r="A58" s="116">
        <f t="shared" ca="1" si="1"/>
        <v>32</v>
      </c>
      <c r="B58" s="112" t="str">
        <f ca="1">IFERROR(VLOOKUP(A58,'Aging Formulas'!A:B,2,FALSE),"365+")</f>
        <v>31-60</v>
      </c>
      <c r="D58" s="134" t="s">
        <v>423</v>
      </c>
      <c r="E58" s="112" t="s">
        <v>308</v>
      </c>
      <c r="F58" s="112" t="s">
        <v>18</v>
      </c>
      <c r="G58" s="112" t="s">
        <v>466</v>
      </c>
      <c r="H58" s="112" t="s">
        <v>467</v>
      </c>
      <c r="I58" s="112" t="s">
        <v>16</v>
      </c>
      <c r="J58" s="112" t="s">
        <v>454</v>
      </c>
      <c r="K58" s="114">
        <v>2817880.6</v>
      </c>
      <c r="L58" s="114">
        <v>2817880.6</v>
      </c>
      <c r="M58" s="114">
        <v>2817880.6</v>
      </c>
      <c r="N58" s="112" t="s">
        <v>278</v>
      </c>
      <c r="O58" s="112" t="s">
        <v>278</v>
      </c>
      <c r="P58" s="112" t="s">
        <v>468</v>
      </c>
      <c r="Q58" s="112" t="s">
        <v>280</v>
      </c>
      <c r="R58" s="112" t="s">
        <v>281</v>
      </c>
      <c r="S58" s="112" t="s">
        <v>282</v>
      </c>
      <c r="T58" s="112" t="s">
        <v>283</v>
      </c>
      <c r="U58" s="112" t="s">
        <v>313</v>
      </c>
      <c r="V58" s="112" t="s">
        <v>314</v>
      </c>
      <c r="W58" s="112">
        <v>101</v>
      </c>
      <c r="X58" s="112">
        <v>11002</v>
      </c>
      <c r="Y58" s="112">
        <v>245011</v>
      </c>
      <c r="Z58" s="112">
        <v>9999</v>
      </c>
      <c r="AA58" s="112">
        <v>999</v>
      </c>
      <c r="AB58" s="112">
        <v>999</v>
      </c>
      <c r="AC58" s="112">
        <v>9999</v>
      </c>
      <c r="AD58" s="112">
        <v>9999</v>
      </c>
      <c r="AE58" s="112" t="s">
        <v>1</v>
      </c>
      <c r="AF58" s="112" t="s">
        <v>227</v>
      </c>
      <c r="AG58" s="112" t="s">
        <v>227</v>
      </c>
      <c r="AH58" s="112" t="s">
        <v>286</v>
      </c>
      <c r="AJ58" s="112" t="s">
        <v>227</v>
      </c>
      <c r="AK58" s="112">
        <v>46219</v>
      </c>
      <c r="AL58" s="112" t="s">
        <v>382</v>
      </c>
      <c r="AM58" s="112" t="s">
        <v>288</v>
      </c>
    </row>
    <row r="59" spans="1:39" x14ac:dyDescent="0.2">
      <c r="A59" s="116">
        <f t="shared" ca="1" si="1"/>
        <v>31</v>
      </c>
      <c r="B59" s="112" t="str">
        <f ca="1">IFERROR(VLOOKUP(A59,'Aging Formulas'!A:B,2,FALSE),"365+")</f>
        <v>31-60</v>
      </c>
      <c r="D59" s="134" t="s">
        <v>423</v>
      </c>
      <c r="E59" s="112" t="s">
        <v>308</v>
      </c>
      <c r="F59" s="112" t="s">
        <v>18</v>
      </c>
      <c r="G59" s="112" t="s">
        <v>469</v>
      </c>
      <c r="H59" s="112" t="s">
        <v>470</v>
      </c>
      <c r="I59" s="112" t="s">
        <v>21</v>
      </c>
      <c r="J59" s="112" t="s">
        <v>454</v>
      </c>
      <c r="K59" s="114">
        <v>2817880.6</v>
      </c>
      <c r="L59" s="114">
        <v>2817880.6</v>
      </c>
      <c r="M59" s="114">
        <v>2817880.6</v>
      </c>
      <c r="N59" s="112" t="s">
        <v>278</v>
      </c>
      <c r="O59" s="112" t="s">
        <v>278</v>
      </c>
      <c r="P59" s="112" t="s">
        <v>468</v>
      </c>
      <c r="Q59" s="112" t="s">
        <v>468</v>
      </c>
      <c r="R59" s="112" t="s">
        <v>281</v>
      </c>
      <c r="S59" s="112" t="s">
        <v>282</v>
      </c>
      <c r="T59" s="112" t="s">
        <v>283</v>
      </c>
      <c r="U59" s="112" t="s">
        <v>313</v>
      </c>
      <c r="V59" s="112" t="s">
        <v>314</v>
      </c>
      <c r="W59" s="112">
        <v>101</v>
      </c>
      <c r="X59" s="112">
        <v>11002</v>
      </c>
      <c r="Y59" s="112">
        <v>245011</v>
      </c>
      <c r="Z59" s="112">
        <v>9999</v>
      </c>
      <c r="AA59" s="112">
        <v>999</v>
      </c>
      <c r="AB59" s="112">
        <v>999</v>
      </c>
      <c r="AC59" s="112">
        <v>9999</v>
      </c>
      <c r="AD59" s="112">
        <v>9999</v>
      </c>
      <c r="AE59" s="112" t="s">
        <v>1</v>
      </c>
      <c r="AF59" s="112" t="s">
        <v>227</v>
      </c>
      <c r="AG59" s="112" t="s">
        <v>227</v>
      </c>
      <c r="AH59" s="112" t="s">
        <v>286</v>
      </c>
      <c r="AJ59" s="112" t="s">
        <v>227</v>
      </c>
      <c r="AK59" s="112">
        <v>46220</v>
      </c>
      <c r="AL59" s="112" t="s">
        <v>315</v>
      </c>
      <c r="AM59" s="112" t="s">
        <v>288</v>
      </c>
    </row>
    <row r="60" spans="1:39" x14ac:dyDescent="0.2">
      <c r="A60" s="116">
        <f t="shared" ca="1" si="1"/>
        <v>17</v>
      </c>
      <c r="B60" s="112" t="str">
        <f ca="1">IFERROR(VLOOKUP(A60,'Aging Formulas'!A:B,2,FALSE),"365+")</f>
        <v>0-30</v>
      </c>
      <c r="D60" s="134" t="s">
        <v>471</v>
      </c>
      <c r="E60" s="112" t="s">
        <v>290</v>
      </c>
      <c r="F60" s="112" t="s">
        <v>25</v>
      </c>
      <c r="G60" s="112" t="s">
        <v>472</v>
      </c>
      <c r="H60" s="112" t="s">
        <v>473</v>
      </c>
      <c r="I60" s="112" t="s">
        <v>27</v>
      </c>
      <c r="J60" s="112" t="s">
        <v>454</v>
      </c>
      <c r="K60" s="114">
        <v>-366792.2</v>
      </c>
      <c r="L60" s="114">
        <v>-366792.2</v>
      </c>
      <c r="M60" s="114">
        <v>-366792.2</v>
      </c>
      <c r="N60" s="112" t="s">
        <v>278</v>
      </c>
      <c r="O60" s="112" t="s">
        <v>278</v>
      </c>
      <c r="P60" s="112" t="s">
        <v>471</v>
      </c>
      <c r="Q60" s="112" t="s">
        <v>280</v>
      </c>
      <c r="R60" s="112" t="s">
        <v>281</v>
      </c>
      <c r="S60" s="112" t="s">
        <v>282</v>
      </c>
      <c r="T60" s="112" t="s">
        <v>294</v>
      </c>
      <c r="U60" s="112" t="s">
        <v>295</v>
      </c>
      <c r="V60" s="112" t="s">
        <v>474</v>
      </c>
      <c r="W60" s="112">
        <v>101</v>
      </c>
      <c r="X60" s="112">
        <v>13006</v>
      </c>
      <c r="Y60" s="112">
        <v>245011</v>
      </c>
      <c r="Z60" s="112">
        <v>9999</v>
      </c>
      <c r="AA60" s="112">
        <v>999</v>
      </c>
      <c r="AB60" s="112">
        <v>999</v>
      </c>
      <c r="AC60" s="112">
        <v>9999</v>
      </c>
      <c r="AD60" s="112">
        <v>9999</v>
      </c>
      <c r="AE60" s="112" t="s">
        <v>1</v>
      </c>
      <c r="AF60" s="112" t="s">
        <v>227</v>
      </c>
      <c r="AG60" s="112" t="s">
        <v>227</v>
      </c>
      <c r="AH60" s="112" t="s">
        <v>286</v>
      </c>
      <c r="AJ60" s="112" t="s">
        <v>227</v>
      </c>
      <c r="AK60" s="112">
        <v>46234</v>
      </c>
      <c r="AL60" s="112" t="s">
        <v>287</v>
      </c>
      <c r="AM60" s="112" t="s">
        <v>288</v>
      </c>
    </row>
    <row r="61" spans="1:39" x14ac:dyDescent="0.2">
      <c r="A61" s="116">
        <f t="shared" ca="1" si="1"/>
        <v>17</v>
      </c>
      <c r="B61" s="112" t="str">
        <f ca="1">IFERROR(VLOOKUP(A61,'Aging Formulas'!A:B,2,FALSE),"365+")</f>
        <v>0-30</v>
      </c>
      <c r="D61" s="134" t="s">
        <v>475</v>
      </c>
      <c r="E61" s="112" t="s">
        <v>290</v>
      </c>
      <c r="F61" s="112" t="s">
        <v>40</v>
      </c>
      <c r="G61" s="112" t="s">
        <v>476</v>
      </c>
      <c r="H61" s="112" t="s">
        <v>477</v>
      </c>
      <c r="I61" s="112" t="s">
        <v>27</v>
      </c>
      <c r="J61" s="112" t="s">
        <v>454</v>
      </c>
      <c r="K61" s="114">
        <v>-876000</v>
      </c>
      <c r="L61" s="114">
        <v>-876000</v>
      </c>
      <c r="M61" s="114">
        <v>-876000</v>
      </c>
      <c r="N61" s="112" t="s">
        <v>278</v>
      </c>
      <c r="O61" s="112" t="s">
        <v>278</v>
      </c>
      <c r="P61" s="112" t="s">
        <v>478</v>
      </c>
      <c r="Q61" s="112" t="s">
        <v>280</v>
      </c>
      <c r="R61" s="112" t="s">
        <v>281</v>
      </c>
      <c r="S61" s="112" t="s">
        <v>282</v>
      </c>
      <c r="T61" s="112" t="s">
        <v>294</v>
      </c>
      <c r="U61" s="112" t="s">
        <v>305</v>
      </c>
      <c r="V61" s="112" t="s">
        <v>479</v>
      </c>
      <c r="W61" s="112">
        <v>101</v>
      </c>
      <c r="X61" s="112">
        <v>13004</v>
      </c>
      <c r="Y61" s="112">
        <v>245011</v>
      </c>
      <c r="Z61" s="112">
        <v>9999</v>
      </c>
      <c r="AA61" s="112">
        <v>999</v>
      </c>
      <c r="AB61" s="112">
        <v>999</v>
      </c>
      <c r="AC61" s="112">
        <v>9999</v>
      </c>
      <c r="AD61" s="112">
        <v>9999</v>
      </c>
      <c r="AE61" s="112" t="s">
        <v>1</v>
      </c>
      <c r="AF61" s="112" t="s">
        <v>227</v>
      </c>
      <c r="AG61" s="112" t="s">
        <v>227</v>
      </c>
      <c r="AH61" s="112" t="s">
        <v>286</v>
      </c>
      <c r="AJ61" s="112" t="s">
        <v>227</v>
      </c>
      <c r="AK61" s="112">
        <v>46234</v>
      </c>
      <c r="AL61" s="112" t="s">
        <v>287</v>
      </c>
      <c r="AM61" s="112" t="s">
        <v>288</v>
      </c>
    </row>
    <row r="62" spans="1:39" x14ac:dyDescent="0.2">
      <c r="A62" s="116">
        <f t="shared" ca="1" si="1"/>
        <v>17</v>
      </c>
      <c r="B62" s="112" t="str">
        <f ca="1">IFERROR(VLOOKUP(A62,'Aging Formulas'!A:B,2,FALSE),"365+")</f>
        <v>0-30</v>
      </c>
      <c r="D62" s="134" t="s">
        <v>480</v>
      </c>
      <c r="E62" s="112" t="s">
        <v>290</v>
      </c>
      <c r="F62" s="112" t="s">
        <v>30</v>
      </c>
      <c r="G62" s="112" t="s">
        <v>481</v>
      </c>
      <c r="H62" s="112" t="s">
        <v>482</v>
      </c>
      <c r="I62" s="112" t="s">
        <v>31</v>
      </c>
      <c r="J62" s="112" t="s">
        <v>454</v>
      </c>
      <c r="K62" s="114">
        <v>378766.36</v>
      </c>
      <c r="L62" s="114">
        <v>378766.36</v>
      </c>
      <c r="M62" s="114">
        <v>378766.36</v>
      </c>
      <c r="N62" s="112" t="s">
        <v>278</v>
      </c>
      <c r="O62" s="112" t="s">
        <v>278</v>
      </c>
      <c r="P62" s="112" t="s">
        <v>480</v>
      </c>
      <c r="Q62" s="112" t="s">
        <v>280</v>
      </c>
      <c r="R62" s="112" t="s">
        <v>281</v>
      </c>
      <c r="S62" s="112" t="s">
        <v>282</v>
      </c>
      <c r="T62" s="112" t="s">
        <v>294</v>
      </c>
      <c r="U62" s="112" t="s">
        <v>295</v>
      </c>
      <c r="V62" s="112" t="s">
        <v>387</v>
      </c>
      <c r="W62" s="112">
        <v>101</v>
      </c>
      <c r="X62" s="112">
        <v>13018</v>
      </c>
      <c r="Y62" s="112">
        <v>245011</v>
      </c>
      <c r="Z62" s="112">
        <v>9999</v>
      </c>
      <c r="AA62" s="112">
        <v>999</v>
      </c>
      <c r="AB62" s="112">
        <v>999</v>
      </c>
      <c r="AC62" s="112">
        <v>9999</v>
      </c>
      <c r="AD62" s="112">
        <v>9999</v>
      </c>
      <c r="AE62" s="112" t="s">
        <v>1</v>
      </c>
      <c r="AF62" s="112" t="s">
        <v>227</v>
      </c>
      <c r="AG62" s="112" t="s">
        <v>227</v>
      </c>
      <c r="AH62" s="112" t="s">
        <v>286</v>
      </c>
      <c r="AJ62" s="112" t="s">
        <v>227</v>
      </c>
      <c r="AK62" s="112">
        <v>46234</v>
      </c>
      <c r="AL62" s="112" t="s">
        <v>287</v>
      </c>
      <c r="AM62" s="112" t="s">
        <v>288</v>
      </c>
    </row>
    <row r="63" spans="1:39" x14ac:dyDescent="0.2">
      <c r="A63" s="116">
        <f t="shared" ca="1" si="1"/>
        <v>17</v>
      </c>
      <c r="B63" s="112" t="str">
        <f ca="1">IFERROR(VLOOKUP(A63,'Aging Formulas'!A:B,2,FALSE),"365+")</f>
        <v>0-30</v>
      </c>
      <c r="D63" s="134" t="s">
        <v>439</v>
      </c>
      <c r="E63" s="112" t="s">
        <v>308</v>
      </c>
      <c r="F63" s="112" t="s">
        <v>38</v>
      </c>
      <c r="G63" s="112" t="s">
        <v>483</v>
      </c>
      <c r="H63" s="112" t="s">
        <v>484</v>
      </c>
      <c r="I63" s="112" t="s">
        <v>16</v>
      </c>
      <c r="J63" s="112" t="s">
        <v>454</v>
      </c>
      <c r="K63" s="114">
        <v>3897163.35</v>
      </c>
      <c r="L63" s="114">
        <v>3897163.35</v>
      </c>
      <c r="M63" s="114">
        <v>3897163.35</v>
      </c>
      <c r="N63" s="112" t="s">
        <v>278</v>
      </c>
      <c r="O63" s="112" t="s">
        <v>278</v>
      </c>
      <c r="P63" s="112" t="s">
        <v>485</v>
      </c>
      <c r="Q63" s="112" t="s">
        <v>280</v>
      </c>
      <c r="R63" s="112" t="s">
        <v>281</v>
      </c>
      <c r="S63" s="112" t="s">
        <v>282</v>
      </c>
      <c r="T63" s="112" t="s">
        <v>283</v>
      </c>
      <c r="U63" s="112" t="s">
        <v>313</v>
      </c>
      <c r="V63" s="112" t="s">
        <v>443</v>
      </c>
      <c r="W63" s="112">
        <v>101</v>
      </c>
      <c r="X63" s="112">
        <v>11023</v>
      </c>
      <c r="Y63" s="112">
        <v>245011</v>
      </c>
      <c r="Z63" s="112">
        <v>9999</v>
      </c>
      <c r="AA63" s="112">
        <v>999</v>
      </c>
      <c r="AB63" s="112">
        <v>999</v>
      </c>
      <c r="AC63" s="112">
        <v>9999</v>
      </c>
      <c r="AD63" s="112">
        <v>9999</v>
      </c>
      <c r="AE63" s="112" t="s">
        <v>1</v>
      </c>
      <c r="AF63" s="112" t="s">
        <v>227</v>
      </c>
      <c r="AG63" s="112" t="s">
        <v>227</v>
      </c>
      <c r="AH63" s="112" t="s">
        <v>286</v>
      </c>
      <c r="AJ63" s="112" t="s">
        <v>227</v>
      </c>
      <c r="AK63" s="112">
        <v>46234</v>
      </c>
      <c r="AL63" s="112" t="s">
        <v>382</v>
      </c>
      <c r="AM63" s="112" t="s">
        <v>288</v>
      </c>
    </row>
  </sheetData>
  <autoFilter ref="A6:AN63" xr:uid="{00000000-0009-0000-0000-000020000000}"/>
  <pageMargins left="0.7" right="0.7" top="0.75" bottom="0.75" header="0.3" footer="0.3"/>
  <headerFooter>
    <oddFooter>&amp;C&amp;"Calibri"&amp;10 &amp;K000000_x000D_# CONFIDENTIAL_x000D_&amp;1#&amp;"Aptos"&amp;10&amp;K0000FF PUBLIC</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
  <dimension ref="A1:AM62"/>
  <sheetViews>
    <sheetView topLeftCell="A25" workbookViewId="0"/>
  </sheetViews>
  <sheetFormatPr defaultColWidth="23.140625" defaultRowHeight="11.25" x14ac:dyDescent="0.2"/>
  <cols>
    <col min="1" max="1" width="5.85546875" style="112" customWidth="1"/>
    <col min="2" max="3" width="8.42578125" style="112" customWidth="1"/>
    <col min="4" max="4" width="43.42578125" style="112" customWidth="1"/>
    <col min="5" max="5" width="12.85546875" style="112" customWidth="1"/>
    <col min="6" max="6" width="13.85546875" style="112" customWidth="1"/>
    <col min="7" max="7" width="34" style="112" customWidth="1"/>
    <col min="8" max="8" width="36.140625" style="112" customWidth="1"/>
    <col min="9" max="9" width="23.140625" style="112" customWidth="1"/>
    <col min="10" max="10" width="10" style="112" customWidth="1"/>
    <col min="11" max="11" width="14.42578125" style="114" bestFit="1" customWidth="1"/>
    <col min="12" max="12" width="16.7109375" style="114" bestFit="1" customWidth="1"/>
    <col min="13" max="13" width="13.7109375" style="114" bestFit="1" customWidth="1"/>
    <col min="14" max="15" width="5.7109375" style="112" customWidth="1"/>
    <col min="16" max="16" width="24.5703125" style="112" customWidth="1"/>
    <col min="17" max="17" width="11.5703125" style="112" customWidth="1"/>
    <col min="18" max="18" width="10.28515625" style="112" customWidth="1"/>
    <col min="19" max="19" width="12" style="112" customWidth="1"/>
    <col min="20" max="20" width="6.5703125" style="112" customWidth="1"/>
    <col min="21" max="22" width="23.140625" style="112" customWidth="1"/>
    <col min="23" max="24" width="5.28515625" style="112" customWidth="1"/>
    <col min="25" max="25" width="7.85546875" style="112" customWidth="1"/>
    <col min="26" max="30" width="5.28515625" style="112" customWidth="1"/>
    <col min="31" max="36" width="10.5703125" style="112" customWidth="1"/>
    <col min="37" max="37" width="23.140625" style="112" customWidth="1"/>
    <col min="38" max="16384" width="23.140625" style="112"/>
  </cols>
  <sheetData>
    <row r="1" spans="1:39" ht="17.25" customHeight="1" x14ac:dyDescent="0.2">
      <c r="D1" s="74" t="s">
        <v>231</v>
      </c>
    </row>
    <row r="2" spans="1:39" ht="17.25" customHeight="1" x14ac:dyDescent="0.2">
      <c r="D2" s="170" t="s">
        <v>232</v>
      </c>
      <c r="F2" s="113"/>
      <c r="H2" s="99"/>
      <c r="I2" s="177"/>
      <c r="L2" s="112"/>
      <c r="N2" s="114"/>
    </row>
    <row r="3" spans="1:39" ht="17.25" customHeight="1" x14ac:dyDescent="0.2">
      <c r="D3" s="115" t="s">
        <v>233</v>
      </c>
      <c r="F3" s="113"/>
      <c r="I3" s="177"/>
      <c r="L3" s="112"/>
      <c r="N3" s="114"/>
    </row>
    <row r="4" spans="1:39" ht="17.25" customHeight="1" x14ac:dyDescent="0.2">
      <c r="D4" s="167" t="s">
        <v>234</v>
      </c>
      <c r="F4" s="113"/>
      <c r="I4" s="177"/>
      <c r="L4" s="169"/>
      <c r="N4" s="114"/>
    </row>
    <row r="5" spans="1:39" ht="21.6" customHeight="1" x14ac:dyDescent="0.2">
      <c r="F5" s="113"/>
      <c r="L5" s="114">
        <f>SUBTOTAL(9,L7:L1048576)</f>
        <v>9611907.8999999985</v>
      </c>
    </row>
    <row r="6" spans="1:39" x14ac:dyDescent="0.2">
      <c r="A6" s="191" t="s">
        <v>44</v>
      </c>
      <c r="B6" s="192" t="s">
        <v>235</v>
      </c>
      <c r="C6" s="192" t="s">
        <v>236</v>
      </c>
      <c r="D6" s="192" t="s">
        <v>237</v>
      </c>
      <c r="E6" s="92" t="s">
        <v>238</v>
      </c>
      <c r="F6" s="93" t="s">
        <v>239</v>
      </c>
      <c r="G6" s="93" t="s">
        <v>240</v>
      </c>
      <c r="H6" s="93" t="s">
        <v>241</v>
      </c>
      <c r="I6" s="93" t="s">
        <v>242</v>
      </c>
      <c r="J6" s="93" t="s">
        <v>243</v>
      </c>
      <c r="K6" s="118" t="s">
        <v>244</v>
      </c>
      <c r="L6" s="118" t="s">
        <v>245</v>
      </c>
      <c r="M6" s="118" t="s">
        <v>246</v>
      </c>
      <c r="N6" s="93" t="s">
        <v>247</v>
      </c>
      <c r="O6" s="93" t="s">
        <v>248</v>
      </c>
      <c r="P6" s="93" t="s">
        <v>249</v>
      </c>
      <c r="Q6" s="93" t="s">
        <v>250</v>
      </c>
      <c r="R6" s="93" t="s">
        <v>251</v>
      </c>
      <c r="S6" s="93" t="s">
        <v>252</v>
      </c>
      <c r="T6" s="93" t="s">
        <v>253</v>
      </c>
      <c r="U6" s="93" t="s">
        <v>254</v>
      </c>
      <c r="V6" s="93" t="s">
        <v>255</v>
      </c>
      <c r="W6" s="94" t="s">
        <v>256</v>
      </c>
      <c r="X6" s="94" t="s">
        <v>257</v>
      </c>
      <c r="Y6" s="94" t="s">
        <v>258</v>
      </c>
      <c r="Z6" s="94" t="s">
        <v>259</v>
      </c>
      <c r="AA6" s="94" t="s">
        <v>260</v>
      </c>
      <c r="AB6" s="94" t="s">
        <v>261</v>
      </c>
      <c r="AC6" s="94" t="s">
        <v>262</v>
      </c>
      <c r="AD6" s="94" t="s">
        <v>263</v>
      </c>
      <c r="AE6" s="93" t="s">
        <v>264</v>
      </c>
      <c r="AF6" s="93" t="s">
        <v>265</v>
      </c>
      <c r="AG6" s="93" t="s">
        <v>266</v>
      </c>
      <c r="AH6" s="93" t="s">
        <v>267</v>
      </c>
      <c r="AI6" s="93" t="s">
        <v>268</v>
      </c>
      <c r="AJ6" s="93" t="s">
        <v>269</v>
      </c>
      <c r="AK6" s="93" t="s">
        <v>270</v>
      </c>
      <c r="AL6" s="93" t="s">
        <v>271</v>
      </c>
      <c r="AM6" s="93" t="s">
        <v>272</v>
      </c>
    </row>
    <row r="7" spans="1:39" x14ac:dyDescent="0.2">
      <c r="A7" s="116">
        <f t="shared" ref="A7:A38" ca="1" si="0">TODAY()-AK7</f>
        <v>657</v>
      </c>
      <c r="B7" s="112" t="str">
        <f ca="1">IFERROR(VLOOKUP(A7,'Aging Formulas'!A:B,2,FALSE),"365+")</f>
        <v>365+</v>
      </c>
      <c r="D7" s="134" t="s">
        <v>273</v>
      </c>
      <c r="E7" s="112" t="s">
        <v>274</v>
      </c>
      <c r="F7" s="112" t="s">
        <v>11</v>
      </c>
      <c r="G7" s="112" t="s">
        <v>275</v>
      </c>
      <c r="H7" s="112" t="s">
        <v>276</v>
      </c>
      <c r="I7" s="112" t="s">
        <v>9</v>
      </c>
      <c r="J7" s="112" t="s">
        <v>277</v>
      </c>
      <c r="K7" s="114">
        <v>-245120</v>
      </c>
      <c r="L7" s="114">
        <v>-245120</v>
      </c>
      <c r="M7" s="114">
        <v>-245120</v>
      </c>
      <c r="N7" s="112" t="s">
        <v>278</v>
      </c>
      <c r="O7" s="112" t="s">
        <v>278</v>
      </c>
      <c r="P7" s="112" t="s">
        <v>279</v>
      </c>
      <c r="Q7" s="112" t="s">
        <v>280</v>
      </c>
      <c r="R7" s="112" t="s">
        <v>281</v>
      </c>
      <c r="S7" s="112" t="s">
        <v>282</v>
      </c>
      <c r="T7" s="112" t="s">
        <v>283</v>
      </c>
      <c r="U7" s="112" t="s">
        <v>284</v>
      </c>
      <c r="V7" s="112" t="s">
        <v>285</v>
      </c>
      <c r="W7" s="112">
        <v>101</v>
      </c>
      <c r="X7" s="112">
        <v>12012</v>
      </c>
      <c r="Y7" s="112">
        <v>245011</v>
      </c>
      <c r="Z7" s="112">
        <v>9999</v>
      </c>
      <c r="AA7" s="112">
        <v>999</v>
      </c>
      <c r="AB7" s="112">
        <v>999</v>
      </c>
      <c r="AC7" s="112">
        <v>9999</v>
      </c>
      <c r="AD7" s="112">
        <v>9999</v>
      </c>
      <c r="AE7" s="112" t="s">
        <v>1</v>
      </c>
      <c r="AF7" s="112" t="s">
        <v>227</v>
      </c>
      <c r="AG7" s="112" t="s">
        <v>227</v>
      </c>
      <c r="AH7" s="112" t="s">
        <v>286</v>
      </c>
      <c r="AJ7" s="112" t="s">
        <v>227</v>
      </c>
      <c r="AK7" s="112">
        <v>45594</v>
      </c>
      <c r="AL7" s="112" t="s">
        <v>287</v>
      </c>
      <c r="AM7" s="112" t="s">
        <v>288</v>
      </c>
    </row>
    <row r="8" spans="1:39" x14ac:dyDescent="0.2">
      <c r="A8" s="116">
        <f t="shared" ca="1" si="0"/>
        <v>655</v>
      </c>
      <c r="B8" s="112" t="str">
        <f ca="1">IFERROR(VLOOKUP(A8,'Aging Formulas'!A:B,2,FALSE),"365+")</f>
        <v>365+</v>
      </c>
      <c r="D8" s="134" t="s">
        <v>289</v>
      </c>
      <c r="E8" s="112" t="s">
        <v>290</v>
      </c>
      <c r="F8" s="112" t="s">
        <v>8</v>
      </c>
      <c r="G8" s="112" t="s">
        <v>291</v>
      </c>
      <c r="H8" s="112" t="s">
        <v>292</v>
      </c>
      <c r="I8" s="112" t="s">
        <v>9</v>
      </c>
      <c r="J8" s="112" t="s">
        <v>277</v>
      </c>
      <c r="K8" s="114">
        <v>-180047.12</v>
      </c>
      <c r="L8" s="114">
        <v>-180047.12</v>
      </c>
      <c r="M8" s="114">
        <v>-180047.12</v>
      </c>
      <c r="N8" s="112" t="s">
        <v>278</v>
      </c>
      <c r="O8" s="112" t="s">
        <v>278</v>
      </c>
      <c r="P8" s="112" t="s">
        <v>293</v>
      </c>
      <c r="Q8" s="112" t="s">
        <v>280</v>
      </c>
      <c r="R8" s="112" t="s">
        <v>281</v>
      </c>
      <c r="S8" s="112" t="s">
        <v>282</v>
      </c>
      <c r="T8" s="112" t="s">
        <v>294</v>
      </c>
      <c r="U8" s="112" t="s">
        <v>295</v>
      </c>
      <c r="V8" s="112" t="s">
        <v>296</v>
      </c>
      <c r="W8" s="112">
        <v>101</v>
      </c>
      <c r="X8" s="112">
        <v>13008</v>
      </c>
      <c r="Y8" s="112">
        <v>245011</v>
      </c>
      <c r="Z8" s="112">
        <v>9999</v>
      </c>
      <c r="AA8" s="112">
        <v>999</v>
      </c>
      <c r="AB8" s="112">
        <v>999</v>
      </c>
      <c r="AC8" s="112">
        <v>9999</v>
      </c>
      <c r="AD8" s="112">
        <v>9999</v>
      </c>
      <c r="AE8" s="112" t="s">
        <v>1</v>
      </c>
      <c r="AF8" s="112" t="s">
        <v>227</v>
      </c>
      <c r="AG8" s="112" t="s">
        <v>227</v>
      </c>
      <c r="AH8" s="112" t="s">
        <v>286</v>
      </c>
      <c r="AJ8" s="112" t="s">
        <v>227</v>
      </c>
      <c r="AK8" s="112">
        <v>45596</v>
      </c>
      <c r="AL8" s="112" t="s">
        <v>287</v>
      </c>
      <c r="AM8" s="112" t="s">
        <v>288</v>
      </c>
    </row>
    <row r="9" spans="1:39" x14ac:dyDescent="0.2">
      <c r="A9" s="116">
        <f t="shared" ca="1" si="0"/>
        <v>655</v>
      </c>
      <c r="B9" s="112" t="str">
        <f ca="1">IFERROR(VLOOKUP(A9,'Aging Formulas'!A:B,2,FALSE),"365+")</f>
        <v>365+</v>
      </c>
      <c r="D9" s="134" t="s">
        <v>289</v>
      </c>
      <c r="E9" s="112" t="s">
        <v>290</v>
      </c>
      <c r="F9" s="112" t="s">
        <v>8</v>
      </c>
      <c r="G9" s="112" t="s">
        <v>297</v>
      </c>
      <c r="H9" s="112" t="s">
        <v>298</v>
      </c>
      <c r="I9" s="112" t="s">
        <v>9</v>
      </c>
      <c r="J9" s="112" t="s">
        <v>277</v>
      </c>
      <c r="K9" s="114">
        <v>-180047.12</v>
      </c>
      <c r="L9" s="114">
        <v>-180047.12</v>
      </c>
      <c r="M9" s="114">
        <v>-180047.12</v>
      </c>
      <c r="N9" s="112" t="s">
        <v>278</v>
      </c>
      <c r="O9" s="112" t="s">
        <v>278</v>
      </c>
      <c r="P9" s="112" t="s">
        <v>299</v>
      </c>
      <c r="Q9" s="112" t="s">
        <v>280</v>
      </c>
      <c r="R9" s="112" t="s">
        <v>281</v>
      </c>
      <c r="S9" s="112" t="s">
        <v>282</v>
      </c>
      <c r="T9" s="112" t="s">
        <v>294</v>
      </c>
      <c r="U9" s="112" t="s">
        <v>295</v>
      </c>
      <c r="V9" s="112" t="s">
        <v>296</v>
      </c>
      <c r="W9" s="112">
        <v>101</v>
      </c>
      <c r="X9" s="112">
        <v>13008</v>
      </c>
      <c r="Y9" s="112">
        <v>245011</v>
      </c>
      <c r="Z9" s="112">
        <v>9999</v>
      </c>
      <c r="AA9" s="112">
        <v>999</v>
      </c>
      <c r="AB9" s="112">
        <v>999</v>
      </c>
      <c r="AC9" s="112">
        <v>9999</v>
      </c>
      <c r="AD9" s="112">
        <v>9999</v>
      </c>
      <c r="AE9" s="112" t="s">
        <v>1</v>
      </c>
      <c r="AF9" s="112" t="s">
        <v>227</v>
      </c>
      <c r="AG9" s="112" t="s">
        <v>227</v>
      </c>
      <c r="AH9" s="112" t="s">
        <v>286</v>
      </c>
      <c r="AJ9" s="112" t="s">
        <v>227</v>
      </c>
      <c r="AK9" s="112">
        <v>45596</v>
      </c>
      <c r="AL9" s="112" t="s">
        <v>287</v>
      </c>
      <c r="AM9" s="112" t="s">
        <v>288</v>
      </c>
    </row>
    <row r="10" spans="1:39" x14ac:dyDescent="0.2">
      <c r="A10" s="116">
        <f t="shared" ca="1" si="0"/>
        <v>594</v>
      </c>
      <c r="B10" s="112" t="str">
        <f ca="1">IFERROR(VLOOKUP(A10,'Aging Formulas'!A:B,2,FALSE),"365+")</f>
        <v>365+</v>
      </c>
      <c r="D10" s="134" t="s">
        <v>300</v>
      </c>
      <c r="E10" s="112" t="s">
        <v>290</v>
      </c>
      <c r="F10" s="112" t="s">
        <v>14</v>
      </c>
      <c r="G10" s="112" t="s">
        <v>301</v>
      </c>
      <c r="H10" s="112" t="s">
        <v>302</v>
      </c>
      <c r="I10" s="112" t="s">
        <v>17</v>
      </c>
      <c r="J10" s="112" t="s">
        <v>303</v>
      </c>
      <c r="K10" s="114">
        <v>881922.6</v>
      </c>
      <c r="L10" s="114">
        <v>881922.6</v>
      </c>
      <c r="M10" s="114">
        <v>881922.6</v>
      </c>
      <c r="N10" s="112" t="s">
        <v>278</v>
      </c>
      <c r="O10" s="112" t="s">
        <v>278</v>
      </c>
      <c r="P10" s="112" t="s">
        <v>304</v>
      </c>
      <c r="Q10" s="112" t="s">
        <v>280</v>
      </c>
      <c r="R10" s="112" t="s">
        <v>281</v>
      </c>
      <c r="S10" s="112" t="s">
        <v>282</v>
      </c>
      <c r="T10" s="112" t="s">
        <v>294</v>
      </c>
      <c r="U10" s="112" t="s">
        <v>305</v>
      </c>
      <c r="V10" s="112" t="s">
        <v>306</v>
      </c>
      <c r="W10" s="112">
        <v>101</v>
      </c>
      <c r="X10" s="112">
        <v>13016</v>
      </c>
      <c r="Y10" s="112">
        <v>245011</v>
      </c>
      <c r="Z10" s="112">
        <v>9999</v>
      </c>
      <c r="AA10" s="112">
        <v>999</v>
      </c>
      <c r="AB10" s="112">
        <v>999</v>
      </c>
      <c r="AC10" s="112">
        <v>9999</v>
      </c>
      <c r="AD10" s="112">
        <v>9999</v>
      </c>
      <c r="AE10" s="112" t="s">
        <v>1</v>
      </c>
      <c r="AF10" s="112" t="s">
        <v>227</v>
      </c>
      <c r="AG10" s="112" t="s">
        <v>227</v>
      </c>
      <c r="AH10" s="112" t="s">
        <v>286</v>
      </c>
      <c r="AJ10" s="112" t="s">
        <v>227</v>
      </c>
      <c r="AK10" s="112">
        <v>45657</v>
      </c>
      <c r="AL10" s="112" t="s">
        <v>287</v>
      </c>
      <c r="AM10" s="112" t="s">
        <v>288</v>
      </c>
    </row>
    <row r="11" spans="1:39" x14ac:dyDescent="0.2">
      <c r="A11" s="116">
        <f t="shared" ca="1" si="0"/>
        <v>563</v>
      </c>
      <c r="B11" s="112" t="str">
        <f ca="1">IFERROR(VLOOKUP(A11,'Aging Formulas'!A:B,2,FALSE),"365+")</f>
        <v>365+</v>
      </c>
      <c r="D11" s="134" t="s">
        <v>307</v>
      </c>
      <c r="E11" s="112" t="s">
        <v>308</v>
      </c>
      <c r="F11" s="112" t="s">
        <v>18</v>
      </c>
      <c r="G11" s="112" t="s">
        <v>309</v>
      </c>
      <c r="H11" s="112" t="s">
        <v>310</v>
      </c>
      <c r="I11" s="112" t="s">
        <v>19</v>
      </c>
      <c r="J11" s="112" t="s">
        <v>311</v>
      </c>
      <c r="K11" s="114">
        <v>-1293.75</v>
      </c>
      <c r="L11" s="114">
        <v>-1293.75</v>
      </c>
      <c r="M11" s="114">
        <v>-1293.75</v>
      </c>
      <c r="N11" s="112" t="s">
        <v>278</v>
      </c>
      <c r="O11" s="112" t="s">
        <v>278</v>
      </c>
      <c r="P11" s="112" t="s">
        <v>312</v>
      </c>
      <c r="Q11" s="112" t="s">
        <v>280</v>
      </c>
      <c r="R11" s="112" t="s">
        <v>281</v>
      </c>
      <c r="S11" s="112" t="s">
        <v>282</v>
      </c>
      <c r="T11" s="112" t="s">
        <v>283</v>
      </c>
      <c r="U11" s="112" t="s">
        <v>313</v>
      </c>
      <c r="V11" s="112" t="s">
        <v>314</v>
      </c>
      <c r="W11" s="112">
        <v>101</v>
      </c>
      <c r="X11" s="112">
        <v>11002</v>
      </c>
      <c r="Y11" s="112">
        <v>245011</v>
      </c>
      <c r="Z11" s="112">
        <v>9999</v>
      </c>
      <c r="AA11" s="112">
        <v>999</v>
      </c>
      <c r="AB11" s="112">
        <v>999</v>
      </c>
      <c r="AC11" s="112">
        <v>9999</v>
      </c>
      <c r="AD11" s="112">
        <v>9999</v>
      </c>
      <c r="AE11" s="112" t="s">
        <v>1</v>
      </c>
      <c r="AF11" s="112" t="s">
        <v>227</v>
      </c>
      <c r="AG11" s="112" t="s">
        <v>227</v>
      </c>
      <c r="AH11" s="112" t="s">
        <v>286</v>
      </c>
      <c r="AJ11" s="112" t="s">
        <v>227</v>
      </c>
      <c r="AK11" s="112">
        <v>45688</v>
      </c>
      <c r="AL11" s="112" t="s">
        <v>315</v>
      </c>
      <c r="AM11" s="112" t="s">
        <v>288</v>
      </c>
    </row>
    <row r="12" spans="1:39" x14ac:dyDescent="0.2">
      <c r="A12" s="116">
        <f t="shared" ca="1" si="0"/>
        <v>504</v>
      </c>
      <c r="B12" s="112" t="str">
        <f ca="1">IFERROR(VLOOKUP(A12,'Aging Formulas'!A:B,2,FALSE),"365+")</f>
        <v>365+</v>
      </c>
      <c r="D12" s="134" t="s">
        <v>316</v>
      </c>
      <c r="E12" s="112" t="s">
        <v>308</v>
      </c>
      <c r="F12" s="112" t="s">
        <v>22</v>
      </c>
      <c r="G12" s="112" t="s">
        <v>317</v>
      </c>
      <c r="H12" s="112" t="s">
        <v>318</v>
      </c>
      <c r="I12" s="112" t="s">
        <v>16</v>
      </c>
      <c r="J12" s="112" t="s">
        <v>319</v>
      </c>
      <c r="K12" s="114">
        <v>-103941.3</v>
      </c>
      <c r="L12" s="114">
        <v>-103941.3</v>
      </c>
      <c r="M12" s="114">
        <v>-103941.3</v>
      </c>
      <c r="N12" s="112" t="s">
        <v>278</v>
      </c>
      <c r="O12" s="112" t="s">
        <v>278</v>
      </c>
      <c r="P12" s="112" t="s">
        <v>320</v>
      </c>
      <c r="Q12" s="112" t="s">
        <v>280</v>
      </c>
      <c r="R12" s="112" t="s">
        <v>281</v>
      </c>
      <c r="S12" s="112" t="s">
        <v>282</v>
      </c>
      <c r="T12" s="112" t="s">
        <v>283</v>
      </c>
      <c r="U12" s="112" t="s">
        <v>313</v>
      </c>
      <c r="V12" s="112" t="s">
        <v>321</v>
      </c>
      <c r="W12" s="112">
        <v>101</v>
      </c>
      <c r="X12" s="112">
        <v>11004</v>
      </c>
      <c r="Y12" s="112">
        <v>245011</v>
      </c>
      <c r="Z12" s="112">
        <v>9999</v>
      </c>
      <c r="AA12" s="112">
        <v>999</v>
      </c>
      <c r="AB12" s="112">
        <v>999</v>
      </c>
      <c r="AC12" s="112">
        <v>9999</v>
      </c>
      <c r="AD12" s="112">
        <v>9999</v>
      </c>
      <c r="AE12" s="112" t="s">
        <v>1</v>
      </c>
      <c r="AF12" s="112" t="s">
        <v>322</v>
      </c>
      <c r="AG12" s="112" t="s">
        <v>227</v>
      </c>
      <c r="AH12" s="112" t="s">
        <v>286</v>
      </c>
      <c r="AJ12" s="112" t="s">
        <v>227</v>
      </c>
      <c r="AK12" s="112">
        <v>45747</v>
      </c>
      <c r="AL12" s="112" t="s">
        <v>315</v>
      </c>
      <c r="AM12" s="112" t="s">
        <v>288</v>
      </c>
    </row>
    <row r="13" spans="1:39" x14ac:dyDescent="0.2">
      <c r="A13" s="116">
        <f t="shared" ca="1" si="0"/>
        <v>504</v>
      </c>
      <c r="B13" s="112" t="str">
        <f ca="1">IFERROR(VLOOKUP(A13,'Aging Formulas'!A:B,2,FALSE),"365+")</f>
        <v>365+</v>
      </c>
      <c r="D13" s="134" t="s">
        <v>316</v>
      </c>
      <c r="E13" s="112" t="s">
        <v>308</v>
      </c>
      <c r="F13" s="112" t="s">
        <v>22</v>
      </c>
      <c r="G13" s="112" t="s">
        <v>317</v>
      </c>
      <c r="H13" s="112" t="s">
        <v>318</v>
      </c>
      <c r="I13" s="112" t="s">
        <v>16</v>
      </c>
      <c r="J13" s="112" t="s">
        <v>319</v>
      </c>
      <c r="K13" s="114">
        <v>-20788.259999999998</v>
      </c>
      <c r="L13" s="114">
        <v>-20788.259999999998</v>
      </c>
      <c r="M13" s="114">
        <v>-20788.259999999998</v>
      </c>
      <c r="N13" s="112" t="s">
        <v>278</v>
      </c>
      <c r="O13" s="112" t="s">
        <v>278</v>
      </c>
      <c r="P13" s="112" t="s">
        <v>320</v>
      </c>
      <c r="Q13" s="112" t="s">
        <v>280</v>
      </c>
      <c r="R13" s="112" t="s">
        <v>281</v>
      </c>
      <c r="S13" s="112" t="s">
        <v>282</v>
      </c>
      <c r="T13" s="112" t="s">
        <v>283</v>
      </c>
      <c r="U13" s="112" t="s">
        <v>313</v>
      </c>
      <c r="V13" s="112" t="s">
        <v>321</v>
      </c>
      <c r="W13" s="112">
        <v>101</v>
      </c>
      <c r="X13" s="112">
        <v>11004</v>
      </c>
      <c r="Y13" s="112">
        <v>245011</v>
      </c>
      <c r="Z13" s="112">
        <v>9999</v>
      </c>
      <c r="AA13" s="112">
        <v>999</v>
      </c>
      <c r="AB13" s="112">
        <v>999</v>
      </c>
      <c r="AC13" s="112">
        <v>9999</v>
      </c>
      <c r="AD13" s="112">
        <v>9999</v>
      </c>
      <c r="AE13" s="112" t="s">
        <v>1</v>
      </c>
      <c r="AF13" s="112" t="s">
        <v>322</v>
      </c>
      <c r="AG13" s="112" t="s">
        <v>227</v>
      </c>
      <c r="AH13" s="112" t="s">
        <v>286</v>
      </c>
      <c r="AJ13" s="112" t="s">
        <v>227</v>
      </c>
      <c r="AK13" s="112">
        <v>45747</v>
      </c>
      <c r="AL13" s="112" t="s">
        <v>315</v>
      </c>
      <c r="AM13" s="112" t="s">
        <v>288</v>
      </c>
    </row>
    <row r="14" spans="1:39" x14ac:dyDescent="0.2">
      <c r="A14" s="116">
        <f t="shared" ca="1" si="0"/>
        <v>443</v>
      </c>
      <c r="B14" s="112" t="str">
        <f ca="1">IFERROR(VLOOKUP(A14,'Aging Formulas'!A:B,2,FALSE),"365+")</f>
        <v>365+</v>
      </c>
      <c r="D14" s="134" t="s">
        <v>307</v>
      </c>
      <c r="E14" s="112" t="s">
        <v>308</v>
      </c>
      <c r="F14" s="189" t="s">
        <v>18</v>
      </c>
      <c r="G14" s="189" t="s">
        <v>323</v>
      </c>
      <c r="H14" s="189" t="s">
        <v>323</v>
      </c>
      <c r="I14" s="189" t="s">
        <v>16</v>
      </c>
      <c r="J14" s="189" t="s">
        <v>324</v>
      </c>
      <c r="K14" s="185">
        <v>-1293.75</v>
      </c>
      <c r="L14" s="185">
        <v>-1293.75</v>
      </c>
      <c r="M14" s="185">
        <v>-1293.75</v>
      </c>
      <c r="N14" s="189" t="s">
        <v>278</v>
      </c>
      <c r="O14" s="189" t="s">
        <v>278</v>
      </c>
      <c r="P14" s="189" t="s">
        <v>325</v>
      </c>
      <c r="Q14" s="189" t="s">
        <v>227</v>
      </c>
      <c r="R14" s="189" t="s">
        <v>281</v>
      </c>
      <c r="S14" s="189" t="s">
        <v>282</v>
      </c>
      <c r="T14" s="189" t="s">
        <v>283</v>
      </c>
      <c r="U14" s="189" t="s">
        <v>313</v>
      </c>
      <c r="V14" s="189" t="s">
        <v>326</v>
      </c>
      <c r="W14" s="186">
        <v>101</v>
      </c>
      <c r="X14" s="186">
        <v>11002</v>
      </c>
      <c r="Y14" s="186">
        <v>245011</v>
      </c>
      <c r="Z14" s="186">
        <v>9999</v>
      </c>
      <c r="AA14" s="186">
        <v>950</v>
      </c>
      <c r="AB14" s="186">
        <v>999</v>
      </c>
      <c r="AC14" s="186">
        <v>9999</v>
      </c>
      <c r="AD14" s="186">
        <v>9999</v>
      </c>
      <c r="AE14" s="189" t="s">
        <v>1</v>
      </c>
      <c r="AF14" s="189" t="s">
        <v>327</v>
      </c>
      <c r="AG14" s="189" t="s">
        <v>227</v>
      </c>
      <c r="AH14" s="189" t="s">
        <v>286</v>
      </c>
      <c r="AI14" s="187"/>
      <c r="AJ14" s="189" t="s">
        <v>227</v>
      </c>
      <c r="AK14" s="188">
        <v>45808</v>
      </c>
      <c r="AL14" s="189" t="s">
        <v>328</v>
      </c>
      <c r="AM14" s="189" t="s">
        <v>288</v>
      </c>
    </row>
    <row r="15" spans="1:39" x14ac:dyDescent="0.2">
      <c r="A15" s="116">
        <f t="shared" ca="1" si="0"/>
        <v>351</v>
      </c>
      <c r="B15" s="112" t="str">
        <f ca="1">IFERROR(VLOOKUP(A15,'Aging Formulas'!A:B,2,FALSE),"365+")</f>
        <v>331-365</v>
      </c>
      <c r="D15" s="193" t="s">
        <v>329</v>
      </c>
      <c r="E15" s="112" t="s">
        <v>274</v>
      </c>
      <c r="F15" s="112" t="s">
        <v>11</v>
      </c>
      <c r="G15" s="112" t="s">
        <v>330</v>
      </c>
      <c r="H15" s="112" t="s">
        <v>331</v>
      </c>
      <c r="I15" s="112" t="s">
        <v>12</v>
      </c>
      <c r="J15" s="112" t="s">
        <v>332</v>
      </c>
      <c r="K15" s="114">
        <v>143661</v>
      </c>
      <c r="L15" s="114">
        <v>143661</v>
      </c>
      <c r="M15" s="114">
        <v>143661</v>
      </c>
      <c r="N15" s="112" t="s">
        <v>278</v>
      </c>
      <c r="O15" s="112" t="s">
        <v>278</v>
      </c>
      <c r="P15" s="112" t="s">
        <v>333</v>
      </c>
      <c r="Q15" s="112" t="s">
        <v>280</v>
      </c>
      <c r="R15" s="112" t="s">
        <v>281</v>
      </c>
      <c r="S15" s="112" t="s">
        <v>282</v>
      </c>
      <c r="T15" s="112" t="s">
        <v>283</v>
      </c>
      <c r="U15" s="112" t="s">
        <v>284</v>
      </c>
      <c r="V15" s="112" t="s">
        <v>334</v>
      </c>
      <c r="W15" s="112">
        <v>101</v>
      </c>
      <c r="X15" s="112">
        <v>12012</v>
      </c>
      <c r="Y15" s="112">
        <v>245011</v>
      </c>
      <c r="Z15" s="112">
        <v>9999</v>
      </c>
      <c r="AA15" s="112">
        <v>950</v>
      </c>
      <c r="AB15" s="112">
        <v>999</v>
      </c>
      <c r="AC15" s="112">
        <v>9999</v>
      </c>
      <c r="AD15" s="112">
        <v>9999</v>
      </c>
      <c r="AE15" s="112" t="s">
        <v>1</v>
      </c>
      <c r="AF15" s="112" t="s">
        <v>335</v>
      </c>
      <c r="AG15" s="112" t="s">
        <v>227</v>
      </c>
      <c r="AH15" s="112" t="s">
        <v>286</v>
      </c>
      <c r="AJ15" s="112" t="s">
        <v>227</v>
      </c>
      <c r="AK15" s="112">
        <v>45900</v>
      </c>
      <c r="AL15" s="112" t="s">
        <v>315</v>
      </c>
      <c r="AM15" s="112" t="s">
        <v>288</v>
      </c>
    </row>
    <row r="16" spans="1:39" x14ac:dyDescent="0.2">
      <c r="A16" s="116">
        <f t="shared" ca="1" si="0"/>
        <v>321</v>
      </c>
      <c r="B16" s="112" t="str">
        <f ca="1">IFERROR(VLOOKUP(A16,'Aging Formulas'!A:B,2,FALSE),"365+")</f>
        <v>301-330</v>
      </c>
      <c r="D16" s="134" t="s">
        <v>307</v>
      </c>
      <c r="E16" s="112" t="s">
        <v>308</v>
      </c>
      <c r="F16" s="112" t="s">
        <v>18</v>
      </c>
      <c r="G16" s="112" t="s">
        <v>336</v>
      </c>
      <c r="H16" s="112" t="s">
        <v>337</v>
      </c>
      <c r="I16" s="112" t="s">
        <v>16</v>
      </c>
      <c r="J16" s="112" t="s">
        <v>338</v>
      </c>
      <c r="K16" s="114">
        <v>-1293.75</v>
      </c>
      <c r="L16" s="114">
        <v>-1293.75</v>
      </c>
      <c r="M16" s="114">
        <v>-1293.75</v>
      </c>
      <c r="N16" s="112" t="s">
        <v>278</v>
      </c>
      <c r="O16" s="112" t="s">
        <v>278</v>
      </c>
      <c r="P16" s="112" t="s">
        <v>339</v>
      </c>
      <c r="Q16" s="112" t="s">
        <v>280</v>
      </c>
      <c r="R16" s="112" t="s">
        <v>281</v>
      </c>
      <c r="S16" s="112" t="s">
        <v>282</v>
      </c>
      <c r="T16" s="112" t="s">
        <v>283</v>
      </c>
      <c r="U16" s="112" t="s">
        <v>313</v>
      </c>
      <c r="V16" s="112" t="s">
        <v>314</v>
      </c>
      <c r="W16" s="112">
        <v>101</v>
      </c>
      <c r="X16" s="112">
        <v>11002</v>
      </c>
      <c r="Y16" s="112">
        <v>245011</v>
      </c>
      <c r="Z16" s="112">
        <v>9999</v>
      </c>
      <c r="AA16" s="112">
        <v>999</v>
      </c>
      <c r="AB16" s="112">
        <v>999</v>
      </c>
      <c r="AC16" s="112">
        <v>9999</v>
      </c>
      <c r="AD16" s="112">
        <v>9999</v>
      </c>
      <c r="AE16" s="112" t="s">
        <v>1</v>
      </c>
      <c r="AF16" s="112" t="s">
        <v>340</v>
      </c>
      <c r="AG16" s="112" t="s">
        <v>227</v>
      </c>
      <c r="AH16" s="112" t="s">
        <v>286</v>
      </c>
      <c r="AJ16" s="112" t="s">
        <v>227</v>
      </c>
      <c r="AK16" s="112">
        <v>45930</v>
      </c>
      <c r="AL16" s="112" t="s">
        <v>315</v>
      </c>
      <c r="AM16" s="112" t="s">
        <v>288</v>
      </c>
    </row>
    <row r="17" spans="1:39" x14ac:dyDescent="0.2">
      <c r="A17" s="116">
        <f t="shared" ca="1" si="0"/>
        <v>321</v>
      </c>
      <c r="B17" s="112" t="str">
        <f ca="1">IFERROR(VLOOKUP(A17,'Aging Formulas'!A:B,2,FALSE),"365+")</f>
        <v>301-330</v>
      </c>
      <c r="D17" s="134" t="s">
        <v>341</v>
      </c>
      <c r="E17" s="112" t="s">
        <v>308</v>
      </c>
      <c r="F17" s="112" t="s">
        <v>23</v>
      </c>
      <c r="G17" s="112" t="s">
        <v>342</v>
      </c>
      <c r="H17" s="112" t="s">
        <v>343</v>
      </c>
      <c r="I17" s="112" t="s">
        <v>17</v>
      </c>
      <c r="J17" s="112" t="s">
        <v>338</v>
      </c>
      <c r="K17" s="114">
        <v>3000</v>
      </c>
      <c r="L17" s="114">
        <v>3000</v>
      </c>
      <c r="M17" s="114">
        <v>3000</v>
      </c>
      <c r="N17" s="112" t="s">
        <v>278</v>
      </c>
      <c r="O17" s="112" t="s">
        <v>278</v>
      </c>
      <c r="P17" s="112" t="s">
        <v>344</v>
      </c>
      <c r="Q17" s="112" t="s">
        <v>280</v>
      </c>
      <c r="R17" s="112" t="s">
        <v>281</v>
      </c>
      <c r="S17" s="112" t="s">
        <v>282</v>
      </c>
      <c r="T17" s="112" t="s">
        <v>283</v>
      </c>
      <c r="U17" s="112" t="s">
        <v>313</v>
      </c>
      <c r="V17" s="112" t="s">
        <v>345</v>
      </c>
      <c r="W17" s="112">
        <v>101</v>
      </c>
      <c r="X17" s="112">
        <v>11003</v>
      </c>
      <c r="Y17" s="112">
        <v>245011</v>
      </c>
      <c r="Z17" s="112">
        <v>9999</v>
      </c>
      <c r="AA17" s="112">
        <v>950</v>
      </c>
      <c r="AB17" s="112">
        <v>999</v>
      </c>
      <c r="AC17" s="112">
        <v>9999</v>
      </c>
      <c r="AD17" s="112">
        <v>9999</v>
      </c>
      <c r="AE17" s="112" t="s">
        <v>1</v>
      </c>
      <c r="AF17" s="112" t="s">
        <v>227</v>
      </c>
      <c r="AG17" s="112" t="s">
        <v>227</v>
      </c>
      <c r="AH17" s="112" t="s">
        <v>286</v>
      </c>
      <c r="AJ17" s="112" t="s">
        <v>227</v>
      </c>
      <c r="AK17" s="112">
        <v>45930</v>
      </c>
      <c r="AL17" s="112" t="s">
        <v>315</v>
      </c>
      <c r="AM17" s="112" t="s">
        <v>288</v>
      </c>
    </row>
    <row r="18" spans="1:39" x14ac:dyDescent="0.2">
      <c r="A18" s="116">
        <f t="shared" ca="1" si="0"/>
        <v>290</v>
      </c>
      <c r="B18" s="112" t="str">
        <f ca="1">IFERROR(VLOOKUP(A18,'Aging Formulas'!A:B,2,FALSE),"365+")</f>
        <v>151-300</v>
      </c>
      <c r="D18" s="134" t="s">
        <v>307</v>
      </c>
      <c r="E18" s="112" t="s">
        <v>308</v>
      </c>
      <c r="F18" s="112" t="s">
        <v>18</v>
      </c>
      <c r="G18" s="112" t="s">
        <v>346</v>
      </c>
      <c r="H18" s="112" t="s">
        <v>347</v>
      </c>
      <c r="I18" s="112" t="s">
        <v>19</v>
      </c>
      <c r="J18" s="112" t="s">
        <v>348</v>
      </c>
      <c r="K18" s="114">
        <v>-1293.75</v>
      </c>
      <c r="L18" s="114">
        <v>-1293.75</v>
      </c>
      <c r="M18" s="114">
        <v>-1293.75</v>
      </c>
      <c r="N18" s="112" t="s">
        <v>278</v>
      </c>
      <c r="O18" s="112" t="s">
        <v>278</v>
      </c>
      <c r="P18" s="112" t="s">
        <v>349</v>
      </c>
      <c r="Q18" s="112" t="s">
        <v>280</v>
      </c>
      <c r="R18" s="112" t="s">
        <v>281</v>
      </c>
      <c r="S18" s="112" t="s">
        <v>282</v>
      </c>
      <c r="T18" s="112" t="s">
        <v>283</v>
      </c>
      <c r="U18" s="112" t="s">
        <v>313</v>
      </c>
      <c r="V18" s="112" t="s">
        <v>314</v>
      </c>
      <c r="W18" s="112">
        <v>101</v>
      </c>
      <c r="X18" s="112">
        <v>11002</v>
      </c>
      <c r="Y18" s="112">
        <v>245011</v>
      </c>
      <c r="Z18" s="112">
        <v>9999</v>
      </c>
      <c r="AA18" s="112">
        <v>999</v>
      </c>
      <c r="AB18" s="112">
        <v>999</v>
      </c>
      <c r="AC18" s="112">
        <v>9999</v>
      </c>
      <c r="AD18" s="112">
        <v>9999</v>
      </c>
      <c r="AE18" s="112" t="s">
        <v>1</v>
      </c>
      <c r="AF18" s="112" t="s">
        <v>340</v>
      </c>
      <c r="AG18" s="112" t="s">
        <v>227</v>
      </c>
      <c r="AH18" s="112" t="s">
        <v>286</v>
      </c>
      <c r="AJ18" s="112" t="s">
        <v>227</v>
      </c>
      <c r="AK18" s="112">
        <v>45961</v>
      </c>
      <c r="AL18" s="112" t="s">
        <v>315</v>
      </c>
      <c r="AM18" s="112" t="s">
        <v>288</v>
      </c>
    </row>
    <row r="19" spans="1:39" x14ac:dyDescent="0.2">
      <c r="A19" s="116">
        <f t="shared" ca="1" si="0"/>
        <v>260</v>
      </c>
      <c r="B19" s="112" t="str">
        <f ca="1">IFERROR(VLOOKUP(A19,'Aging Formulas'!A:B,2,FALSE),"365+")</f>
        <v>151-300</v>
      </c>
      <c r="D19" s="134" t="s">
        <v>307</v>
      </c>
      <c r="E19" s="112" t="s">
        <v>308</v>
      </c>
      <c r="F19" s="112" t="s">
        <v>18</v>
      </c>
      <c r="G19" s="112" t="s">
        <v>350</v>
      </c>
      <c r="H19" s="112" t="s">
        <v>350</v>
      </c>
      <c r="I19" s="112" t="s">
        <v>19</v>
      </c>
      <c r="J19" s="112" t="s">
        <v>351</v>
      </c>
      <c r="K19" s="114">
        <v>-1293.75</v>
      </c>
      <c r="L19" s="114">
        <v>-1293.75</v>
      </c>
      <c r="M19" s="114">
        <v>-1293.75</v>
      </c>
      <c r="N19" s="112" t="s">
        <v>278</v>
      </c>
      <c r="O19" s="112" t="s">
        <v>278</v>
      </c>
      <c r="P19" s="112" t="s">
        <v>352</v>
      </c>
      <c r="Q19" s="112" t="s">
        <v>352</v>
      </c>
      <c r="R19" s="112" t="s">
        <v>281</v>
      </c>
      <c r="S19" s="112" t="s">
        <v>282</v>
      </c>
      <c r="T19" s="112" t="s">
        <v>283</v>
      </c>
      <c r="U19" s="112" t="s">
        <v>313</v>
      </c>
      <c r="V19" s="112" t="s">
        <v>314</v>
      </c>
      <c r="W19" s="112">
        <v>101</v>
      </c>
      <c r="X19" s="112">
        <v>11002</v>
      </c>
      <c r="Y19" s="112">
        <v>245011</v>
      </c>
      <c r="Z19" s="112">
        <v>9999</v>
      </c>
      <c r="AA19" s="112">
        <v>999</v>
      </c>
      <c r="AB19" s="112">
        <v>999</v>
      </c>
      <c r="AC19" s="112">
        <v>9999</v>
      </c>
      <c r="AD19" s="112">
        <v>9999</v>
      </c>
      <c r="AE19" s="112" t="s">
        <v>1</v>
      </c>
      <c r="AF19" s="112" t="s">
        <v>227</v>
      </c>
      <c r="AG19" s="112" t="s">
        <v>227</v>
      </c>
      <c r="AH19" s="112" t="s">
        <v>286</v>
      </c>
      <c r="AJ19" s="112" t="s">
        <v>227</v>
      </c>
      <c r="AK19" s="112">
        <v>45991</v>
      </c>
      <c r="AL19" s="112" t="s">
        <v>328</v>
      </c>
      <c r="AM19" s="112" t="s">
        <v>288</v>
      </c>
    </row>
    <row r="20" spans="1:39" x14ac:dyDescent="0.2">
      <c r="A20" s="116">
        <f t="shared" ca="1" si="0"/>
        <v>199</v>
      </c>
      <c r="B20" s="112" t="str">
        <f ca="1">IFERROR(VLOOKUP(A20,'Aging Formulas'!A:B,2,FALSE),"365+")</f>
        <v>151-300</v>
      </c>
      <c r="D20" s="134" t="s">
        <v>307</v>
      </c>
      <c r="E20" s="112" t="s">
        <v>308</v>
      </c>
      <c r="F20" s="112" t="s">
        <v>18</v>
      </c>
      <c r="G20" s="112" t="s">
        <v>353</v>
      </c>
      <c r="H20" s="112" t="s">
        <v>354</v>
      </c>
      <c r="I20" s="112" t="s">
        <v>19</v>
      </c>
      <c r="J20" s="112" t="s">
        <v>355</v>
      </c>
      <c r="K20" s="114">
        <v>-1293.75</v>
      </c>
      <c r="L20" s="114">
        <v>-1293.75</v>
      </c>
      <c r="M20" s="114">
        <v>-1293.75</v>
      </c>
      <c r="N20" s="112" t="s">
        <v>278</v>
      </c>
      <c r="O20" s="112" t="s">
        <v>278</v>
      </c>
      <c r="P20" s="112" t="s">
        <v>356</v>
      </c>
      <c r="Q20" s="112" t="s">
        <v>280</v>
      </c>
      <c r="R20" s="112" t="s">
        <v>281</v>
      </c>
      <c r="S20" s="112" t="s">
        <v>282</v>
      </c>
      <c r="T20" s="112" t="s">
        <v>283</v>
      </c>
      <c r="U20" s="112" t="s">
        <v>313</v>
      </c>
      <c r="V20" s="112" t="s">
        <v>314</v>
      </c>
      <c r="W20" s="112">
        <v>101</v>
      </c>
      <c r="X20" s="112">
        <v>11002</v>
      </c>
      <c r="Y20" s="112">
        <v>245011</v>
      </c>
      <c r="Z20" s="112">
        <v>9999</v>
      </c>
      <c r="AA20" s="112">
        <v>999</v>
      </c>
      <c r="AB20" s="112">
        <v>999</v>
      </c>
      <c r="AC20" s="112">
        <v>9999</v>
      </c>
      <c r="AD20" s="112">
        <v>9999</v>
      </c>
      <c r="AE20" s="112" t="s">
        <v>1</v>
      </c>
      <c r="AF20" s="112" t="s">
        <v>340</v>
      </c>
      <c r="AG20" s="112" t="s">
        <v>227</v>
      </c>
      <c r="AH20" s="112" t="s">
        <v>286</v>
      </c>
      <c r="AJ20" s="112" t="s">
        <v>227</v>
      </c>
      <c r="AK20" s="112">
        <v>46052</v>
      </c>
      <c r="AL20" s="112" t="s">
        <v>315</v>
      </c>
      <c r="AM20" s="112" t="s">
        <v>288</v>
      </c>
    </row>
    <row r="21" spans="1:39" x14ac:dyDescent="0.2">
      <c r="A21" s="116">
        <f t="shared" ca="1" si="0"/>
        <v>170</v>
      </c>
      <c r="B21" s="112" t="str">
        <f ca="1">IFERROR(VLOOKUP(A21,'Aging Formulas'!A:B,2,FALSE),"365+")</f>
        <v>151-300</v>
      </c>
      <c r="D21" s="134" t="s">
        <v>307</v>
      </c>
      <c r="E21" s="112" t="s">
        <v>308</v>
      </c>
      <c r="F21" s="112" t="s">
        <v>18</v>
      </c>
      <c r="G21" s="112" t="s">
        <v>357</v>
      </c>
      <c r="H21" s="112" t="s">
        <v>358</v>
      </c>
      <c r="I21" s="112" t="s">
        <v>19</v>
      </c>
      <c r="J21" s="112" t="s">
        <v>359</v>
      </c>
      <c r="K21" s="114">
        <v>-1293.75</v>
      </c>
      <c r="L21" s="114">
        <v>-1293.75</v>
      </c>
      <c r="M21" s="114">
        <v>-1293.75</v>
      </c>
      <c r="N21" s="112" t="s">
        <v>278</v>
      </c>
      <c r="O21" s="112" t="s">
        <v>278</v>
      </c>
      <c r="P21" s="112" t="s">
        <v>360</v>
      </c>
      <c r="Q21" s="112" t="s">
        <v>280</v>
      </c>
      <c r="R21" s="112" t="s">
        <v>281</v>
      </c>
      <c r="S21" s="112" t="s">
        <v>282</v>
      </c>
      <c r="T21" s="112" t="s">
        <v>283</v>
      </c>
      <c r="U21" s="112" t="s">
        <v>313</v>
      </c>
      <c r="V21" s="112" t="s">
        <v>314</v>
      </c>
      <c r="W21" s="112">
        <v>101</v>
      </c>
      <c r="X21" s="112">
        <v>11002</v>
      </c>
      <c r="Y21" s="112">
        <v>245011</v>
      </c>
      <c r="Z21" s="112">
        <v>9999</v>
      </c>
      <c r="AA21" s="112">
        <v>999</v>
      </c>
      <c r="AB21" s="112">
        <v>999</v>
      </c>
      <c r="AC21" s="112">
        <v>9999</v>
      </c>
      <c r="AD21" s="112">
        <v>9999</v>
      </c>
      <c r="AE21" s="112" t="s">
        <v>1</v>
      </c>
      <c r="AF21" s="112" t="s">
        <v>340</v>
      </c>
      <c r="AG21" s="112" t="s">
        <v>227</v>
      </c>
      <c r="AH21" s="112" t="s">
        <v>286</v>
      </c>
      <c r="AJ21" s="112" t="s">
        <v>227</v>
      </c>
      <c r="AK21" s="112">
        <v>46081</v>
      </c>
      <c r="AL21" s="112" t="s">
        <v>315</v>
      </c>
      <c r="AM21" s="112" t="s">
        <v>288</v>
      </c>
    </row>
    <row r="22" spans="1:39" x14ac:dyDescent="0.2">
      <c r="A22" s="116">
        <f t="shared" ca="1" si="0"/>
        <v>139</v>
      </c>
      <c r="B22" s="112" t="str">
        <f ca="1">IFERROR(VLOOKUP(A22,'Aging Formulas'!A:B,2,FALSE),"365+")</f>
        <v>121-150</v>
      </c>
      <c r="D22" s="134" t="s">
        <v>361</v>
      </c>
      <c r="E22" s="112" t="s">
        <v>308</v>
      </c>
      <c r="F22" s="112" t="s">
        <v>28</v>
      </c>
      <c r="G22" s="112" t="s">
        <v>362</v>
      </c>
      <c r="H22" s="112" t="s">
        <v>363</v>
      </c>
      <c r="I22" s="112" t="s">
        <v>12</v>
      </c>
      <c r="J22" s="112" t="s">
        <v>364</v>
      </c>
      <c r="K22" s="114">
        <v>9707.1</v>
      </c>
      <c r="L22" s="114">
        <v>9707.1</v>
      </c>
      <c r="M22" s="114">
        <v>9707.1</v>
      </c>
      <c r="N22" s="112" t="s">
        <v>278</v>
      </c>
      <c r="O22" s="112" t="s">
        <v>278</v>
      </c>
      <c r="P22" s="112" t="s">
        <v>365</v>
      </c>
      <c r="Q22" s="112" t="s">
        <v>280</v>
      </c>
      <c r="R22" s="112" t="s">
        <v>281</v>
      </c>
      <c r="S22" s="112" t="s">
        <v>282</v>
      </c>
      <c r="T22" s="112" t="s">
        <v>283</v>
      </c>
      <c r="U22" s="112" t="s">
        <v>366</v>
      </c>
      <c r="V22" s="112" t="s">
        <v>367</v>
      </c>
      <c r="W22" s="112">
        <v>101</v>
      </c>
      <c r="X22" s="112">
        <v>12014</v>
      </c>
      <c r="Y22" s="112">
        <v>245011</v>
      </c>
      <c r="Z22" s="112">
        <v>9999</v>
      </c>
      <c r="AA22" s="112">
        <v>950</v>
      </c>
      <c r="AB22" s="112">
        <v>999</v>
      </c>
      <c r="AC22" s="112">
        <v>9999</v>
      </c>
      <c r="AD22" s="112">
        <v>9999</v>
      </c>
      <c r="AE22" s="112" t="s">
        <v>1</v>
      </c>
      <c r="AF22" s="112" t="s">
        <v>368</v>
      </c>
      <c r="AG22" s="112" t="s">
        <v>227</v>
      </c>
      <c r="AH22" s="112" t="s">
        <v>286</v>
      </c>
      <c r="AJ22" s="112" t="s">
        <v>227</v>
      </c>
      <c r="AK22" s="112">
        <v>46112</v>
      </c>
      <c r="AL22" s="112" t="s">
        <v>315</v>
      </c>
      <c r="AM22" s="112" t="s">
        <v>288</v>
      </c>
    </row>
    <row r="23" spans="1:39" x14ac:dyDescent="0.2">
      <c r="A23" s="116">
        <f t="shared" ca="1" si="0"/>
        <v>139</v>
      </c>
      <c r="B23" s="112" t="str">
        <f ca="1">IFERROR(VLOOKUP(A23,'Aging Formulas'!A:B,2,FALSE),"365+")</f>
        <v>121-150</v>
      </c>
      <c r="D23" s="134" t="s">
        <v>307</v>
      </c>
      <c r="E23" s="112" t="s">
        <v>308</v>
      </c>
      <c r="F23" s="112" t="s">
        <v>18</v>
      </c>
      <c r="G23" s="112" t="s">
        <v>369</v>
      </c>
      <c r="H23" s="112" t="s">
        <v>370</v>
      </c>
      <c r="I23" s="112" t="s">
        <v>19</v>
      </c>
      <c r="J23" s="112" t="s">
        <v>364</v>
      </c>
      <c r="K23" s="114">
        <v>-1293.75</v>
      </c>
      <c r="L23" s="114">
        <v>-1293.75</v>
      </c>
      <c r="M23" s="114">
        <v>-1293.75</v>
      </c>
      <c r="N23" s="112" t="s">
        <v>278</v>
      </c>
      <c r="O23" s="112" t="s">
        <v>278</v>
      </c>
      <c r="P23" s="112" t="s">
        <v>371</v>
      </c>
      <c r="Q23" s="112" t="s">
        <v>280</v>
      </c>
      <c r="R23" s="112" t="s">
        <v>281</v>
      </c>
      <c r="S23" s="112" t="s">
        <v>282</v>
      </c>
      <c r="T23" s="112" t="s">
        <v>283</v>
      </c>
      <c r="U23" s="112" t="s">
        <v>313</v>
      </c>
      <c r="V23" s="112" t="s">
        <v>314</v>
      </c>
      <c r="W23" s="112">
        <v>101</v>
      </c>
      <c r="X23" s="112">
        <v>11002</v>
      </c>
      <c r="Y23" s="112">
        <v>245011</v>
      </c>
      <c r="Z23" s="112">
        <v>9999</v>
      </c>
      <c r="AA23" s="112">
        <v>999</v>
      </c>
      <c r="AB23" s="112">
        <v>999</v>
      </c>
      <c r="AC23" s="112">
        <v>9999</v>
      </c>
      <c r="AD23" s="112">
        <v>9999</v>
      </c>
      <c r="AE23" s="112" t="s">
        <v>1</v>
      </c>
      <c r="AF23" s="112" t="s">
        <v>340</v>
      </c>
      <c r="AG23" s="112" t="s">
        <v>227</v>
      </c>
      <c r="AH23" s="112" t="s">
        <v>286</v>
      </c>
      <c r="AJ23" s="112" t="s">
        <v>227</v>
      </c>
      <c r="AK23" s="112">
        <v>46112</v>
      </c>
      <c r="AL23" s="112" t="s">
        <v>315</v>
      </c>
      <c r="AM23" s="112" t="s">
        <v>288</v>
      </c>
    </row>
    <row r="24" spans="1:39" x14ac:dyDescent="0.2">
      <c r="A24" s="116">
        <f t="shared" ca="1" si="0"/>
        <v>139</v>
      </c>
      <c r="B24" s="112" t="str">
        <f ca="1">IFERROR(VLOOKUP(A24,'Aging Formulas'!A:B,2,FALSE),"365+")</f>
        <v>121-150</v>
      </c>
      <c r="D24" s="134" t="s">
        <v>372</v>
      </c>
      <c r="E24" s="112" t="s">
        <v>290</v>
      </c>
      <c r="F24" s="112" t="s">
        <v>30</v>
      </c>
      <c r="G24" s="112" t="s">
        <v>373</v>
      </c>
      <c r="H24" s="112" t="s">
        <v>374</v>
      </c>
      <c r="I24" s="112" t="s">
        <v>16</v>
      </c>
      <c r="J24" s="112" t="s">
        <v>364</v>
      </c>
      <c r="K24" s="114">
        <v>-295962.88</v>
      </c>
      <c r="L24" s="114">
        <v>-295962.88</v>
      </c>
      <c r="M24" s="114">
        <v>-295962.88</v>
      </c>
      <c r="N24" s="112" t="s">
        <v>278</v>
      </c>
      <c r="O24" s="112" t="s">
        <v>278</v>
      </c>
      <c r="P24" s="112" t="s">
        <v>375</v>
      </c>
      <c r="Q24" s="112" t="s">
        <v>280</v>
      </c>
      <c r="R24" s="112" t="s">
        <v>281</v>
      </c>
      <c r="S24" s="112" t="s">
        <v>282</v>
      </c>
      <c r="T24" s="112" t="s">
        <v>294</v>
      </c>
      <c r="U24" s="112" t="s">
        <v>295</v>
      </c>
      <c r="V24" s="112" t="s">
        <v>376</v>
      </c>
      <c r="W24" s="112">
        <v>101</v>
      </c>
      <c r="X24" s="112">
        <v>13018</v>
      </c>
      <c r="Y24" s="112">
        <v>245011</v>
      </c>
      <c r="Z24" s="112">
        <v>9999</v>
      </c>
      <c r="AA24" s="112">
        <v>950</v>
      </c>
      <c r="AB24" s="112">
        <v>999</v>
      </c>
      <c r="AC24" s="112">
        <v>9999</v>
      </c>
      <c r="AD24" s="112">
        <v>9999</v>
      </c>
      <c r="AE24" s="112" t="s">
        <v>1</v>
      </c>
      <c r="AF24" s="112" t="s">
        <v>227</v>
      </c>
      <c r="AG24" s="112" t="s">
        <v>227</v>
      </c>
      <c r="AH24" s="112" t="s">
        <v>286</v>
      </c>
      <c r="AJ24" s="112" t="s">
        <v>227</v>
      </c>
      <c r="AK24" s="112">
        <v>46112</v>
      </c>
      <c r="AL24" s="112" t="s">
        <v>315</v>
      </c>
      <c r="AM24" s="112" t="s">
        <v>288</v>
      </c>
    </row>
    <row r="25" spans="1:39" x14ac:dyDescent="0.2">
      <c r="A25" s="116">
        <f t="shared" ca="1" si="0"/>
        <v>139</v>
      </c>
      <c r="B25" s="112" t="str">
        <f ca="1">IFERROR(VLOOKUP(A25,'Aging Formulas'!A:B,2,FALSE),"365+")</f>
        <v>121-150</v>
      </c>
      <c r="D25" s="134" t="s">
        <v>377</v>
      </c>
      <c r="E25" s="112" t="s">
        <v>308</v>
      </c>
      <c r="F25" s="112" t="s">
        <v>32</v>
      </c>
      <c r="G25" s="112" t="s">
        <v>378</v>
      </c>
      <c r="H25" s="112" t="s">
        <v>379</v>
      </c>
      <c r="I25" s="112" t="s">
        <v>16</v>
      </c>
      <c r="J25" s="112" t="s">
        <v>364</v>
      </c>
      <c r="K25" s="114">
        <v>175352.45</v>
      </c>
      <c r="L25" s="114">
        <v>175352.45</v>
      </c>
      <c r="M25" s="114">
        <v>175352.45</v>
      </c>
      <c r="N25" s="112" t="s">
        <v>278</v>
      </c>
      <c r="O25" s="112" t="s">
        <v>278</v>
      </c>
      <c r="P25" s="112" t="s">
        <v>380</v>
      </c>
      <c r="Q25" s="112" t="s">
        <v>280</v>
      </c>
      <c r="R25" s="112" t="s">
        <v>281</v>
      </c>
      <c r="S25" s="112" t="s">
        <v>282</v>
      </c>
      <c r="T25" s="112" t="s">
        <v>283</v>
      </c>
      <c r="U25" s="112" t="s">
        <v>313</v>
      </c>
      <c r="V25" s="112" t="s">
        <v>381</v>
      </c>
      <c r="W25" s="112">
        <v>101</v>
      </c>
      <c r="X25" s="112">
        <v>12015</v>
      </c>
      <c r="Y25" s="112">
        <v>245011</v>
      </c>
      <c r="Z25" s="112">
        <v>9999</v>
      </c>
      <c r="AA25" s="112">
        <v>999</v>
      </c>
      <c r="AB25" s="112">
        <v>999</v>
      </c>
      <c r="AC25" s="112">
        <v>9999</v>
      </c>
      <c r="AD25" s="112">
        <v>9999</v>
      </c>
      <c r="AE25" s="112" t="s">
        <v>1</v>
      </c>
      <c r="AF25" s="112" t="s">
        <v>227</v>
      </c>
      <c r="AG25" s="112" t="s">
        <v>227</v>
      </c>
      <c r="AH25" s="112" t="s">
        <v>286</v>
      </c>
      <c r="AJ25" s="112" t="s">
        <v>227</v>
      </c>
      <c r="AK25" s="112">
        <v>46112</v>
      </c>
      <c r="AL25" s="112" t="s">
        <v>382</v>
      </c>
      <c r="AM25" s="112" t="s">
        <v>288</v>
      </c>
    </row>
    <row r="26" spans="1:39" x14ac:dyDescent="0.2">
      <c r="A26" s="116">
        <f t="shared" ca="1" si="0"/>
        <v>145</v>
      </c>
      <c r="B26" s="112" t="str">
        <f ca="1">IFERROR(VLOOKUP(A26,'Aging Formulas'!A:B,2,FALSE),"365+")</f>
        <v>121-150</v>
      </c>
      <c r="D26" s="134" t="s">
        <v>383</v>
      </c>
      <c r="E26" s="112" t="s">
        <v>290</v>
      </c>
      <c r="F26" s="112" t="s">
        <v>30</v>
      </c>
      <c r="G26" s="112" t="s">
        <v>384</v>
      </c>
      <c r="H26" s="112" t="s">
        <v>385</v>
      </c>
      <c r="I26" s="112" t="s">
        <v>27</v>
      </c>
      <c r="J26" s="112" t="s">
        <v>364</v>
      </c>
      <c r="K26" s="114">
        <v>-19318.5</v>
      </c>
      <c r="L26" s="114">
        <v>-19318.5</v>
      </c>
      <c r="M26" s="114">
        <v>-19318.5</v>
      </c>
      <c r="N26" s="112" t="s">
        <v>278</v>
      </c>
      <c r="O26" s="112" t="s">
        <v>278</v>
      </c>
      <c r="P26" s="112" t="s">
        <v>386</v>
      </c>
      <c r="Q26" s="112" t="s">
        <v>280</v>
      </c>
      <c r="R26" s="112" t="s">
        <v>281</v>
      </c>
      <c r="S26" s="112" t="s">
        <v>282</v>
      </c>
      <c r="T26" s="112" t="s">
        <v>294</v>
      </c>
      <c r="U26" s="112" t="s">
        <v>295</v>
      </c>
      <c r="V26" s="112" t="s">
        <v>387</v>
      </c>
      <c r="W26" s="112">
        <v>101</v>
      </c>
      <c r="X26" s="112">
        <v>13018</v>
      </c>
      <c r="Y26" s="112">
        <v>245011</v>
      </c>
      <c r="Z26" s="112">
        <v>9999</v>
      </c>
      <c r="AA26" s="112">
        <v>999</v>
      </c>
      <c r="AB26" s="112">
        <v>999</v>
      </c>
      <c r="AC26" s="112">
        <v>9999</v>
      </c>
      <c r="AD26" s="112">
        <v>9999</v>
      </c>
      <c r="AE26" s="112" t="s">
        <v>1</v>
      </c>
      <c r="AF26" s="112" t="s">
        <v>227</v>
      </c>
      <c r="AG26" s="112" t="s">
        <v>227</v>
      </c>
      <c r="AH26" s="112" t="s">
        <v>286</v>
      </c>
      <c r="AJ26" s="112" t="s">
        <v>227</v>
      </c>
      <c r="AK26" s="112">
        <v>46106</v>
      </c>
      <c r="AL26" s="112" t="s">
        <v>287</v>
      </c>
      <c r="AM26" s="112" t="s">
        <v>288</v>
      </c>
    </row>
    <row r="27" spans="1:39" x14ac:dyDescent="0.2">
      <c r="A27" s="116">
        <f t="shared" ca="1" si="0"/>
        <v>109</v>
      </c>
      <c r="B27" s="112" t="str">
        <f ca="1">IFERROR(VLOOKUP(A27,'Aging Formulas'!A:B,2,FALSE),"365+")</f>
        <v>91-120</v>
      </c>
      <c r="D27" s="134" t="s">
        <v>388</v>
      </c>
      <c r="E27" s="112" t="s">
        <v>274</v>
      </c>
      <c r="F27" s="112" t="s">
        <v>33</v>
      </c>
      <c r="G27" s="112" t="s">
        <v>389</v>
      </c>
      <c r="H27" s="112" t="s">
        <v>390</v>
      </c>
      <c r="I27" s="112" t="s">
        <v>16</v>
      </c>
      <c r="J27" s="112" t="s">
        <v>391</v>
      </c>
      <c r="K27" s="114">
        <v>-19545.13</v>
      </c>
      <c r="L27" s="114">
        <v>-19545.13</v>
      </c>
      <c r="M27" s="114">
        <v>-19545.13</v>
      </c>
      <c r="N27" s="112" t="s">
        <v>278</v>
      </c>
      <c r="O27" s="112" t="s">
        <v>278</v>
      </c>
      <c r="P27" s="112" t="s">
        <v>392</v>
      </c>
      <c r="Q27" s="112" t="s">
        <v>280</v>
      </c>
      <c r="R27" s="112" t="s">
        <v>281</v>
      </c>
      <c r="S27" s="112" t="s">
        <v>282</v>
      </c>
      <c r="T27" s="112" t="s">
        <v>283</v>
      </c>
      <c r="U27" s="112" t="s">
        <v>284</v>
      </c>
      <c r="V27" s="112" t="s">
        <v>393</v>
      </c>
      <c r="W27" s="112">
        <v>101</v>
      </c>
      <c r="X27" s="112">
        <v>12025</v>
      </c>
      <c r="Y27" s="112">
        <v>245011</v>
      </c>
      <c r="Z27" s="112">
        <v>9999</v>
      </c>
      <c r="AA27" s="112">
        <v>999</v>
      </c>
      <c r="AB27" s="112">
        <v>999</v>
      </c>
      <c r="AC27" s="112">
        <v>9999</v>
      </c>
      <c r="AD27" s="112">
        <v>9999</v>
      </c>
      <c r="AE27" s="112" t="s">
        <v>1</v>
      </c>
      <c r="AF27" s="112" t="s">
        <v>227</v>
      </c>
      <c r="AG27" s="112" t="s">
        <v>227</v>
      </c>
      <c r="AH27" s="112" t="s">
        <v>286</v>
      </c>
      <c r="AJ27" s="112" t="s">
        <v>227</v>
      </c>
      <c r="AK27" s="112">
        <v>46142</v>
      </c>
      <c r="AL27" s="112" t="s">
        <v>315</v>
      </c>
      <c r="AM27" s="112" t="s">
        <v>288</v>
      </c>
    </row>
    <row r="28" spans="1:39" x14ac:dyDescent="0.2">
      <c r="A28" s="116">
        <f t="shared" ca="1" si="0"/>
        <v>109</v>
      </c>
      <c r="B28" s="112" t="str">
        <f ca="1">IFERROR(VLOOKUP(A28,'Aging Formulas'!A:B,2,FALSE),"365+")</f>
        <v>91-120</v>
      </c>
      <c r="D28" s="134" t="s">
        <v>394</v>
      </c>
      <c r="E28" s="112" t="s">
        <v>290</v>
      </c>
      <c r="F28" s="112" t="s">
        <v>34</v>
      </c>
      <c r="G28" s="112" t="s">
        <v>395</v>
      </c>
      <c r="H28" s="112" t="s">
        <v>396</v>
      </c>
      <c r="I28" s="112" t="s">
        <v>16</v>
      </c>
      <c r="J28" s="112" t="s">
        <v>391</v>
      </c>
      <c r="K28" s="114">
        <v>143905.24</v>
      </c>
      <c r="L28" s="114">
        <v>143905.24</v>
      </c>
      <c r="M28" s="114">
        <v>143905.24</v>
      </c>
      <c r="N28" s="112" t="s">
        <v>278</v>
      </c>
      <c r="O28" s="112" t="s">
        <v>278</v>
      </c>
      <c r="P28" s="112" t="s">
        <v>397</v>
      </c>
      <c r="Q28" s="112" t="s">
        <v>280</v>
      </c>
      <c r="R28" s="112" t="s">
        <v>281</v>
      </c>
      <c r="S28" s="112" t="s">
        <v>282</v>
      </c>
      <c r="T28" s="112" t="s">
        <v>294</v>
      </c>
      <c r="U28" s="112" t="s">
        <v>295</v>
      </c>
      <c r="V28" s="112" t="s">
        <v>398</v>
      </c>
      <c r="W28" s="112">
        <v>101</v>
      </c>
      <c r="X28" s="112">
        <v>13014</v>
      </c>
      <c r="Y28" s="112">
        <v>245011</v>
      </c>
      <c r="Z28" s="112">
        <v>9999</v>
      </c>
      <c r="AA28" s="112">
        <v>999</v>
      </c>
      <c r="AB28" s="112">
        <v>999</v>
      </c>
      <c r="AC28" s="112">
        <v>9999</v>
      </c>
      <c r="AD28" s="112">
        <v>9999</v>
      </c>
      <c r="AE28" s="112" t="s">
        <v>1</v>
      </c>
      <c r="AF28" s="112" t="s">
        <v>399</v>
      </c>
      <c r="AG28" s="112" t="s">
        <v>227</v>
      </c>
      <c r="AH28" s="112" t="s">
        <v>286</v>
      </c>
      <c r="AJ28" s="112" t="s">
        <v>227</v>
      </c>
      <c r="AK28" s="112">
        <v>46142</v>
      </c>
      <c r="AL28" s="112" t="s">
        <v>315</v>
      </c>
      <c r="AM28" s="112" t="s">
        <v>288</v>
      </c>
    </row>
    <row r="29" spans="1:39" x14ac:dyDescent="0.2">
      <c r="A29" s="116">
        <f t="shared" ca="1" si="0"/>
        <v>109</v>
      </c>
      <c r="B29" s="112" t="str">
        <f ca="1">IFERROR(VLOOKUP(A29,'Aging Formulas'!A:B,2,FALSE),"365+")</f>
        <v>91-120</v>
      </c>
      <c r="D29" s="134" t="s">
        <v>400</v>
      </c>
      <c r="E29" s="112" t="s">
        <v>308</v>
      </c>
      <c r="F29" s="112" t="s">
        <v>35</v>
      </c>
      <c r="G29" s="112" t="s">
        <v>401</v>
      </c>
      <c r="H29" s="112" t="s">
        <v>402</v>
      </c>
      <c r="I29" s="112" t="s">
        <v>36</v>
      </c>
      <c r="J29" s="112" t="s">
        <v>391</v>
      </c>
      <c r="K29" s="114">
        <v>573095.24</v>
      </c>
      <c r="L29" s="114">
        <v>573095.24</v>
      </c>
      <c r="M29" s="114">
        <v>573095.24</v>
      </c>
      <c r="N29" s="112" t="s">
        <v>278</v>
      </c>
      <c r="O29" s="112" t="s">
        <v>278</v>
      </c>
      <c r="P29" s="112" t="s">
        <v>403</v>
      </c>
      <c r="Q29" s="112" t="s">
        <v>280</v>
      </c>
      <c r="R29" s="112" t="s">
        <v>281</v>
      </c>
      <c r="S29" s="112" t="s">
        <v>282</v>
      </c>
      <c r="T29" s="112" t="s">
        <v>283</v>
      </c>
      <c r="U29" s="112" t="s">
        <v>366</v>
      </c>
      <c r="V29" s="112" t="s">
        <v>404</v>
      </c>
      <c r="W29" s="112">
        <v>101</v>
      </c>
      <c r="X29" s="112">
        <v>11010</v>
      </c>
      <c r="Y29" s="112">
        <v>245011</v>
      </c>
      <c r="Z29" s="112">
        <v>9999</v>
      </c>
      <c r="AA29" s="112">
        <v>204</v>
      </c>
      <c r="AB29" s="112">
        <v>999</v>
      </c>
      <c r="AC29" s="112">
        <v>9999</v>
      </c>
      <c r="AD29" s="112">
        <v>9999</v>
      </c>
      <c r="AE29" s="112" t="s">
        <v>1</v>
      </c>
      <c r="AF29" s="112" t="s">
        <v>405</v>
      </c>
      <c r="AG29" s="112" t="s">
        <v>227</v>
      </c>
      <c r="AH29" s="112" t="s">
        <v>286</v>
      </c>
      <c r="AJ29" s="112" t="s">
        <v>227</v>
      </c>
      <c r="AK29" s="112">
        <v>46142</v>
      </c>
      <c r="AL29" s="112" t="s">
        <v>315</v>
      </c>
      <c r="AM29" s="112" t="s">
        <v>288</v>
      </c>
    </row>
    <row r="30" spans="1:39" x14ac:dyDescent="0.2">
      <c r="A30" s="116">
        <f t="shared" ca="1" si="0"/>
        <v>109</v>
      </c>
      <c r="B30" s="112" t="str">
        <f ca="1">IFERROR(VLOOKUP(A30,'Aging Formulas'!A:B,2,FALSE),"365+")</f>
        <v>91-120</v>
      </c>
      <c r="D30" s="134" t="s">
        <v>307</v>
      </c>
      <c r="E30" s="112" t="s">
        <v>308</v>
      </c>
      <c r="F30" s="112" t="s">
        <v>18</v>
      </c>
      <c r="G30" s="112" t="s">
        <v>406</v>
      </c>
      <c r="H30" s="112" t="s">
        <v>407</v>
      </c>
      <c r="I30" s="112" t="s">
        <v>19</v>
      </c>
      <c r="J30" s="112" t="s">
        <v>391</v>
      </c>
      <c r="K30" s="114">
        <v>-1293.78</v>
      </c>
      <c r="L30" s="114">
        <v>-1293.78</v>
      </c>
      <c r="M30" s="114">
        <v>-1293.78</v>
      </c>
      <c r="N30" s="112" t="s">
        <v>278</v>
      </c>
      <c r="O30" s="112" t="s">
        <v>278</v>
      </c>
      <c r="P30" s="112" t="s">
        <v>408</v>
      </c>
      <c r="Q30" s="112" t="s">
        <v>280</v>
      </c>
      <c r="R30" s="112" t="s">
        <v>281</v>
      </c>
      <c r="S30" s="112" t="s">
        <v>282</v>
      </c>
      <c r="T30" s="112" t="s">
        <v>283</v>
      </c>
      <c r="U30" s="112" t="s">
        <v>313</v>
      </c>
      <c r="V30" s="112" t="s">
        <v>314</v>
      </c>
      <c r="W30" s="112">
        <v>101</v>
      </c>
      <c r="X30" s="112">
        <v>11002</v>
      </c>
      <c r="Y30" s="112">
        <v>245011</v>
      </c>
      <c r="Z30" s="112">
        <v>9999</v>
      </c>
      <c r="AA30" s="112">
        <v>999</v>
      </c>
      <c r="AB30" s="112">
        <v>999</v>
      </c>
      <c r="AC30" s="112">
        <v>9999</v>
      </c>
      <c r="AD30" s="112">
        <v>9999</v>
      </c>
      <c r="AE30" s="112" t="s">
        <v>1</v>
      </c>
      <c r="AF30" s="112" t="s">
        <v>340</v>
      </c>
      <c r="AG30" s="112" t="s">
        <v>227</v>
      </c>
      <c r="AH30" s="112" t="s">
        <v>286</v>
      </c>
      <c r="AJ30" s="112" t="s">
        <v>227</v>
      </c>
      <c r="AK30" s="112">
        <v>46142</v>
      </c>
      <c r="AL30" s="112" t="s">
        <v>315</v>
      </c>
      <c r="AM30" s="112" t="s">
        <v>288</v>
      </c>
    </row>
    <row r="31" spans="1:39" x14ac:dyDescent="0.2">
      <c r="A31" s="116">
        <f t="shared" ca="1" si="0"/>
        <v>109</v>
      </c>
      <c r="B31" s="112" t="str">
        <f ca="1">IFERROR(VLOOKUP(A31,'Aging Formulas'!A:B,2,FALSE),"365+")</f>
        <v>91-120</v>
      </c>
      <c r="D31" s="134" t="s">
        <v>409</v>
      </c>
      <c r="E31" s="112" t="s">
        <v>290</v>
      </c>
      <c r="F31" s="112" t="s">
        <v>30</v>
      </c>
      <c r="G31" s="112" t="s">
        <v>410</v>
      </c>
      <c r="H31" s="112" t="s">
        <v>411</v>
      </c>
      <c r="I31" s="112" t="s">
        <v>24</v>
      </c>
      <c r="J31" s="112" t="s">
        <v>391</v>
      </c>
      <c r="K31" s="114">
        <v>-507000</v>
      </c>
      <c r="L31" s="114">
        <v>-507000</v>
      </c>
      <c r="M31" s="114">
        <v>-507000</v>
      </c>
      <c r="N31" s="112" t="s">
        <v>278</v>
      </c>
      <c r="O31" s="112" t="s">
        <v>278</v>
      </c>
      <c r="P31" s="112" t="s">
        <v>412</v>
      </c>
      <c r="Q31" s="112" t="s">
        <v>280</v>
      </c>
      <c r="R31" s="112" t="s">
        <v>281</v>
      </c>
      <c r="S31" s="112" t="s">
        <v>282</v>
      </c>
      <c r="T31" s="112" t="s">
        <v>294</v>
      </c>
      <c r="U31" s="112" t="s">
        <v>295</v>
      </c>
      <c r="V31" s="112" t="s">
        <v>387</v>
      </c>
      <c r="W31" s="112">
        <v>101</v>
      </c>
      <c r="X31" s="112">
        <v>13018</v>
      </c>
      <c r="Y31" s="112">
        <v>245011</v>
      </c>
      <c r="Z31" s="112">
        <v>9999</v>
      </c>
      <c r="AA31" s="112">
        <v>999</v>
      </c>
      <c r="AB31" s="112">
        <v>999</v>
      </c>
      <c r="AC31" s="112">
        <v>9999</v>
      </c>
      <c r="AD31" s="112">
        <v>9999</v>
      </c>
      <c r="AE31" s="112" t="s">
        <v>1</v>
      </c>
      <c r="AF31" s="112" t="s">
        <v>227</v>
      </c>
      <c r="AG31" s="112" t="s">
        <v>227</v>
      </c>
      <c r="AH31" s="112" t="s">
        <v>286</v>
      </c>
      <c r="AJ31" s="112" t="s">
        <v>227</v>
      </c>
      <c r="AK31" s="112">
        <v>46142</v>
      </c>
      <c r="AL31" s="112" t="s">
        <v>287</v>
      </c>
      <c r="AM31" s="112" t="s">
        <v>288</v>
      </c>
    </row>
    <row r="32" spans="1:39" x14ac:dyDescent="0.2">
      <c r="A32" s="116">
        <f t="shared" ca="1" si="0"/>
        <v>109</v>
      </c>
      <c r="B32" s="112" t="str">
        <f ca="1">IFERROR(VLOOKUP(A32,'Aging Formulas'!A:B,2,FALSE),"365+")</f>
        <v>91-120</v>
      </c>
      <c r="D32" s="134" t="s">
        <v>409</v>
      </c>
      <c r="E32" s="112" t="s">
        <v>308</v>
      </c>
      <c r="F32" s="112" t="s">
        <v>23</v>
      </c>
      <c r="G32" s="112" t="s">
        <v>413</v>
      </c>
      <c r="H32" s="112" t="s">
        <v>414</v>
      </c>
      <c r="I32" s="112" t="s">
        <v>24</v>
      </c>
      <c r="J32" s="112" t="s">
        <v>391</v>
      </c>
      <c r="K32" s="114">
        <v>-93000</v>
      </c>
      <c r="L32" s="114">
        <v>-93000</v>
      </c>
      <c r="M32" s="114">
        <v>-93000</v>
      </c>
      <c r="N32" s="112" t="s">
        <v>278</v>
      </c>
      <c r="O32" s="112" t="s">
        <v>278</v>
      </c>
      <c r="P32" s="112" t="s">
        <v>412</v>
      </c>
      <c r="Q32" s="112" t="s">
        <v>280</v>
      </c>
      <c r="R32" s="112" t="s">
        <v>281</v>
      </c>
      <c r="S32" s="112" t="s">
        <v>282</v>
      </c>
      <c r="T32" s="112" t="s">
        <v>283</v>
      </c>
      <c r="U32" s="112" t="s">
        <v>313</v>
      </c>
      <c r="V32" s="112" t="s">
        <v>415</v>
      </c>
      <c r="W32" s="112">
        <v>101</v>
      </c>
      <c r="X32" s="112">
        <v>11003</v>
      </c>
      <c r="Y32" s="112">
        <v>245011</v>
      </c>
      <c r="Z32" s="112">
        <v>9999</v>
      </c>
      <c r="AA32" s="112">
        <v>999</v>
      </c>
      <c r="AB32" s="112">
        <v>999</v>
      </c>
      <c r="AC32" s="112">
        <v>9999</v>
      </c>
      <c r="AD32" s="112">
        <v>9999</v>
      </c>
      <c r="AE32" s="112" t="s">
        <v>1</v>
      </c>
      <c r="AF32" s="112" t="s">
        <v>227</v>
      </c>
      <c r="AG32" s="112" t="s">
        <v>227</v>
      </c>
      <c r="AH32" s="112" t="s">
        <v>286</v>
      </c>
      <c r="AJ32" s="112" t="s">
        <v>227</v>
      </c>
      <c r="AK32" s="112">
        <v>46142</v>
      </c>
      <c r="AL32" s="112" t="s">
        <v>287</v>
      </c>
      <c r="AM32" s="112" t="s">
        <v>288</v>
      </c>
    </row>
    <row r="33" spans="1:39" x14ac:dyDescent="0.2">
      <c r="A33" s="116">
        <f t="shared" ca="1" si="0"/>
        <v>78</v>
      </c>
      <c r="B33" s="112" t="str">
        <f ca="1">IFERROR(VLOOKUP(A33,'Aging Formulas'!A:B,2,FALSE),"365+")</f>
        <v>61-90</v>
      </c>
      <c r="D33" s="134" t="s">
        <v>416</v>
      </c>
      <c r="E33" s="112" t="s">
        <v>290</v>
      </c>
      <c r="F33" s="112" t="s">
        <v>30</v>
      </c>
      <c r="G33" s="112" t="s">
        <v>417</v>
      </c>
      <c r="H33" s="112" t="s">
        <v>418</v>
      </c>
      <c r="I33" s="112" t="s">
        <v>24</v>
      </c>
      <c r="J33" s="112" t="s">
        <v>419</v>
      </c>
      <c r="K33" s="114">
        <v>-154793.4</v>
      </c>
      <c r="L33" s="114">
        <v>-154793.4</v>
      </c>
      <c r="M33" s="114">
        <v>-154793.4</v>
      </c>
      <c r="N33" s="112" t="s">
        <v>278</v>
      </c>
      <c r="O33" s="112" t="s">
        <v>278</v>
      </c>
      <c r="P33" s="112" t="s">
        <v>420</v>
      </c>
      <c r="Q33" s="112" t="s">
        <v>280</v>
      </c>
      <c r="R33" s="112" t="s">
        <v>281</v>
      </c>
      <c r="S33" s="112" t="s">
        <v>282</v>
      </c>
      <c r="T33" s="112" t="s">
        <v>294</v>
      </c>
      <c r="U33" s="112" t="s">
        <v>295</v>
      </c>
      <c r="V33" s="112" t="s">
        <v>387</v>
      </c>
      <c r="W33" s="112">
        <v>101</v>
      </c>
      <c r="X33" s="112">
        <v>13018</v>
      </c>
      <c r="Y33" s="112">
        <v>245011</v>
      </c>
      <c r="Z33" s="112">
        <v>9999</v>
      </c>
      <c r="AA33" s="112">
        <v>999</v>
      </c>
      <c r="AB33" s="112">
        <v>999</v>
      </c>
      <c r="AC33" s="112">
        <v>9999</v>
      </c>
      <c r="AD33" s="112">
        <v>9999</v>
      </c>
      <c r="AE33" s="112" t="s">
        <v>1</v>
      </c>
      <c r="AF33" s="112" t="s">
        <v>227</v>
      </c>
      <c r="AG33" s="112" t="s">
        <v>227</v>
      </c>
      <c r="AH33" s="112" t="s">
        <v>286</v>
      </c>
      <c r="AJ33" s="112" t="s">
        <v>227</v>
      </c>
      <c r="AK33" s="112">
        <v>46173</v>
      </c>
      <c r="AL33" s="112" t="s">
        <v>287</v>
      </c>
      <c r="AM33" s="112" t="s">
        <v>288</v>
      </c>
    </row>
    <row r="34" spans="1:39" x14ac:dyDescent="0.2">
      <c r="A34" s="116">
        <f t="shared" ca="1" si="0"/>
        <v>78</v>
      </c>
      <c r="B34" s="112" t="str">
        <f ca="1">IFERROR(VLOOKUP(A34,'Aging Formulas'!A:B,2,FALSE),"365+")</f>
        <v>61-90</v>
      </c>
      <c r="D34" s="134" t="s">
        <v>416</v>
      </c>
      <c r="E34" s="112" t="s">
        <v>290</v>
      </c>
      <c r="F34" s="112" t="s">
        <v>30</v>
      </c>
      <c r="G34" s="112" t="s">
        <v>421</v>
      </c>
      <c r="H34" s="112" t="s">
        <v>422</v>
      </c>
      <c r="I34" s="112" t="s">
        <v>24</v>
      </c>
      <c r="J34" s="112" t="s">
        <v>419</v>
      </c>
      <c r="K34" s="114">
        <v>-154793.4</v>
      </c>
      <c r="L34" s="114">
        <v>-154793.4</v>
      </c>
      <c r="M34" s="114">
        <v>-154793.4</v>
      </c>
      <c r="N34" s="112" t="s">
        <v>278</v>
      </c>
      <c r="O34" s="112" t="s">
        <v>278</v>
      </c>
      <c r="P34" s="112" t="s">
        <v>420</v>
      </c>
      <c r="Q34" s="112" t="s">
        <v>280</v>
      </c>
      <c r="R34" s="112" t="s">
        <v>281</v>
      </c>
      <c r="S34" s="112" t="s">
        <v>282</v>
      </c>
      <c r="T34" s="112" t="s">
        <v>294</v>
      </c>
      <c r="U34" s="112" t="s">
        <v>295</v>
      </c>
      <c r="V34" s="112" t="s">
        <v>387</v>
      </c>
      <c r="W34" s="112">
        <v>101</v>
      </c>
      <c r="X34" s="112">
        <v>13018</v>
      </c>
      <c r="Y34" s="112">
        <v>245011</v>
      </c>
      <c r="Z34" s="112">
        <v>9999</v>
      </c>
      <c r="AA34" s="112">
        <v>999</v>
      </c>
      <c r="AB34" s="112">
        <v>999</v>
      </c>
      <c r="AC34" s="112">
        <v>9999</v>
      </c>
      <c r="AD34" s="112">
        <v>9999</v>
      </c>
      <c r="AE34" s="112" t="s">
        <v>1</v>
      </c>
      <c r="AF34" s="112" t="s">
        <v>227</v>
      </c>
      <c r="AG34" s="112" t="s">
        <v>227</v>
      </c>
      <c r="AH34" s="112" t="s">
        <v>286</v>
      </c>
      <c r="AJ34" s="112" t="s">
        <v>227</v>
      </c>
      <c r="AK34" s="112">
        <v>46173</v>
      </c>
      <c r="AL34" s="112" t="s">
        <v>287</v>
      </c>
      <c r="AM34" s="112" t="s">
        <v>288</v>
      </c>
    </row>
    <row r="35" spans="1:39" x14ac:dyDescent="0.2">
      <c r="A35" s="116">
        <f t="shared" ca="1" si="0"/>
        <v>48</v>
      </c>
      <c r="B35" s="112" t="str">
        <f ca="1">IFERROR(VLOOKUP(A35,'Aging Formulas'!A:B,2,FALSE),"365+")</f>
        <v>31-60</v>
      </c>
      <c r="D35" s="134" t="s">
        <v>423</v>
      </c>
      <c r="E35" s="112" t="s">
        <v>308</v>
      </c>
      <c r="F35" s="112" t="s">
        <v>18</v>
      </c>
      <c r="G35" s="112" t="s">
        <v>424</v>
      </c>
      <c r="H35" s="112" t="s">
        <v>425</v>
      </c>
      <c r="I35" s="112" t="s">
        <v>20</v>
      </c>
      <c r="J35" s="112" t="s">
        <v>426</v>
      </c>
      <c r="K35" s="114">
        <v>1944891.27</v>
      </c>
      <c r="L35" s="114">
        <v>1944891.27</v>
      </c>
      <c r="M35" s="114">
        <v>1944891.27</v>
      </c>
      <c r="N35" s="112" t="s">
        <v>278</v>
      </c>
      <c r="O35" s="112" t="s">
        <v>278</v>
      </c>
      <c r="P35" s="112" t="s">
        <v>427</v>
      </c>
      <c r="Q35" s="112" t="s">
        <v>280</v>
      </c>
      <c r="R35" s="112" t="s">
        <v>281</v>
      </c>
      <c r="S35" s="112" t="s">
        <v>282</v>
      </c>
      <c r="T35" s="112" t="s">
        <v>283</v>
      </c>
      <c r="U35" s="112" t="s">
        <v>313</v>
      </c>
      <c r="V35" s="112" t="s">
        <v>314</v>
      </c>
      <c r="W35" s="112">
        <v>101</v>
      </c>
      <c r="X35" s="112">
        <v>11002</v>
      </c>
      <c r="Y35" s="112">
        <v>245011</v>
      </c>
      <c r="Z35" s="112">
        <v>9999</v>
      </c>
      <c r="AA35" s="112">
        <v>999</v>
      </c>
      <c r="AB35" s="112">
        <v>999</v>
      </c>
      <c r="AC35" s="112">
        <v>9999</v>
      </c>
      <c r="AD35" s="112">
        <v>9999</v>
      </c>
      <c r="AE35" s="112" t="s">
        <v>1</v>
      </c>
      <c r="AF35" s="112" t="s">
        <v>227</v>
      </c>
      <c r="AG35" s="112" t="s">
        <v>227</v>
      </c>
      <c r="AH35" s="112" t="s">
        <v>286</v>
      </c>
      <c r="AJ35" s="112" t="s">
        <v>227</v>
      </c>
      <c r="AK35" s="112">
        <v>46203</v>
      </c>
      <c r="AL35" s="112" t="s">
        <v>382</v>
      </c>
      <c r="AM35" s="112" t="s">
        <v>288</v>
      </c>
    </row>
    <row r="36" spans="1:39" x14ac:dyDescent="0.2">
      <c r="A36" s="116">
        <f t="shared" ca="1" si="0"/>
        <v>48</v>
      </c>
      <c r="B36" s="112" t="str">
        <f ca="1">IFERROR(VLOOKUP(A36,'Aging Formulas'!A:B,2,FALSE),"365+")</f>
        <v>31-60</v>
      </c>
      <c r="D36" s="134" t="s">
        <v>423</v>
      </c>
      <c r="E36" s="112" t="s">
        <v>308</v>
      </c>
      <c r="F36" s="112" t="s">
        <v>18</v>
      </c>
      <c r="G36" s="112" t="s">
        <v>424</v>
      </c>
      <c r="H36" s="112" t="s">
        <v>425</v>
      </c>
      <c r="I36" s="112" t="s">
        <v>20</v>
      </c>
      <c r="J36" s="112" t="s">
        <v>426</v>
      </c>
      <c r="K36" s="114">
        <v>114526.39999999999</v>
      </c>
      <c r="L36" s="114">
        <v>114526.39999999999</v>
      </c>
      <c r="M36" s="114">
        <v>114526.39999999999</v>
      </c>
      <c r="N36" s="112" t="s">
        <v>278</v>
      </c>
      <c r="O36" s="112" t="s">
        <v>278</v>
      </c>
      <c r="P36" s="112" t="s">
        <v>427</v>
      </c>
      <c r="Q36" s="112" t="s">
        <v>280</v>
      </c>
      <c r="R36" s="112" t="s">
        <v>281</v>
      </c>
      <c r="S36" s="112" t="s">
        <v>282</v>
      </c>
      <c r="T36" s="112" t="s">
        <v>283</v>
      </c>
      <c r="U36" s="112" t="s">
        <v>313</v>
      </c>
      <c r="V36" s="112" t="s">
        <v>314</v>
      </c>
      <c r="W36" s="112">
        <v>101</v>
      </c>
      <c r="X36" s="112">
        <v>11002</v>
      </c>
      <c r="Y36" s="112">
        <v>245011</v>
      </c>
      <c r="Z36" s="112">
        <v>9999</v>
      </c>
      <c r="AA36" s="112">
        <v>999</v>
      </c>
      <c r="AB36" s="112">
        <v>999</v>
      </c>
      <c r="AC36" s="112">
        <v>9999</v>
      </c>
      <c r="AD36" s="112">
        <v>9999</v>
      </c>
      <c r="AE36" s="112" t="s">
        <v>1</v>
      </c>
      <c r="AF36" s="112" t="s">
        <v>227</v>
      </c>
      <c r="AG36" s="112" t="s">
        <v>227</v>
      </c>
      <c r="AH36" s="112" t="s">
        <v>286</v>
      </c>
      <c r="AJ36" s="112" t="s">
        <v>227</v>
      </c>
      <c r="AK36" s="112">
        <v>46203</v>
      </c>
      <c r="AL36" s="112" t="s">
        <v>382</v>
      </c>
      <c r="AM36" s="112" t="s">
        <v>288</v>
      </c>
    </row>
    <row r="37" spans="1:39" x14ac:dyDescent="0.2">
      <c r="A37" s="116">
        <f t="shared" ca="1" si="0"/>
        <v>48</v>
      </c>
      <c r="B37" s="112" t="str">
        <f ca="1">IFERROR(VLOOKUP(A37,'Aging Formulas'!A:B,2,FALSE),"365+")</f>
        <v>31-60</v>
      </c>
      <c r="D37" s="134" t="s">
        <v>423</v>
      </c>
      <c r="E37" s="112" t="s">
        <v>308</v>
      </c>
      <c r="F37" s="112" t="s">
        <v>18</v>
      </c>
      <c r="G37" s="112" t="s">
        <v>424</v>
      </c>
      <c r="H37" s="112" t="s">
        <v>425</v>
      </c>
      <c r="I37" s="112" t="s">
        <v>20</v>
      </c>
      <c r="J37" s="112" t="s">
        <v>426</v>
      </c>
      <c r="K37" s="114">
        <v>236966.21</v>
      </c>
      <c r="L37" s="114">
        <v>236966.21</v>
      </c>
      <c r="M37" s="114">
        <v>236966.21</v>
      </c>
      <c r="N37" s="112" t="s">
        <v>278</v>
      </c>
      <c r="O37" s="112" t="s">
        <v>278</v>
      </c>
      <c r="P37" s="112" t="s">
        <v>427</v>
      </c>
      <c r="Q37" s="112" t="s">
        <v>280</v>
      </c>
      <c r="R37" s="112" t="s">
        <v>281</v>
      </c>
      <c r="S37" s="112" t="s">
        <v>282</v>
      </c>
      <c r="T37" s="112" t="s">
        <v>283</v>
      </c>
      <c r="U37" s="112" t="s">
        <v>313</v>
      </c>
      <c r="V37" s="112" t="s">
        <v>314</v>
      </c>
      <c r="W37" s="112">
        <v>101</v>
      </c>
      <c r="X37" s="112">
        <v>11002</v>
      </c>
      <c r="Y37" s="112">
        <v>245011</v>
      </c>
      <c r="Z37" s="112">
        <v>9999</v>
      </c>
      <c r="AA37" s="112">
        <v>999</v>
      </c>
      <c r="AB37" s="112">
        <v>999</v>
      </c>
      <c r="AC37" s="112">
        <v>9999</v>
      </c>
      <c r="AD37" s="112">
        <v>9999</v>
      </c>
      <c r="AE37" s="112" t="s">
        <v>1</v>
      </c>
      <c r="AF37" s="112" t="s">
        <v>227</v>
      </c>
      <c r="AG37" s="112" t="s">
        <v>227</v>
      </c>
      <c r="AH37" s="112" t="s">
        <v>286</v>
      </c>
      <c r="AJ37" s="112" t="s">
        <v>227</v>
      </c>
      <c r="AK37" s="112">
        <v>46203</v>
      </c>
      <c r="AL37" s="112" t="s">
        <v>382</v>
      </c>
      <c r="AM37" s="112" t="s">
        <v>288</v>
      </c>
    </row>
    <row r="38" spans="1:39" x14ac:dyDescent="0.2">
      <c r="A38" s="116">
        <f t="shared" ca="1" si="0"/>
        <v>48</v>
      </c>
      <c r="B38" s="112" t="str">
        <f ca="1">IFERROR(VLOOKUP(A38,'Aging Formulas'!A:B,2,FALSE),"365+")</f>
        <v>31-60</v>
      </c>
      <c r="D38" s="134" t="s">
        <v>423</v>
      </c>
      <c r="E38" s="112" t="s">
        <v>308</v>
      </c>
      <c r="F38" s="112" t="s">
        <v>18</v>
      </c>
      <c r="G38" s="112" t="s">
        <v>424</v>
      </c>
      <c r="H38" s="112" t="s">
        <v>425</v>
      </c>
      <c r="I38" s="112" t="s">
        <v>20</v>
      </c>
      <c r="J38" s="112" t="s">
        <v>426</v>
      </c>
      <c r="K38" s="114">
        <v>407630.69</v>
      </c>
      <c r="L38" s="114">
        <v>407630.69</v>
      </c>
      <c r="M38" s="114">
        <v>407630.69</v>
      </c>
      <c r="N38" s="112" t="s">
        <v>278</v>
      </c>
      <c r="O38" s="112" t="s">
        <v>278</v>
      </c>
      <c r="P38" s="112" t="s">
        <v>427</v>
      </c>
      <c r="Q38" s="112" t="s">
        <v>280</v>
      </c>
      <c r="R38" s="112" t="s">
        <v>281</v>
      </c>
      <c r="S38" s="112" t="s">
        <v>282</v>
      </c>
      <c r="T38" s="112" t="s">
        <v>283</v>
      </c>
      <c r="U38" s="112" t="s">
        <v>313</v>
      </c>
      <c r="V38" s="112" t="s">
        <v>314</v>
      </c>
      <c r="W38" s="112">
        <v>101</v>
      </c>
      <c r="X38" s="112">
        <v>11002</v>
      </c>
      <c r="Y38" s="112">
        <v>245011</v>
      </c>
      <c r="Z38" s="112">
        <v>9999</v>
      </c>
      <c r="AA38" s="112">
        <v>999</v>
      </c>
      <c r="AB38" s="112">
        <v>999</v>
      </c>
      <c r="AC38" s="112">
        <v>9999</v>
      </c>
      <c r="AD38" s="112">
        <v>9999</v>
      </c>
      <c r="AE38" s="112" t="s">
        <v>1</v>
      </c>
      <c r="AF38" s="112" t="s">
        <v>227</v>
      </c>
      <c r="AG38" s="112" t="s">
        <v>227</v>
      </c>
      <c r="AH38" s="112" t="s">
        <v>286</v>
      </c>
      <c r="AJ38" s="112" t="s">
        <v>227</v>
      </c>
      <c r="AK38" s="112">
        <v>46203</v>
      </c>
      <c r="AL38" s="112" t="s">
        <v>382</v>
      </c>
      <c r="AM38" s="112" t="s">
        <v>288</v>
      </c>
    </row>
    <row r="39" spans="1:39" x14ac:dyDescent="0.2">
      <c r="A39" s="116">
        <f t="shared" ref="A39:A56" ca="1" si="1">TODAY()-AK39</f>
        <v>48</v>
      </c>
      <c r="B39" s="112" t="str">
        <f ca="1">IFERROR(VLOOKUP(A39,'Aging Formulas'!A:B,2,FALSE),"365+")</f>
        <v>31-60</v>
      </c>
      <c r="D39" s="134" t="s">
        <v>423</v>
      </c>
      <c r="E39" s="112" t="s">
        <v>308</v>
      </c>
      <c r="F39" s="112" t="s">
        <v>18</v>
      </c>
      <c r="G39" s="112" t="s">
        <v>424</v>
      </c>
      <c r="H39" s="112" t="s">
        <v>425</v>
      </c>
      <c r="I39" s="112" t="s">
        <v>20</v>
      </c>
      <c r="J39" s="112" t="s">
        <v>426</v>
      </c>
      <c r="K39" s="114">
        <v>752438.1</v>
      </c>
      <c r="L39" s="114">
        <v>752438.1</v>
      </c>
      <c r="M39" s="114">
        <v>752438.1</v>
      </c>
      <c r="N39" s="112" t="s">
        <v>278</v>
      </c>
      <c r="O39" s="112" t="s">
        <v>278</v>
      </c>
      <c r="P39" s="112" t="s">
        <v>427</v>
      </c>
      <c r="Q39" s="112" t="s">
        <v>280</v>
      </c>
      <c r="R39" s="112" t="s">
        <v>281</v>
      </c>
      <c r="S39" s="112" t="s">
        <v>282</v>
      </c>
      <c r="T39" s="112" t="s">
        <v>283</v>
      </c>
      <c r="U39" s="112" t="s">
        <v>313</v>
      </c>
      <c r="V39" s="112" t="s">
        <v>314</v>
      </c>
      <c r="W39" s="112">
        <v>101</v>
      </c>
      <c r="X39" s="112">
        <v>11002</v>
      </c>
      <c r="Y39" s="112">
        <v>245011</v>
      </c>
      <c r="Z39" s="112">
        <v>9999</v>
      </c>
      <c r="AA39" s="112">
        <v>999</v>
      </c>
      <c r="AB39" s="112">
        <v>999</v>
      </c>
      <c r="AC39" s="112">
        <v>9999</v>
      </c>
      <c r="AD39" s="112">
        <v>9999</v>
      </c>
      <c r="AE39" s="112" t="s">
        <v>1</v>
      </c>
      <c r="AF39" s="112" t="s">
        <v>227</v>
      </c>
      <c r="AG39" s="112" t="s">
        <v>227</v>
      </c>
      <c r="AH39" s="112" t="s">
        <v>286</v>
      </c>
      <c r="AJ39" s="112" t="s">
        <v>227</v>
      </c>
      <c r="AK39" s="112">
        <v>46203</v>
      </c>
      <c r="AL39" s="112" t="s">
        <v>382</v>
      </c>
      <c r="AM39" s="112" t="s">
        <v>288</v>
      </c>
    </row>
    <row r="40" spans="1:39" x14ac:dyDescent="0.2">
      <c r="A40" s="116">
        <f t="shared" ca="1" si="1"/>
        <v>48</v>
      </c>
      <c r="B40" s="112" t="str">
        <f ca="1">IFERROR(VLOOKUP(A40,'Aging Formulas'!A:B,2,FALSE),"365+")</f>
        <v>31-60</v>
      </c>
      <c r="D40" s="134" t="s">
        <v>423</v>
      </c>
      <c r="E40" s="112" t="s">
        <v>308</v>
      </c>
      <c r="F40" s="112" t="s">
        <v>18</v>
      </c>
      <c r="G40" s="112" t="s">
        <v>424</v>
      </c>
      <c r="H40" s="112" t="s">
        <v>425</v>
      </c>
      <c r="I40" s="112" t="s">
        <v>20</v>
      </c>
      <c r="J40" s="112" t="s">
        <v>426</v>
      </c>
      <c r="K40" s="114">
        <v>1635248.09</v>
      </c>
      <c r="L40" s="114">
        <v>1635248.09</v>
      </c>
      <c r="M40" s="114">
        <v>1635248.09</v>
      </c>
      <c r="N40" s="112" t="s">
        <v>278</v>
      </c>
      <c r="O40" s="112" t="s">
        <v>278</v>
      </c>
      <c r="P40" s="112" t="s">
        <v>427</v>
      </c>
      <c r="Q40" s="112" t="s">
        <v>280</v>
      </c>
      <c r="R40" s="112" t="s">
        <v>281</v>
      </c>
      <c r="S40" s="112" t="s">
        <v>282</v>
      </c>
      <c r="T40" s="112" t="s">
        <v>283</v>
      </c>
      <c r="U40" s="112" t="s">
        <v>313</v>
      </c>
      <c r="V40" s="112" t="s">
        <v>314</v>
      </c>
      <c r="W40" s="112">
        <v>101</v>
      </c>
      <c r="X40" s="112">
        <v>11002</v>
      </c>
      <c r="Y40" s="112">
        <v>245011</v>
      </c>
      <c r="Z40" s="112">
        <v>9999</v>
      </c>
      <c r="AA40" s="112">
        <v>999</v>
      </c>
      <c r="AB40" s="112">
        <v>999</v>
      </c>
      <c r="AC40" s="112">
        <v>9999</v>
      </c>
      <c r="AD40" s="112">
        <v>9999</v>
      </c>
      <c r="AE40" s="112" t="s">
        <v>1</v>
      </c>
      <c r="AF40" s="112" t="s">
        <v>227</v>
      </c>
      <c r="AG40" s="112" t="s">
        <v>227</v>
      </c>
      <c r="AH40" s="112" t="s">
        <v>286</v>
      </c>
      <c r="AJ40" s="112" t="s">
        <v>227</v>
      </c>
      <c r="AK40" s="112">
        <v>46203</v>
      </c>
      <c r="AL40" s="112" t="s">
        <v>382</v>
      </c>
      <c r="AM40" s="112" t="s">
        <v>288</v>
      </c>
    </row>
    <row r="41" spans="1:39" x14ac:dyDescent="0.2">
      <c r="A41" s="116">
        <f t="shared" ca="1" si="1"/>
        <v>48</v>
      </c>
      <c r="B41" s="112" t="str">
        <f ca="1">IFERROR(VLOOKUP(A41,'Aging Formulas'!A:B,2,FALSE),"365+")</f>
        <v>31-60</v>
      </c>
      <c r="D41" s="134" t="s">
        <v>423</v>
      </c>
      <c r="E41" s="112" t="s">
        <v>308</v>
      </c>
      <c r="F41" s="112" t="s">
        <v>18</v>
      </c>
      <c r="G41" s="112" t="s">
        <v>424</v>
      </c>
      <c r="H41" s="112" t="s">
        <v>425</v>
      </c>
      <c r="I41" s="112" t="s">
        <v>20</v>
      </c>
      <c r="J41" s="112" t="s">
        <v>426</v>
      </c>
      <c r="K41" s="114">
        <v>7035184.2599999998</v>
      </c>
      <c r="L41" s="114">
        <v>7035184.2599999998</v>
      </c>
      <c r="M41" s="114">
        <v>7035184.2599999998</v>
      </c>
      <c r="N41" s="112" t="s">
        <v>278</v>
      </c>
      <c r="O41" s="112" t="s">
        <v>278</v>
      </c>
      <c r="P41" s="112" t="s">
        <v>427</v>
      </c>
      <c r="Q41" s="112" t="s">
        <v>280</v>
      </c>
      <c r="R41" s="112" t="s">
        <v>281</v>
      </c>
      <c r="S41" s="112" t="s">
        <v>282</v>
      </c>
      <c r="T41" s="112" t="s">
        <v>283</v>
      </c>
      <c r="U41" s="112" t="s">
        <v>313</v>
      </c>
      <c r="V41" s="112" t="s">
        <v>314</v>
      </c>
      <c r="W41" s="112">
        <v>101</v>
      </c>
      <c r="X41" s="112">
        <v>11002</v>
      </c>
      <c r="Y41" s="112">
        <v>245011</v>
      </c>
      <c r="Z41" s="112">
        <v>9999</v>
      </c>
      <c r="AA41" s="112">
        <v>999</v>
      </c>
      <c r="AB41" s="112">
        <v>999</v>
      </c>
      <c r="AC41" s="112">
        <v>9999</v>
      </c>
      <c r="AD41" s="112">
        <v>9999</v>
      </c>
      <c r="AE41" s="112" t="s">
        <v>1</v>
      </c>
      <c r="AF41" s="112" t="s">
        <v>227</v>
      </c>
      <c r="AG41" s="112" t="s">
        <v>227</v>
      </c>
      <c r="AH41" s="112" t="s">
        <v>286</v>
      </c>
      <c r="AJ41" s="112" t="s">
        <v>227</v>
      </c>
      <c r="AK41" s="112">
        <v>46203</v>
      </c>
      <c r="AL41" s="112" t="s">
        <v>382</v>
      </c>
      <c r="AM41" s="112" t="s">
        <v>288</v>
      </c>
    </row>
    <row r="42" spans="1:39" x14ac:dyDescent="0.2">
      <c r="A42" s="116">
        <f t="shared" ca="1" si="1"/>
        <v>48</v>
      </c>
      <c r="B42" s="112" t="str">
        <f ca="1">IFERROR(VLOOKUP(A42,'Aging Formulas'!A:B,2,FALSE),"365+")</f>
        <v>31-60</v>
      </c>
      <c r="D42" s="134" t="s">
        <v>423</v>
      </c>
      <c r="E42" s="112" t="s">
        <v>308</v>
      </c>
      <c r="F42" s="112" t="s">
        <v>18</v>
      </c>
      <c r="G42" s="112" t="s">
        <v>424</v>
      </c>
      <c r="H42" s="112" t="s">
        <v>425</v>
      </c>
      <c r="I42" s="112" t="s">
        <v>20</v>
      </c>
      <c r="J42" s="112" t="s">
        <v>426</v>
      </c>
      <c r="K42" s="114">
        <v>2437.29</v>
      </c>
      <c r="L42" s="114">
        <v>2437.29</v>
      </c>
      <c r="M42" s="114">
        <v>2437.29</v>
      </c>
      <c r="N42" s="112" t="s">
        <v>278</v>
      </c>
      <c r="O42" s="112" t="s">
        <v>278</v>
      </c>
      <c r="P42" s="112" t="s">
        <v>427</v>
      </c>
      <c r="Q42" s="112" t="s">
        <v>280</v>
      </c>
      <c r="R42" s="112" t="s">
        <v>281</v>
      </c>
      <c r="S42" s="112" t="s">
        <v>282</v>
      </c>
      <c r="T42" s="112" t="s">
        <v>283</v>
      </c>
      <c r="U42" s="112" t="s">
        <v>313</v>
      </c>
      <c r="V42" s="112" t="s">
        <v>314</v>
      </c>
      <c r="W42" s="112">
        <v>101</v>
      </c>
      <c r="X42" s="112">
        <v>11002</v>
      </c>
      <c r="Y42" s="112">
        <v>245011</v>
      </c>
      <c r="Z42" s="112">
        <v>9999</v>
      </c>
      <c r="AA42" s="112">
        <v>999</v>
      </c>
      <c r="AB42" s="112">
        <v>999</v>
      </c>
      <c r="AC42" s="112">
        <v>9999</v>
      </c>
      <c r="AD42" s="112">
        <v>9999</v>
      </c>
      <c r="AE42" s="112" t="s">
        <v>1</v>
      </c>
      <c r="AF42" s="112" t="s">
        <v>227</v>
      </c>
      <c r="AG42" s="112" t="s">
        <v>227</v>
      </c>
      <c r="AH42" s="112" t="s">
        <v>286</v>
      </c>
      <c r="AJ42" s="112" t="s">
        <v>227</v>
      </c>
      <c r="AK42" s="112">
        <v>46203</v>
      </c>
      <c r="AL42" s="112" t="s">
        <v>382</v>
      </c>
      <c r="AM42" s="112" t="s">
        <v>288</v>
      </c>
    </row>
    <row r="43" spans="1:39" x14ac:dyDescent="0.2">
      <c r="A43" s="116">
        <f t="shared" ca="1" si="1"/>
        <v>48</v>
      </c>
      <c r="B43" s="112" t="str">
        <f ca="1">IFERROR(VLOOKUP(A43,'Aging Formulas'!A:B,2,FALSE),"365+")</f>
        <v>31-60</v>
      </c>
      <c r="D43" s="134" t="s">
        <v>423</v>
      </c>
      <c r="E43" s="112" t="s">
        <v>308</v>
      </c>
      <c r="F43" s="112" t="s">
        <v>18</v>
      </c>
      <c r="G43" s="112" t="s">
        <v>424</v>
      </c>
      <c r="H43" s="112" t="s">
        <v>425</v>
      </c>
      <c r="I43" s="112" t="s">
        <v>20</v>
      </c>
      <c r="J43" s="112" t="s">
        <v>426</v>
      </c>
      <c r="K43" s="114">
        <v>2993.57</v>
      </c>
      <c r="L43" s="114">
        <v>2993.57</v>
      </c>
      <c r="M43" s="114">
        <v>2993.57</v>
      </c>
      <c r="N43" s="112" t="s">
        <v>278</v>
      </c>
      <c r="O43" s="112" t="s">
        <v>278</v>
      </c>
      <c r="P43" s="112" t="s">
        <v>427</v>
      </c>
      <c r="Q43" s="112" t="s">
        <v>280</v>
      </c>
      <c r="R43" s="112" t="s">
        <v>281</v>
      </c>
      <c r="S43" s="112" t="s">
        <v>282</v>
      </c>
      <c r="T43" s="112" t="s">
        <v>283</v>
      </c>
      <c r="U43" s="112" t="s">
        <v>313</v>
      </c>
      <c r="V43" s="112" t="s">
        <v>314</v>
      </c>
      <c r="W43" s="112">
        <v>101</v>
      </c>
      <c r="X43" s="112">
        <v>11002</v>
      </c>
      <c r="Y43" s="112">
        <v>245011</v>
      </c>
      <c r="Z43" s="112">
        <v>9999</v>
      </c>
      <c r="AA43" s="112">
        <v>999</v>
      </c>
      <c r="AB43" s="112">
        <v>999</v>
      </c>
      <c r="AC43" s="112">
        <v>9999</v>
      </c>
      <c r="AD43" s="112">
        <v>9999</v>
      </c>
      <c r="AE43" s="112" t="s">
        <v>1</v>
      </c>
      <c r="AF43" s="112" t="s">
        <v>227</v>
      </c>
      <c r="AG43" s="112" t="s">
        <v>227</v>
      </c>
      <c r="AH43" s="112" t="s">
        <v>286</v>
      </c>
      <c r="AJ43" s="112" t="s">
        <v>227</v>
      </c>
      <c r="AK43" s="112">
        <v>46203</v>
      </c>
      <c r="AL43" s="112" t="s">
        <v>382</v>
      </c>
      <c r="AM43" s="112" t="s">
        <v>288</v>
      </c>
    </row>
    <row r="44" spans="1:39" x14ac:dyDescent="0.2">
      <c r="A44" s="116">
        <f t="shared" ca="1" si="1"/>
        <v>48</v>
      </c>
      <c r="B44" s="112" t="str">
        <f ca="1">IFERROR(VLOOKUP(A44,'Aging Formulas'!A:B,2,FALSE),"365+")</f>
        <v>31-60</v>
      </c>
      <c r="D44" s="134" t="s">
        <v>423</v>
      </c>
      <c r="E44" s="112" t="s">
        <v>308</v>
      </c>
      <c r="F44" s="112" t="s">
        <v>18</v>
      </c>
      <c r="G44" s="112" t="s">
        <v>424</v>
      </c>
      <c r="H44" s="112" t="s">
        <v>425</v>
      </c>
      <c r="I44" s="112" t="s">
        <v>20</v>
      </c>
      <c r="J44" s="112" t="s">
        <v>426</v>
      </c>
      <c r="K44" s="114">
        <v>14191.98</v>
      </c>
      <c r="L44" s="114">
        <v>14191.98</v>
      </c>
      <c r="M44" s="114">
        <v>14191.98</v>
      </c>
      <c r="N44" s="112" t="s">
        <v>278</v>
      </c>
      <c r="O44" s="112" t="s">
        <v>278</v>
      </c>
      <c r="P44" s="112" t="s">
        <v>427</v>
      </c>
      <c r="Q44" s="112" t="s">
        <v>280</v>
      </c>
      <c r="R44" s="112" t="s">
        <v>281</v>
      </c>
      <c r="S44" s="112" t="s">
        <v>282</v>
      </c>
      <c r="T44" s="112" t="s">
        <v>283</v>
      </c>
      <c r="U44" s="112" t="s">
        <v>313</v>
      </c>
      <c r="V44" s="112" t="s">
        <v>314</v>
      </c>
      <c r="W44" s="112">
        <v>101</v>
      </c>
      <c r="X44" s="112">
        <v>11002</v>
      </c>
      <c r="Y44" s="112">
        <v>245011</v>
      </c>
      <c r="Z44" s="112">
        <v>9999</v>
      </c>
      <c r="AA44" s="112">
        <v>999</v>
      </c>
      <c r="AB44" s="112">
        <v>999</v>
      </c>
      <c r="AC44" s="112">
        <v>9999</v>
      </c>
      <c r="AD44" s="112">
        <v>9999</v>
      </c>
      <c r="AE44" s="112" t="s">
        <v>1</v>
      </c>
      <c r="AF44" s="112" t="s">
        <v>227</v>
      </c>
      <c r="AG44" s="112" t="s">
        <v>227</v>
      </c>
      <c r="AH44" s="112" t="s">
        <v>286</v>
      </c>
      <c r="AJ44" s="112" t="s">
        <v>227</v>
      </c>
      <c r="AK44" s="112">
        <v>46203</v>
      </c>
      <c r="AL44" s="112" t="s">
        <v>382</v>
      </c>
      <c r="AM44" s="112" t="s">
        <v>288</v>
      </c>
    </row>
    <row r="45" spans="1:39" x14ac:dyDescent="0.2">
      <c r="A45" s="116">
        <f t="shared" ca="1" si="1"/>
        <v>48</v>
      </c>
      <c r="B45" s="112" t="str">
        <f ca="1">IFERROR(VLOOKUP(A45,'Aging Formulas'!A:B,2,FALSE),"365+")</f>
        <v>31-60</v>
      </c>
      <c r="D45" s="134" t="s">
        <v>428</v>
      </c>
      <c r="E45" s="112" t="s">
        <v>308</v>
      </c>
      <c r="F45" s="112" t="s">
        <v>39</v>
      </c>
      <c r="G45" s="112" t="s">
        <v>429</v>
      </c>
      <c r="H45" s="112" t="s">
        <v>430</v>
      </c>
      <c r="I45" s="112" t="s">
        <v>36</v>
      </c>
      <c r="J45" s="112" t="s">
        <v>426</v>
      </c>
      <c r="K45" s="114">
        <v>708600</v>
      </c>
      <c r="L45" s="114">
        <v>708600</v>
      </c>
      <c r="M45" s="114">
        <v>708600</v>
      </c>
      <c r="N45" s="112" t="s">
        <v>278</v>
      </c>
      <c r="O45" s="112" t="s">
        <v>278</v>
      </c>
      <c r="P45" s="112" t="s">
        <v>431</v>
      </c>
      <c r="Q45" s="112" t="s">
        <v>431</v>
      </c>
      <c r="R45" s="112" t="s">
        <v>281</v>
      </c>
      <c r="S45" s="112" t="s">
        <v>282</v>
      </c>
      <c r="T45" s="112" t="s">
        <v>283</v>
      </c>
      <c r="U45" s="112" t="s">
        <v>366</v>
      </c>
      <c r="V45" s="112" t="s">
        <v>432</v>
      </c>
      <c r="W45" s="112">
        <v>101</v>
      </c>
      <c r="X45" s="112">
        <v>12013</v>
      </c>
      <c r="Y45" s="112">
        <v>245011</v>
      </c>
      <c r="Z45" s="112">
        <v>9999</v>
      </c>
      <c r="AA45" s="112">
        <v>950</v>
      </c>
      <c r="AB45" s="112">
        <v>999</v>
      </c>
      <c r="AC45" s="112">
        <v>9999</v>
      </c>
      <c r="AD45" s="112">
        <v>9999</v>
      </c>
      <c r="AE45" s="112" t="s">
        <v>1</v>
      </c>
      <c r="AF45" s="112" t="s">
        <v>433</v>
      </c>
      <c r="AG45" s="112" t="s">
        <v>227</v>
      </c>
      <c r="AH45" s="112" t="s">
        <v>286</v>
      </c>
      <c r="AJ45" s="112" t="s">
        <v>227</v>
      </c>
      <c r="AK45" s="112">
        <v>46203</v>
      </c>
      <c r="AL45" s="112" t="s">
        <v>315</v>
      </c>
      <c r="AM45" s="112" t="s">
        <v>288</v>
      </c>
    </row>
    <row r="46" spans="1:39" x14ac:dyDescent="0.2">
      <c r="A46" s="116">
        <f t="shared" ca="1" si="1"/>
        <v>48</v>
      </c>
      <c r="B46" s="112" t="str">
        <f ca="1">IFERROR(VLOOKUP(A46,'Aging Formulas'!A:B,2,FALSE),"365+")</f>
        <v>31-60</v>
      </c>
      <c r="D46" s="134" t="s">
        <v>434</v>
      </c>
      <c r="E46" s="112" t="s">
        <v>290</v>
      </c>
      <c r="F46" s="112" t="s">
        <v>37</v>
      </c>
      <c r="G46" s="112" t="s">
        <v>435</v>
      </c>
      <c r="H46" s="112" t="s">
        <v>436</v>
      </c>
      <c r="I46" s="112" t="s">
        <v>16</v>
      </c>
      <c r="J46" s="112" t="s">
        <v>426</v>
      </c>
      <c r="K46" s="114">
        <v>903087.96</v>
      </c>
      <c r="L46" s="114">
        <v>903087.96</v>
      </c>
      <c r="M46" s="114">
        <v>903087.96</v>
      </c>
      <c r="N46" s="112" t="s">
        <v>278</v>
      </c>
      <c r="O46" s="112" t="s">
        <v>278</v>
      </c>
      <c r="P46" s="112" t="s">
        <v>437</v>
      </c>
      <c r="Q46" s="112" t="s">
        <v>280</v>
      </c>
      <c r="R46" s="112" t="s">
        <v>281</v>
      </c>
      <c r="S46" s="112" t="s">
        <v>282</v>
      </c>
      <c r="T46" s="112" t="s">
        <v>294</v>
      </c>
      <c r="U46" s="112" t="s">
        <v>305</v>
      </c>
      <c r="V46" s="112" t="s">
        <v>438</v>
      </c>
      <c r="W46" s="112">
        <v>101</v>
      </c>
      <c r="X46" s="112">
        <v>13001</v>
      </c>
      <c r="Y46" s="112">
        <v>245011</v>
      </c>
      <c r="Z46" s="112">
        <v>9999</v>
      </c>
      <c r="AA46" s="112">
        <v>999</v>
      </c>
      <c r="AB46" s="112">
        <v>999</v>
      </c>
      <c r="AC46" s="112">
        <v>9999</v>
      </c>
      <c r="AD46" s="112">
        <v>9999</v>
      </c>
      <c r="AE46" s="112" t="s">
        <v>1</v>
      </c>
      <c r="AF46" s="112" t="s">
        <v>227</v>
      </c>
      <c r="AG46" s="112" t="s">
        <v>227</v>
      </c>
      <c r="AH46" s="112" t="s">
        <v>286</v>
      </c>
      <c r="AJ46" s="112" t="s">
        <v>227</v>
      </c>
      <c r="AK46" s="112">
        <v>46203</v>
      </c>
      <c r="AL46" s="112" t="s">
        <v>287</v>
      </c>
      <c r="AM46" s="112" t="s">
        <v>288</v>
      </c>
    </row>
    <row r="47" spans="1:39" x14ac:dyDescent="0.2">
      <c r="A47" s="116">
        <f t="shared" ca="1" si="1"/>
        <v>48</v>
      </c>
      <c r="B47" s="112" t="str">
        <f ca="1">IFERROR(VLOOKUP(A47,'Aging Formulas'!A:B,2,FALSE),"365+")</f>
        <v>31-60</v>
      </c>
      <c r="D47" s="134" t="s">
        <v>439</v>
      </c>
      <c r="E47" s="112" t="s">
        <v>308</v>
      </c>
      <c r="F47" s="112" t="s">
        <v>38</v>
      </c>
      <c r="G47" s="112" t="s">
        <v>440</v>
      </c>
      <c r="H47" s="112" t="s">
        <v>441</v>
      </c>
      <c r="I47" s="112" t="s">
        <v>16</v>
      </c>
      <c r="J47" s="112" t="s">
        <v>426</v>
      </c>
      <c r="K47" s="114">
        <v>-3885876.2</v>
      </c>
      <c r="L47" s="114">
        <v>-3885876.2</v>
      </c>
      <c r="M47" s="114">
        <v>-3885876.2</v>
      </c>
      <c r="N47" s="112" t="s">
        <v>278</v>
      </c>
      <c r="O47" s="112" t="s">
        <v>278</v>
      </c>
      <c r="P47" s="112" t="s">
        <v>442</v>
      </c>
      <c r="Q47" s="112" t="s">
        <v>280</v>
      </c>
      <c r="R47" s="112" t="s">
        <v>281</v>
      </c>
      <c r="S47" s="112" t="s">
        <v>282</v>
      </c>
      <c r="T47" s="112" t="s">
        <v>283</v>
      </c>
      <c r="U47" s="112" t="s">
        <v>313</v>
      </c>
      <c r="V47" s="112" t="s">
        <v>443</v>
      </c>
      <c r="W47" s="112">
        <v>101</v>
      </c>
      <c r="X47" s="112">
        <v>11023</v>
      </c>
      <c r="Y47" s="112">
        <v>245011</v>
      </c>
      <c r="Z47" s="112">
        <v>9999</v>
      </c>
      <c r="AA47" s="112">
        <v>999</v>
      </c>
      <c r="AB47" s="112">
        <v>999</v>
      </c>
      <c r="AC47" s="112">
        <v>9999</v>
      </c>
      <c r="AD47" s="112">
        <v>9999</v>
      </c>
      <c r="AE47" s="112" t="s">
        <v>1</v>
      </c>
      <c r="AF47" s="112" t="s">
        <v>227</v>
      </c>
      <c r="AG47" s="112" t="s">
        <v>227</v>
      </c>
      <c r="AH47" s="112" t="s">
        <v>286</v>
      </c>
      <c r="AJ47" s="112" t="s">
        <v>227</v>
      </c>
      <c r="AK47" s="112">
        <v>46203</v>
      </c>
      <c r="AL47" s="112" t="s">
        <v>382</v>
      </c>
      <c r="AM47" s="112" t="s">
        <v>288</v>
      </c>
    </row>
    <row r="48" spans="1:39" x14ac:dyDescent="0.2">
      <c r="A48" s="116">
        <f t="shared" ca="1" si="1"/>
        <v>48</v>
      </c>
      <c r="B48" s="112" t="str">
        <f ca="1">IFERROR(VLOOKUP(A48,'Aging Formulas'!A:B,2,FALSE),"365+")</f>
        <v>31-60</v>
      </c>
      <c r="D48" s="134" t="s">
        <v>423</v>
      </c>
      <c r="E48" s="112" t="s">
        <v>308</v>
      </c>
      <c r="F48" s="112" t="s">
        <v>18</v>
      </c>
      <c r="G48" s="112" t="s">
        <v>444</v>
      </c>
      <c r="H48" s="112" t="s">
        <v>445</v>
      </c>
      <c r="I48" s="112" t="s">
        <v>16</v>
      </c>
      <c r="J48" s="112" t="s">
        <v>426</v>
      </c>
      <c r="K48" s="114">
        <v>-19716352.260000002</v>
      </c>
      <c r="L48" s="114">
        <v>-19716352.260000002</v>
      </c>
      <c r="M48" s="114">
        <v>-19716352.260000002</v>
      </c>
      <c r="N48" s="112" t="s">
        <v>278</v>
      </c>
      <c r="O48" s="112" t="s">
        <v>278</v>
      </c>
      <c r="P48" s="112" t="s">
        <v>446</v>
      </c>
      <c r="Q48" s="112" t="s">
        <v>280</v>
      </c>
      <c r="R48" s="112" t="s">
        <v>281</v>
      </c>
      <c r="S48" s="112" t="s">
        <v>282</v>
      </c>
      <c r="T48" s="112" t="s">
        <v>283</v>
      </c>
      <c r="U48" s="112" t="s">
        <v>313</v>
      </c>
      <c r="V48" s="112" t="s">
        <v>314</v>
      </c>
      <c r="W48" s="112">
        <v>101</v>
      </c>
      <c r="X48" s="112">
        <v>11002</v>
      </c>
      <c r="Y48" s="112">
        <v>245011</v>
      </c>
      <c r="Z48" s="112">
        <v>9999</v>
      </c>
      <c r="AA48" s="112">
        <v>999</v>
      </c>
      <c r="AB48" s="112">
        <v>999</v>
      </c>
      <c r="AC48" s="112">
        <v>9999</v>
      </c>
      <c r="AD48" s="112">
        <v>9999</v>
      </c>
      <c r="AE48" s="112" t="s">
        <v>1</v>
      </c>
      <c r="AF48" s="112" t="s">
        <v>227</v>
      </c>
      <c r="AG48" s="112" t="s">
        <v>227</v>
      </c>
      <c r="AH48" s="112" t="s">
        <v>286</v>
      </c>
      <c r="AJ48" s="112" t="s">
        <v>227</v>
      </c>
      <c r="AK48" s="112">
        <v>46203</v>
      </c>
      <c r="AL48" s="112" t="s">
        <v>382</v>
      </c>
      <c r="AM48" s="112" t="s">
        <v>288</v>
      </c>
    </row>
    <row r="49" spans="1:39" x14ac:dyDescent="0.2">
      <c r="A49" s="116">
        <f t="shared" ca="1" si="1"/>
        <v>48</v>
      </c>
      <c r="B49" s="112" t="str">
        <f ca="1">IFERROR(VLOOKUP(A49,'Aging Formulas'!A:B,2,FALSE),"365+")</f>
        <v>31-60</v>
      </c>
      <c r="D49" s="134" t="s">
        <v>447</v>
      </c>
      <c r="E49" s="112" t="s">
        <v>290</v>
      </c>
      <c r="F49" s="112" t="s">
        <v>14</v>
      </c>
      <c r="G49" s="112" t="s">
        <v>448</v>
      </c>
      <c r="H49" s="112" t="s">
        <v>449</v>
      </c>
      <c r="I49" s="112" t="s">
        <v>16</v>
      </c>
      <c r="J49" s="112" t="s">
        <v>426</v>
      </c>
      <c r="K49" s="114">
        <v>-468289.33</v>
      </c>
      <c r="L49" s="114">
        <v>-468289.33</v>
      </c>
      <c r="M49" s="114">
        <v>-468289.33</v>
      </c>
      <c r="N49" s="112" t="s">
        <v>278</v>
      </c>
      <c r="O49" s="112" t="s">
        <v>278</v>
      </c>
      <c r="P49" s="112" t="s">
        <v>450</v>
      </c>
      <c r="Q49" s="112" t="s">
        <v>280</v>
      </c>
      <c r="R49" s="112" t="s">
        <v>281</v>
      </c>
      <c r="S49" s="112" t="s">
        <v>282</v>
      </c>
      <c r="T49" s="112" t="s">
        <v>294</v>
      </c>
      <c r="U49" s="112" t="s">
        <v>305</v>
      </c>
      <c r="V49" s="112" t="s">
        <v>306</v>
      </c>
      <c r="W49" s="112">
        <v>101</v>
      </c>
      <c r="X49" s="112">
        <v>13016</v>
      </c>
      <c r="Y49" s="112">
        <v>245011</v>
      </c>
      <c r="Z49" s="112">
        <v>9999</v>
      </c>
      <c r="AA49" s="112">
        <v>999</v>
      </c>
      <c r="AB49" s="112">
        <v>999</v>
      </c>
      <c r="AC49" s="112">
        <v>9999</v>
      </c>
      <c r="AD49" s="112">
        <v>9999</v>
      </c>
      <c r="AE49" s="112" t="s">
        <v>1</v>
      </c>
      <c r="AF49" s="112" t="s">
        <v>227</v>
      </c>
      <c r="AG49" s="112" t="s">
        <v>227</v>
      </c>
      <c r="AH49" s="112" t="s">
        <v>286</v>
      </c>
      <c r="AJ49" s="112" t="s">
        <v>227</v>
      </c>
      <c r="AK49" s="112">
        <v>46203</v>
      </c>
      <c r="AL49" s="112" t="s">
        <v>287</v>
      </c>
      <c r="AM49" s="112" t="s">
        <v>288</v>
      </c>
    </row>
    <row r="50" spans="1:39" x14ac:dyDescent="0.2">
      <c r="A50" s="116">
        <f t="shared" ca="1" si="1"/>
        <v>17</v>
      </c>
      <c r="B50" s="112" t="str">
        <f ca="1">IFERROR(VLOOKUP(A50,'Aging Formulas'!A:B,2,FALSE),"365+")</f>
        <v>0-30</v>
      </c>
      <c r="D50" s="134" t="s">
        <v>451</v>
      </c>
      <c r="E50" s="112" t="s">
        <v>290</v>
      </c>
      <c r="F50" s="112" t="s">
        <v>30</v>
      </c>
      <c r="G50" s="112" t="s">
        <v>452</v>
      </c>
      <c r="H50" s="112" t="s">
        <v>453</v>
      </c>
      <c r="I50" s="112" t="s">
        <v>12</v>
      </c>
      <c r="J50" s="112" t="s">
        <v>454</v>
      </c>
      <c r="K50" s="114">
        <v>987907.41</v>
      </c>
      <c r="L50" s="114">
        <v>987907.41</v>
      </c>
      <c r="M50" s="114">
        <v>987907.41</v>
      </c>
      <c r="N50" s="112" t="s">
        <v>278</v>
      </c>
      <c r="O50" s="112" t="s">
        <v>278</v>
      </c>
      <c r="P50" s="112" t="s">
        <v>451</v>
      </c>
      <c r="Q50" s="112" t="s">
        <v>280</v>
      </c>
      <c r="R50" s="112" t="s">
        <v>281</v>
      </c>
      <c r="S50" s="112" t="s">
        <v>282</v>
      </c>
      <c r="T50" s="112" t="s">
        <v>294</v>
      </c>
      <c r="U50" s="112" t="s">
        <v>295</v>
      </c>
      <c r="V50" s="112" t="s">
        <v>376</v>
      </c>
      <c r="W50" s="112">
        <v>101</v>
      </c>
      <c r="X50" s="112">
        <v>13018</v>
      </c>
      <c r="Y50" s="112">
        <v>245011</v>
      </c>
      <c r="Z50" s="112">
        <v>9999</v>
      </c>
      <c r="AA50" s="112">
        <v>950</v>
      </c>
      <c r="AB50" s="112">
        <v>999</v>
      </c>
      <c r="AC50" s="112">
        <v>9999</v>
      </c>
      <c r="AD50" s="112">
        <v>9999</v>
      </c>
      <c r="AE50" s="112" t="s">
        <v>1</v>
      </c>
      <c r="AF50" s="112" t="s">
        <v>455</v>
      </c>
      <c r="AG50" s="112" t="s">
        <v>227</v>
      </c>
      <c r="AH50" s="112" t="s">
        <v>286</v>
      </c>
      <c r="AJ50" s="112" t="s">
        <v>227</v>
      </c>
      <c r="AK50" s="112">
        <v>46234</v>
      </c>
      <c r="AL50" s="112" t="s">
        <v>315</v>
      </c>
      <c r="AM50" s="112" t="s">
        <v>288</v>
      </c>
    </row>
    <row r="51" spans="1:39" x14ac:dyDescent="0.2">
      <c r="A51" s="116">
        <f t="shared" ca="1" si="1"/>
        <v>17</v>
      </c>
      <c r="B51" s="112" t="str">
        <f ca="1">IFERROR(VLOOKUP(A51,'Aging Formulas'!A:B,2,FALSE),"365+")</f>
        <v>0-30</v>
      </c>
      <c r="D51" s="134" t="s">
        <v>451</v>
      </c>
      <c r="E51" s="112" t="s">
        <v>290</v>
      </c>
      <c r="F51" s="112" t="s">
        <v>30</v>
      </c>
      <c r="G51" s="112" t="s">
        <v>452</v>
      </c>
      <c r="H51" s="112" t="s">
        <v>453</v>
      </c>
      <c r="I51" s="112" t="s">
        <v>12</v>
      </c>
      <c r="J51" s="112" t="s">
        <v>454</v>
      </c>
      <c r="K51" s="114">
        <v>2390407.41</v>
      </c>
      <c r="L51" s="114">
        <v>2390407.41</v>
      </c>
      <c r="M51" s="114">
        <v>2390407.41</v>
      </c>
      <c r="N51" s="112" t="s">
        <v>278</v>
      </c>
      <c r="O51" s="112" t="s">
        <v>278</v>
      </c>
      <c r="P51" s="112" t="s">
        <v>451</v>
      </c>
      <c r="Q51" s="112" t="s">
        <v>280</v>
      </c>
      <c r="R51" s="112" t="s">
        <v>281</v>
      </c>
      <c r="S51" s="112" t="s">
        <v>282</v>
      </c>
      <c r="T51" s="112" t="s">
        <v>294</v>
      </c>
      <c r="U51" s="112" t="s">
        <v>295</v>
      </c>
      <c r="V51" s="112" t="s">
        <v>376</v>
      </c>
      <c r="W51" s="112">
        <v>101</v>
      </c>
      <c r="X51" s="112">
        <v>13018</v>
      </c>
      <c r="Y51" s="112">
        <v>245011</v>
      </c>
      <c r="Z51" s="112">
        <v>9999</v>
      </c>
      <c r="AA51" s="112">
        <v>950</v>
      </c>
      <c r="AB51" s="112">
        <v>999</v>
      </c>
      <c r="AC51" s="112">
        <v>9999</v>
      </c>
      <c r="AD51" s="112">
        <v>9999</v>
      </c>
      <c r="AE51" s="112" t="s">
        <v>1</v>
      </c>
      <c r="AF51" s="112" t="s">
        <v>455</v>
      </c>
      <c r="AG51" s="112" t="s">
        <v>227</v>
      </c>
      <c r="AH51" s="112" t="s">
        <v>286</v>
      </c>
      <c r="AJ51" s="112" t="s">
        <v>227</v>
      </c>
      <c r="AK51" s="112">
        <v>46234</v>
      </c>
      <c r="AL51" s="112" t="s">
        <v>315</v>
      </c>
      <c r="AM51" s="112" t="s">
        <v>288</v>
      </c>
    </row>
    <row r="52" spans="1:39" x14ac:dyDescent="0.2">
      <c r="A52" s="116">
        <f t="shared" ca="1" si="1"/>
        <v>17</v>
      </c>
      <c r="B52" s="112" t="str">
        <f ca="1">IFERROR(VLOOKUP(A52,'Aging Formulas'!A:B,2,FALSE),"365+")</f>
        <v>0-30</v>
      </c>
      <c r="D52" s="134" t="s">
        <v>451</v>
      </c>
      <c r="E52" s="112" t="s">
        <v>290</v>
      </c>
      <c r="F52" s="112" t="s">
        <v>30</v>
      </c>
      <c r="G52" s="112" t="s">
        <v>452</v>
      </c>
      <c r="H52" s="112" t="s">
        <v>453</v>
      </c>
      <c r="I52" s="112" t="s">
        <v>12</v>
      </c>
      <c r="J52" s="112" t="s">
        <v>454</v>
      </c>
      <c r="K52" s="114">
        <v>3258457.64</v>
      </c>
      <c r="L52" s="114">
        <v>3258457.64</v>
      </c>
      <c r="M52" s="114">
        <v>3258457.64</v>
      </c>
      <c r="N52" s="112" t="s">
        <v>278</v>
      </c>
      <c r="O52" s="112" t="s">
        <v>278</v>
      </c>
      <c r="P52" s="112" t="s">
        <v>451</v>
      </c>
      <c r="Q52" s="112" t="s">
        <v>280</v>
      </c>
      <c r="R52" s="112" t="s">
        <v>281</v>
      </c>
      <c r="S52" s="112" t="s">
        <v>282</v>
      </c>
      <c r="T52" s="112" t="s">
        <v>294</v>
      </c>
      <c r="U52" s="112" t="s">
        <v>295</v>
      </c>
      <c r="V52" s="112" t="s">
        <v>376</v>
      </c>
      <c r="W52" s="112">
        <v>101</v>
      </c>
      <c r="X52" s="112">
        <v>13018</v>
      </c>
      <c r="Y52" s="112">
        <v>245011</v>
      </c>
      <c r="Z52" s="112">
        <v>9999</v>
      </c>
      <c r="AA52" s="112">
        <v>950</v>
      </c>
      <c r="AB52" s="112">
        <v>999</v>
      </c>
      <c r="AC52" s="112">
        <v>9999</v>
      </c>
      <c r="AD52" s="112">
        <v>9999</v>
      </c>
      <c r="AE52" s="112" t="s">
        <v>1</v>
      </c>
      <c r="AF52" s="112" t="s">
        <v>455</v>
      </c>
      <c r="AG52" s="112" t="s">
        <v>227</v>
      </c>
      <c r="AH52" s="112" t="s">
        <v>286</v>
      </c>
      <c r="AJ52" s="112" t="s">
        <v>227</v>
      </c>
      <c r="AK52" s="112">
        <v>46234</v>
      </c>
      <c r="AL52" s="112" t="s">
        <v>315</v>
      </c>
      <c r="AM52" s="112" t="s">
        <v>288</v>
      </c>
    </row>
    <row r="53" spans="1:39" x14ac:dyDescent="0.2">
      <c r="A53" s="116">
        <f t="shared" ca="1" si="1"/>
        <v>17</v>
      </c>
      <c r="B53" s="112" t="str">
        <f ca="1">IFERROR(VLOOKUP(A53,'Aging Formulas'!A:B,2,FALSE),"365+")</f>
        <v>0-30</v>
      </c>
      <c r="D53" s="134" t="s">
        <v>451</v>
      </c>
      <c r="E53" s="112" t="s">
        <v>290</v>
      </c>
      <c r="F53" s="112" t="s">
        <v>30</v>
      </c>
      <c r="G53" s="112" t="s">
        <v>452</v>
      </c>
      <c r="H53" s="112" t="s">
        <v>453</v>
      </c>
      <c r="I53" s="112" t="s">
        <v>12</v>
      </c>
      <c r="J53" s="112" t="s">
        <v>454</v>
      </c>
      <c r="K53" s="114">
        <v>92400</v>
      </c>
      <c r="L53" s="114">
        <v>92400</v>
      </c>
      <c r="M53" s="114">
        <v>92400</v>
      </c>
      <c r="N53" s="112" t="s">
        <v>278</v>
      </c>
      <c r="O53" s="112" t="s">
        <v>278</v>
      </c>
      <c r="P53" s="112" t="s">
        <v>451</v>
      </c>
      <c r="Q53" s="112" t="s">
        <v>280</v>
      </c>
      <c r="R53" s="112" t="s">
        <v>281</v>
      </c>
      <c r="S53" s="112" t="s">
        <v>282</v>
      </c>
      <c r="T53" s="112" t="s">
        <v>294</v>
      </c>
      <c r="U53" s="112" t="s">
        <v>295</v>
      </c>
      <c r="V53" s="112" t="s">
        <v>376</v>
      </c>
      <c r="W53" s="112">
        <v>101</v>
      </c>
      <c r="X53" s="112">
        <v>13018</v>
      </c>
      <c r="Y53" s="112">
        <v>245011</v>
      </c>
      <c r="Z53" s="112">
        <v>9999</v>
      </c>
      <c r="AA53" s="112">
        <v>950</v>
      </c>
      <c r="AB53" s="112">
        <v>999</v>
      </c>
      <c r="AC53" s="112">
        <v>9999</v>
      </c>
      <c r="AD53" s="112">
        <v>9999</v>
      </c>
      <c r="AE53" s="112" t="s">
        <v>1</v>
      </c>
      <c r="AF53" s="112" t="s">
        <v>455</v>
      </c>
      <c r="AG53" s="112" t="s">
        <v>227</v>
      </c>
      <c r="AH53" s="112" t="s">
        <v>286</v>
      </c>
      <c r="AJ53" s="112" t="s">
        <v>227</v>
      </c>
      <c r="AK53" s="112">
        <v>46234</v>
      </c>
      <c r="AL53" s="112" t="s">
        <v>315</v>
      </c>
      <c r="AM53" s="112" t="s">
        <v>288</v>
      </c>
    </row>
    <row r="54" spans="1:39" x14ac:dyDescent="0.2">
      <c r="A54" s="116">
        <f t="shared" ca="1" si="1"/>
        <v>17</v>
      </c>
      <c r="B54" s="112" t="str">
        <f ca="1">IFERROR(VLOOKUP(A54,'Aging Formulas'!A:B,2,FALSE),"365+")</f>
        <v>0-30</v>
      </c>
      <c r="D54" s="134" t="s">
        <v>451</v>
      </c>
      <c r="E54" s="112" t="s">
        <v>290</v>
      </c>
      <c r="F54" s="112" t="s">
        <v>30</v>
      </c>
      <c r="G54" s="112" t="s">
        <v>452</v>
      </c>
      <c r="H54" s="112" t="s">
        <v>453</v>
      </c>
      <c r="I54" s="112" t="s">
        <v>12</v>
      </c>
      <c r="J54" s="112" t="s">
        <v>454</v>
      </c>
      <c r="K54" s="114">
        <v>2993563.74</v>
      </c>
      <c r="L54" s="114">
        <v>2993563.74</v>
      </c>
      <c r="M54" s="114">
        <v>2993563.74</v>
      </c>
      <c r="N54" s="112" t="s">
        <v>278</v>
      </c>
      <c r="O54" s="112" t="s">
        <v>278</v>
      </c>
      <c r="P54" s="112" t="s">
        <v>451</v>
      </c>
      <c r="Q54" s="112" t="s">
        <v>280</v>
      </c>
      <c r="R54" s="112" t="s">
        <v>281</v>
      </c>
      <c r="S54" s="112" t="s">
        <v>282</v>
      </c>
      <c r="T54" s="112" t="s">
        <v>294</v>
      </c>
      <c r="U54" s="112" t="s">
        <v>295</v>
      </c>
      <c r="V54" s="112" t="s">
        <v>376</v>
      </c>
      <c r="W54" s="112">
        <v>101</v>
      </c>
      <c r="X54" s="112">
        <v>13018</v>
      </c>
      <c r="Y54" s="112">
        <v>245011</v>
      </c>
      <c r="Z54" s="112">
        <v>9999</v>
      </c>
      <c r="AA54" s="112">
        <v>950</v>
      </c>
      <c r="AB54" s="112">
        <v>999</v>
      </c>
      <c r="AC54" s="112">
        <v>9999</v>
      </c>
      <c r="AD54" s="112">
        <v>9999</v>
      </c>
      <c r="AE54" s="112" t="s">
        <v>1</v>
      </c>
      <c r="AF54" s="112" t="s">
        <v>455</v>
      </c>
      <c r="AG54" s="112" t="s">
        <v>227</v>
      </c>
      <c r="AH54" s="112" t="s">
        <v>286</v>
      </c>
      <c r="AJ54" s="112" t="s">
        <v>227</v>
      </c>
      <c r="AK54" s="112">
        <v>46234</v>
      </c>
      <c r="AL54" s="112" t="s">
        <v>315</v>
      </c>
      <c r="AM54" s="112" t="s">
        <v>288</v>
      </c>
    </row>
    <row r="55" spans="1:39" x14ac:dyDescent="0.2">
      <c r="A55" s="116">
        <f t="shared" ca="1" si="1"/>
        <v>17</v>
      </c>
      <c r="B55" s="112" t="str">
        <f ca="1">IFERROR(VLOOKUP(A55,'Aging Formulas'!A:B,2,FALSE),"365+")</f>
        <v>0-30</v>
      </c>
      <c r="D55" s="134" t="s">
        <v>423</v>
      </c>
      <c r="E55" s="112" t="s">
        <v>308</v>
      </c>
      <c r="F55" s="112" t="s">
        <v>18</v>
      </c>
      <c r="G55" s="112" t="s">
        <v>456</v>
      </c>
      <c r="H55" s="112" t="s">
        <v>457</v>
      </c>
      <c r="I55" s="112" t="s">
        <v>21</v>
      </c>
      <c r="J55" s="112" t="s">
        <v>454</v>
      </c>
      <c r="K55" s="114">
        <v>1578245.1200000001</v>
      </c>
      <c r="L55" s="114">
        <v>1578245.1200000001</v>
      </c>
      <c r="M55" s="114">
        <v>1578245.1200000001</v>
      </c>
      <c r="N55" s="112" t="s">
        <v>278</v>
      </c>
      <c r="O55" s="112" t="s">
        <v>278</v>
      </c>
      <c r="P55" s="112" t="s">
        <v>458</v>
      </c>
      <c r="Q55" s="112" t="s">
        <v>280</v>
      </c>
      <c r="R55" s="112" t="s">
        <v>281</v>
      </c>
      <c r="S55" s="112" t="s">
        <v>282</v>
      </c>
      <c r="T55" s="112" t="s">
        <v>283</v>
      </c>
      <c r="U55" s="112" t="s">
        <v>313</v>
      </c>
      <c r="V55" s="112" t="s">
        <v>314</v>
      </c>
      <c r="W55" s="112">
        <v>101</v>
      </c>
      <c r="X55" s="112">
        <v>11002</v>
      </c>
      <c r="Y55" s="112">
        <v>245011</v>
      </c>
      <c r="Z55" s="112">
        <v>9999</v>
      </c>
      <c r="AA55" s="112">
        <v>999</v>
      </c>
      <c r="AB55" s="112">
        <v>999</v>
      </c>
      <c r="AC55" s="112">
        <v>9999</v>
      </c>
      <c r="AD55" s="112">
        <v>9999</v>
      </c>
      <c r="AE55" s="112" t="s">
        <v>1</v>
      </c>
      <c r="AF55" s="112" t="s">
        <v>227</v>
      </c>
      <c r="AG55" s="112" t="s">
        <v>227</v>
      </c>
      <c r="AH55" s="112" t="s">
        <v>286</v>
      </c>
      <c r="AJ55" s="112" t="s">
        <v>227</v>
      </c>
      <c r="AK55" s="112">
        <v>46234</v>
      </c>
      <c r="AL55" s="112" t="s">
        <v>315</v>
      </c>
      <c r="AM55" s="112" t="s">
        <v>288</v>
      </c>
    </row>
    <row r="56" spans="1:39" x14ac:dyDescent="0.2">
      <c r="A56" s="116">
        <f t="shared" ca="1" si="1"/>
        <v>17</v>
      </c>
      <c r="B56" s="112" t="str">
        <f ca="1">IFERROR(VLOOKUP(A56,'Aging Formulas'!A:B,2,FALSE),"365+")</f>
        <v>0-30</v>
      </c>
      <c r="D56" s="134" t="s">
        <v>361</v>
      </c>
      <c r="E56" s="112" t="s">
        <v>308</v>
      </c>
      <c r="F56" s="112" t="s">
        <v>28</v>
      </c>
      <c r="G56" s="112" t="s">
        <v>459</v>
      </c>
      <c r="H56" s="112" t="s">
        <v>460</v>
      </c>
      <c r="I56" s="112" t="s">
        <v>29</v>
      </c>
      <c r="J56" s="112" t="s">
        <v>454</v>
      </c>
      <c r="K56" s="114">
        <v>9707.1</v>
      </c>
      <c r="L56" s="114">
        <v>9707.1</v>
      </c>
      <c r="M56" s="114">
        <v>9707.1</v>
      </c>
      <c r="N56" s="112" t="s">
        <v>278</v>
      </c>
      <c r="O56" s="112" t="s">
        <v>278</v>
      </c>
      <c r="P56" s="112" t="s">
        <v>361</v>
      </c>
      <c r="Q56" s="112" t="s">
        <v>280</v>
      </c>
      <c r="R56" s="112" t="s">
        <v>281</v>
      </c>
      <c r="S56" s="112" t="s">
        <v>282</v>
      </c>
      <c r="T56" s="112" t="s">
        <v>283</v>
      </c>
      <c r="U56" s="112" t="s">
        <v>366</v>
      </c>
      <c r="V56" s="112" t="s">
        <v>461</v>
      </c>
      <c r="W56" s="112">
        <v>101</v>
      </c>
      <c r="X56" s="112">
        <v>12014</v>
      </c>
      <c r="Y56" s="112">
        <v>245011</v>
      </c>
      <c r="Z56" s="112">
        <v>9999</v>
      </c>
      <c r="AA56" s="112">
        <v>999</v>
      </c>
      <c r="AB56" s="112">
        <v>999</v>
      </c>
      <c r="AC56" s="112">
        <v>9999</v>
      </c>
      <c r="AD56" s="112">
        <v>9999</v>
      </c>
      <c r="AE56" s="112" t="s">
        <v>1</v>
      </c>
      <c r="AF56" s="112" t="s">
        <v>227</v>
      </c>
      <c r="AG56" s="112" t="s">
        <v>227</v>
      </c>
      <c r="AH56" s="112" t="s">
        <v>286</v>
      </c>
      <c r="AJ56" s="112" t="s">
        <v>227</v>
      </c>
      <c r="AK56" s="112">
        <v>46234</v>
      </c>
      <c r="AL56" s="112" t="s">
        <v>287</v>
      </c>
      <c r="AM56" s="112" t="s">
        <v>288</v>
      </c>
    </row>
    <row r="57" spans="1:39" x14ac:dyDescent="0.2">
      <c r="A57" s="116">
        <f t="shared" ref="A57:A62" ca="1" si="2">TODAY()-AK58</f>
        <v>31</v>
      </c>
      <c r="B57" s="112" t="str">
        <f ca="1">IFERROR(VLOOKUP(A58,'Aging Formulas'!A:B,2,FALSE),"365+")</f>
        <v>0-30</v>
      </c>
      <c r="D57" s="134" t="s">
        <v>423</v>
      </c>
      <c r="E57" s="112" t="s">
        <v>308</v>
      </c>
      <c r="F57" s="112" t="s">
        <v>18</v>
      </c>
      <c r="G57" s="112" t="s">
        <v>466</v>
      </c>
      <c r="H57" s="112" t="s">
        <v>467</v>
      </c>
      <c r="I57" s="112" t="s">
        <v>16</v>
      </c>
      <c r="J57" s="112" t="s">
        <v>454</v>
      </c>
      <c r="K57" s="114">
        <v>2817880.6</v>
      </c>
      <c r="L57" s="114">
        <v>2817880.6</v>
      </c>
      <c r="M57" s="114">
        <v>2817880.6</v>
      </c>
      <c r="N57" s="112" t="s">
        <v>278</v>
      </c>
      <c r="O57" s="112" t="s">
        <v>278</v>
      </c>
      <c r="P57" s="112" t="s">
        <v>468</v>
      </c>
      <c r="Q57" s="112" t="s">
        <v>280</v>
      </c>
      <c r="R57" s="112" t="s">
        <v>281</v>
      </c>
      <c r="S57" s="112" t="s">
        <v>282</v>
      </c>
      <c r="T57" s="112" t="s">
        <v>283</v>
      </c>
      <c r="U57" s="112" t="s">
        <v>313</v>
      </c>
      <c r="V57" s="112" t="s">
        <v>314</v>
      </c>
      <c r="W57" s="112">
        <v>101</v>
      </c>
      <c r="X57" s="112">
        <v>11002</v>
      </c>
      <c r="Y57" s="112">
        <v>245011</v>
      </c>
      <c r="Z57" s="112">
        <v>9999</v>
      </c>
      <c r="AA57" s="112">
        <v>999</v>
      </c>
      <c r="AB57" s="112">
        <v>999</v>
      </c>
      <c r="AC57" s="112">
        <v>9999</v>
      </c>
      <c r="AD57" s="112">
        <v>9999</v>
      </c>
      <c r="AE57" s="112" t="s">
        <v>1</v>
      </c>
      <c r="AF57" s="112" t="s">
        <v>227</v>
      </c>
      <c r="AG57" s="112" t="s">
        <v>227</v>
      </c>
      <c r="AH57" s="112" t="s">
        <v>286</v>
      </c>
      <c r="AJ57" s="112" t="s">
        <v>227</v>
      </c>
      <c r="AK57" s="112">
        <v>46219</v>
      </c>
      <c r="AL57" s="112" t="s">
        <v>382</v>
      </c>
      <c r="AM57" s="112" t="s">
        <v>288</v>
      </c>
    </row>
    <row r="58" spans="1:39" x14ac:dyDescent="0.2">
      <c r="A58" s="116">
        <f t="shared" ca="1" si="2"/>
        <v>17</v>
      </c>
      <c r="B58" s="112" t="str">
        <f ca="1">IFERROR(VLOOKUP(A59,'Aging Formulas'!A:B,2,FALSE),"365+")</f>
        <v>0-30</v>
      </c>
      <c r="D58" s="134" t="s">
        <v>423</v>
      </c>
      <c r="E58" s="112" t="s">
        <v>308</v>
      </c>
      <c r="F58" s="112" t="s">
        <v>18</v>
      </c>
      <c r="G58" s="112" t="s">
        <v>469</v>
      </c>
      <c r="H58" s="112" t="s">
        <v>470</v>
      </c>
      <c r="I58" s="112" t="s">
        <v>21</v>
      </c>
      <c r="J58" s="112" t="s">
        <v>454</v>
      </c>
      <c r="K58" s="114">
        <v>2817880.6</v>
      </c>
      <c r="L58" s="114">
        <v>2817880.6</v>
      </c>
      <c r="M58" s="114">
        <v>2817880.6</v>
      </c>
      <c r="N58" s="112" t="s">
        <v>278</v>
      </c>
      <c r="O58" s="112" t="s">
        <v>278</v>
      </c>
      <c r="P58" s="112" t="s">
        <v>468</v>
      </c>
      <c r="Q58" s="112" t="s">
        <v>468</v>
      </c>
      <c r="R58" s="112" t="s">
        <v>281</v>
      </c>
      <c r="S58" s="112" t="s">
        <v>282</v>
      </c>
      <c r="T58" s="112" t="s">
        <v>283</v>
      </c>
      <c r="U58" s="112" t="s">
        <v>313</v>
      </c>
      <c r="V58" s="112" t="s">
        <v>314</v>
      </c>
      <c r="W58" s="112">
        <v>101</v>
      </c>
      <c r="X58" s="112">
        <v>11002</v>
      </c>
      <c r="Y58" s="112">
        <v>245011</v>
      </c>
      <c r="Z58" s="112">
        <v>9999</v>
      </c>
      <c r="AA58" s="112">
        <v>999</v>
      </c>
      <c r="AB58" s="112">
        <v>999</v>
      </c>
      <c r="AC58" s="112">
        <v>9999</v>
      </c>
      <c r="AD58" s="112">
        <v>9999</v>
      </c>
      <c r="AE58" s="112" t="s">
        <v>1</v>
      </c>
      <c r="AF58" s="112" t="s">
        <v>227</v>
      </c>
      <c r="AG58" s="112" t="s">
        <v>227</v>
      </c>
      <c r="AH58" s="112" t="s">
        <v>286</v>
      </c>
      <c r="AJ58" s="112" t="s">
        <v>227</v>
      </c>
      <c r="AK58" s="112">
        <v>46220</v>
      </c>
      <c r="AL58" s="112" t="s">
        <v>315</v>
      </c>
      <c r="AM58" s="112" t="s">
        <v>288</v>
      </c>
    </row>
    <row r="59" spans="1:39" x14ac:dyDescent="0.2">
      <c r="A59" s="116">
        <f t="shared" ca="1" si="2"/>
        <v>17</v>
      </c>
      <c r="B59" s="112" t="str">
        <f ca="1">IFERROR(VLOOKUP(A60,'Aging Formulas'!A:B,2,FALSE),"365+")</f>
        <v>0-30</v>
      </c>
      <c r="D59" s="134" t="s">
        <v>471</v>
      </c>
      <c r="E59" s="112" t="s">
        <v>290</v>
      </c>
      <c r="F59" s="112" t="s">
        <v>25</v>
      </c>
      <c r="G59" s="112" t="s">
        <v>472</v>
      </c>
      <c r="H59" s="112" t="s">
        <v>473</v>
      </c>
      <c r="I59" s="112" t="s">
        <v>27</v>
      </c>
      <c r="J59" s="112" t="s">
        <v>454</v>
      </c>
      <c r="K59" s="114">
        <v>-366792.2</v>
      </c>
      <c r="L59" s="114">
        <v>-366792.2</v>
      </c>
      <c r="M59" s="114">
        <v>-366792.2</v>
      </c>
      <c r="N59" s="112" t="s">
        <v>278</v>
      </c>
      <c r="O59" s="112" t="s">
        <v>278</v>
      </c>
      <c r="P59" s="112" t="s">
        <v>471</v>
      </c>
      <c r="Q59" s="112" t="s">
        <v>280</v>
      </c>
      <c r="R59" s="112" t="s">
        <v>281</v>
      </c>
      <c r="S59" s="112" t="s">
        <v>282</v>
      </c>
      <c r="T59" s="112" t="s">
        <v>294</v>
      </c>
      <c r="U59" s="112" t="s">
        <v>295</v>
      </c>
      <c r="V59" s="112" t="s">
        <v>474</v>
      </c>
      <c r="W59" s="112">
        <v>101</v>
      </c>
      <c r="X59" s="112">
        <v>13006</v>
      </c>
      <c r="Y59" s="112">
        <v>245011</v>
      </c>
      <c r="Z59" s="112">
        <v>9999</v>
      </c>
      <c r="AA59" s="112">
        <v>999</v>
      </c>
      <c r="AB59" s="112">
        <v>999</v>
      </c>
      <c r="AC59" s="112">
        <v>9999</v>
      </c>
      <c r="AD59" s="112">
        <v>9999</v>
      </c>
      <c r="AE59" s="112" t="s">
        <v>1</v>
      </c>
      <c r="AF59" s="112" t="s">
        <v>227</v>
      </c>
      <c r="AG59" s="112" t="s">
        <v>227</v>
      </c>
      <c r="AH59" s="112" t="s">
        <v>286</v>
      </c>
      <c r="AJ59" s="112" t="s">
        <v>227</v>
      </c>
      <c r="AK59" s="112">
        <v>46234</v>
      </c>
      <c r="AL59" s="112" t="s">
        <v>287</v>
      </c>
      <c r="AM59" s="112" t="s">
        <v>288</v>
      </c>
    </row>
    <row r="60" spans="1:39" x14ac:dyDescent="0.2">
      <c r="A60" s="116">
        <f t="shared" ca="1" si="2"/>
        <v>17</v>
      </c>
      <c r="B60" s="112" t="str">
        <f ca="1">IFERROR(VLOOKUP(A61,'Aging Formulas'!A:B,2,FALSE),"365+")</f>
        <v>0-30</v>
      </c>
      <c r="D60" s="134" t="s">
        <v>475</v>
      </c>
      <c r="E60" s="112" t="s">
        <v>290</v>
      </c>
      <c r="F60" s="112" t="s">
        <v>40</v>
      </c>
      <c r="G60" s="112" t="s">
        <v>476</v>
      </c>
      <c r="H60" s="112" t="s">
        <v>477</v>
      </c>
      <c r="I60" s="112" t="s">
        <v>27</v>
      </c>
      <c r="J60" s="112" t="s">
        <v>454</v>
      </c>
      <c r="K60" s="114">
        <v>-876000</v>
      </c>
      <c r="L60" s="114">
        <v>-876000</v>
      </c>
      <c r="M60" s="114">
        <v>-876000</v>
      </c>
      <c r="N60" s="112" t="s">
        <v>278</v>
      </c>
      <c r="O60" s="112" t="s">
        <v>278</v>
      </c>
      <c r="P60" s="112" t="s">
        <v>478</v>
      </c>
      <c r="Q60" s="112" t="s">
        <v>280</v>
      </c>
      <c r="R60" s="112" t="s">
        <v>281</v>
      </c>
      <c r="S60" s="112" t="s">
        <v>282</v>
      </c>
      <c r="T60" s="112" t="s">
        <v>294</v>
      </c>
      <c r="U60" s="112" t="s">
        <v>305</v>
      </c>
      <c r="V60" s="112" t="s">
        <v>479</v>
      </c>
      <c r="W60" s="112">
        <v>101</v>
      </c>
      <c r="X60" s="112">
        <v>13004</v>
      </c>
      <c r="Y60" s="112">
        <v>245011</v>
      </c>
      <c r="Z60" s="112">
        <v>9999</v>
      </c>
      <c r="AA60" s="112">
        <v>999</v>
      </c>
      <c r="AB60" s="112">
        <v>999</v>
      </c>
      <c r="AC60" s="112">
        <v>9999</v>
      </c>
      <c r="AD60" s="112">
        <v>9999</v>
      </c>
      <c r="AE60" s="112" t="s">
        <v>1</v>
      </c>
      <c r="AF60" s="112" t="s">
        <v>227</v>
      </c>
      <c r="AG60" s="112" t="s">
        <v>227</v>
      </c>
      <c r="AH60" s="112" t="s">
        <v>286</v>
      </c>
      <c r="AJ60" s="112" t="s">
        <v>227</v>
      </c>
      <c r="AK60" s="112">
        <v>46234</v>
      </c>
      <c r="AL60" s="112" t="s">
        <v>287</v>
      </c>
      <c r="AM60" s="112" t="s">
        <v>288</v>
      </c>
    </row>
    <row r="61" spans="1:39" x14ac:dyDescent="0.2">
      <c r="A61" s="116">
        <f t="shared" ca="1" si="2"/>
        <v>17</v>
      </c>
      <c r="B61" s="112" t="str">
        <f ca="1">IFERROR(VLOOKUP(A62,'Aging Formulas'!A:B,2,FALSE),"365+")</f>
        <v>365+</v>
      </c>
      <c r="D61" s="134" t="s">
        <v>480</v>
      </c>
      <c r="E61" s="112" t="s">
        <v>290</v>
      </c>
      <c r="F61" s="112" t="s">
        <v>30</v>
      </c>
      <c r="G61" s="112" t="s">
        <v>481</v>
      </c>
      <c r="H61" s="112" t="s">
        <v>482</v>
      </c>
      <c r="I61" s="112" t="s">
        <v>31</v>
      </c>
      <c r="J61" s="112" t="s">
        <v>454</v>
      </c>
      <c r="K61" s="114">
        <v>378766.36</v>
      </c>
      <c r="L61" s="114">
        <v>378766.36</v>
      </c>
      <c r="M61" s="114">
        <v>378766.36</v>
      </c>
      <c r="N61" s="112" t="s">
        <v>278</v>
      </c>
      <c r="O61" s="112" t="s">
        <v>278</v>
      </c>
      <c r="P61" s="112" t="s">
        <v>480</v>
      </c>
      <c r="Q61" s="112" t="s">
        <v>280</v>
      </c>
      <c r="R61" s="112" t="s">
        <v>281</v>
      </c>
      <c r="S61" s="112" t="s">
        <v>282</v>
      </c>
      <c r="T61" s="112" t="s">
        <v>294</v>
      </c>
      <c r="U61" s="112" t="s">
        <v>295</v>
      </c>
      <c r="V61" s="112" t="s">
        <v>387</v>
      </c>
      <c r="W61" s="112">
        <v>101</v>
      </c>
      <c r="X61" s="112">
        <v>13018</v>
      </c>
      <c r="Y61" s="112">
        <v>245011</v>
      </c>
      <c r="Z61" s="112">
        <v>9999</v>
      </c>
      <c r="AA61" s="112">
        <v>999</v>
      </c>
      <c r="AB61" s="112">
        <v>999</v>
      </c>
      <c r="AC61" s="112">
        <v>9999</v>
      </c>
      <c r="AD61" s="112">
        <v>9999</v>
      </c>
      <c r="AE61" s="112" t="s">
        <v>1</v>
      </c>
      <c r="AF61" s="112" t="s">
        <v>227</v>
      </c>
      <c r="AG61" s="112" t="s">
        <v>227</v>
      </c>
      <c r="AH61" s="112" t="s">
        <v>286</v>
      </c>
      <c r="AJ61" s="112" t="s">
        <v>227</v>
      </c>
      <c r="AK61" s="112">
        <v>46234</v>
      </c>
      <c r="AL61" s="112" t="s">
        <v>287</v>
      </c>
      <c r="AM61" s="112" t="s">
        <v>288</v>
      </c>
    </row>
    <row r="62" spans="1:39" x14ac:dyDescent="0.2">
      <c r="A62" s="116">
        <f t="shared" ca="1" si="2"/>
        <v>46251</v>
      </c>
      <c r="B62" s="112" t="str">
        <f>IFERROR(VLOOKUP(A63,'Aging Formulas'!A:B,2,FALSE),"365+")</f>
        <v>0-30</v>
      </c>
      <c r="D62" s="134" t="s">
        <v>439</v>
      </c>
      <c r="E62" s="112" t="s">
        <v>308</v>
      </c>
      <c r="F62" s="112" t="s">
        <v>38</v>
      </c>
      <c r="G62" s="112" t="s">
        <v>483</v>
      </c>
      <c r="H62" s="112" t="s">
        <v>484</v>
      </c>
      <c r="I62" s="112" t="s">
        <v>16</v>
      </c>
      <c r="J62" s="112" t="s">
        <v>454</v>
      </c>
      <c r="K62" s="114">
        <v>3897163.35</v>
      </c>
      <c r="L62" s="114">
        <v>3897163.35</v>
      </c>
      <c r="M62" s="114">
        <v>3897163.35</v>
      </c>
      <c r="N62" s="112" t="s">
        <v>278</v>
      </c>
      <c r="O62" s="112" t="s">
        <v>278</v>
      </c>
      <c r="P62" s="112" t="s">
        <v>485</v>
      </c>
      <c r="Q62" s="112" t="s">
        <v>280</v>
      </c>
      <c r="R62" s="112" t="s">
        <v>281</v>
      </c>
      <c r="S62" s="112" t="s">
        <v>282</v>
      </c>
      <c r="T62" s="112" t="s">
        <v>283</v>
      </c>
      <c r="U62" s="112" t="s">
        <v>313</v>
      </c>
      <c r="V62" s="112" t="s">
        <v>443</v>
      </c>
      <c r="W62" s="112">
        <v>101</v>
      </c>
      <c r="X62" s="112">
        <v>11023</v>
      </c>
      <c r="Y62" s="112">
        <v>245011</v>
      </c>
      <c r="Z62" s="112">
        <v>9999</v>
      </c>
      <c r="AA62" s="112">
        <v>999</v>
      </c>
      <c r="AB62" s="112">
        <v>999</v>
      </c>
      <c r="AC62" s="112">
        <v>9999</v>
      </c>
      <c r="AD62" s="112">
        <v>9999</v>
      </c>
      <c r="AE62" s="112" t="s">
        <v>1</v>
      </c>
      <c r="AF62" s="112" t="s">
        <v>227</v>
      </c>
      <c r="AG62" s="112" t="s">
        <v>227</v>
      </c>
      <c r="AH62" s="112" t="s">
        <v>286</v>
      </c>
      <c r="AJ62" s="112" t="s">
        <v>227</v>
      </c>
      <c r="AK62" s="112">
        <v>46234</v>
      </c>
      <c r="AL62" s="112" t="s">
        <v>382</v>
      </c>
      <c r="AM62" s="112" t="s">
        <v>288</v>
      </c>
    </row>
  </sheetData>
  <pageMargins left="0.7" right="0.7" top="0.75" bottom="0.75" header="0.3" footer="0.3"/>
  <headerFooter>
    <oddFooter>&amp;C_x000D_&amp;1#&amp;"Aptos"&amp;10&amp;K0000FF PUBLIC</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7">
    <tabColor rgb="FF92D050"/>
  </sheetPr>
  <dimension ref="A2:AM689"/>
  <sheetViews>
    <sheetView workbookViewId="0">
      <pane ySplit="3" topLeftCell="A674" activePane="bottomLeft" state="frozen"/>
      <selection pane="bottomLeft" activeCell="O694" sqref="O694"/>
    </sheetView>
  </sheetViews>
  <sheetFormatPr defaultColWidth="11" defaultRowHeight="12.75" x14ac:dyDescent="0.2"/>
  <cols>
    <col min="5" max="5" width="19.42578125" bestFit="1" customWidth="1"/>
    <col min="10" max="10" width="15.42578125" style="91" bestFit="1" customWidth="1"/>
    <col min="11" max="11" width="17.85546875" style="91" bestFit="1" customWidth="1"/>
    <col min="12" max="12" width="14" style="91" bestFit="1" customWidth="1"/>
    <col min="13" max="14" width="6.85546875" customWidth="1"/>
  </cols>
  <sheetData>
    <row r="2" spans="1:38" x14ac:dyDescent="0.2">
      <c r="J2" s="91">
        <f>SUBTOTAL(109,J4:J1048576)</f>
        <v>0</v>
      </c>
      <c r="K2" s="91">
        <f>SUBTOTAL(109,K4:K1048576)</f>
        <v>0</v>
      </c>
      <c r="L2" s="91">
        <f>SUBTOTAL(109,L4:L1048576)</f>
        <v>0</v>
      </c>
    </row>
    <row r="3" spans="1:38" x14ac:dyDescent="0.2">
      <c r="A3" s="191" t="s">
        <v>44</v>
      </c>
      <c r="B3" s="192" t="s">
        <v>235</v>
      </c>
      <c r="C3" s="192" t="s">
        <v>236</v>
      </c>
      <c r="D3" s="192" t="s">
        <v>237</v>
      </c>
      <c r="E3" s="68" t="s">
        <v>239</v>
      </c>
      <c r="F3" s="68" t="s">
        <v>240</v>
      </c>
      <c r="G3" s="68" t="s">
        <v>241</v>
      </c>
      <c r="H3" s="68" t="s">
        <v>242</v>
      </c>
      <c r="I3" s="68" t="s">
        <v>243</v>
      </c>
      <c r="J3" s="171" t="s">
        <v>244</v>
      </c>
      <c r="K3" s="171" t="s">
        <v>245</v>
      </c>
      <c r="L3" s="171" t="s">
        <v>246</v>
      </c>
      <c r="M3" s="68" t="s">
        <v>247</v>
      </c>
      <c r="N3" s="68" t="s">
        <v>248</v>
      </c>
      <c r="O3" s="68" t="s">
        <v>249</v>
      </c>
      <c r="P3" s="68" t="s">
        <v>250</v>
      </c>
      <c r="Q3" s="68" t="s">
        <v>251</v>
      </c>
      <c r="R3" s="68" t="s">
        <v>252</v>
      </c>
      <c r="S3" s="68" t="s">
        <v>253</v>
      </c>
      <c r="T3" s="68" t="s">
        <v>254</v>
      </c>
      <c r="U3" s="68" t="s">
        <v>255</v>
      </c>
      <c r="V3" s="69" t="s">
        <v>256</v>
      </c>
      <c r="W3" s="69" t="s">
        <v>257</v>
      </c>
      <c r="X3" s="69" t="s">
        <v>258</v>
      </c>
      <c r="Y3" s="69" t="s">
        <v>259</v>
      </c>
      <c r="Z3" s="69" t="s">
        <v>260</v>
      </c>
      <c r="AA3" s="69" t="s">
        <v>261</v>
      </c>
      <c r="AB3" s="69" t="s">
        <v>262</v>
      </c>
      <c r="AC3" s="69" t="s">
        <v>263</v>
      </c>
      <c r="AD3" s="68" t="s">
        <v>264</v>
      </c>
      <c r="AE3" s="68" t="s">
        <v>265</v>
      </c>
      <c r="AF3" s="68" t="s">
        <v>266</v>
      </c>
      <c r="AG3" s="68" t="s">
        <v>267</v>
      </c>
      <c r="AH3" s="68" t="s">
        <v>268</v>
      </c>
      <c r="AI3" s="68" t="s">
        <v>269</v>
      </c>
      <c r="AJ3" s="68" t="s">
        <v>270</v>
      </c>
      <c r="AK3" s="68" t="s">
        <v>271</v>
      </c>
      <c r="AL3" s="68" t="s">
        <v>272</v>
      </c>
    </row>
    <row r="4" spans="1:38" s="74" customFormat="1" x14ac:dyDescent="0.2">
      <c r="A4" s="5">
        <v>99</v>
      </c>
      <c r="B4" t="s">
        <v>49</v>
      </c>
      <c r="D4" t="s">
        <v>64</v>
      </c>
      <c r="E4" s="70" t="s">
        <v>35</v>
      </c>
      <c r="F4" s="70" t="s">
        <v>486</v>
      </c>
      <c r="G4" s="70" t="s">
        <v>487</v>
      </c>
      <c r="H4" s="70" t="s">
        <v>27</v>
      </c>
      <c r="I4" s="70" t="s">
        <v>488</v>
      </c>
      <c r="J4" s="172">
        <v>-50160.75</v>
      </c>
      <c r="K4" s="172">
        <v>-50160.75</v>
      </c>
      <c r="L4" s="172">
        <v>-50160.75</v>
      </c>
      <c r="M4" s="70" t="s">
        <v>278</v>
      </c>
      <c r="N4" s="70" t="s">
        <v>278</v>
      </c>
      <c r="O4" s="70" t="s">
        <v>489</v>
      </c>
      <c r="P4" s="70" t="s">
        <v>280</v>
      </c>
      <c r="Q4" s="70" t="s">
        <v>281</v>
      </c>
      <c r="R4" s="70" t="s">
        <v>282</v>
      </c>
      <c r="S4" s="70" t="s">
        <v>283</v>
      </c>
      <c r="T4" s="70" t="s">
        <v>366</v>
      </c>
      <c r="U4" s="70" t="s">
        <v>490</v>
      </c>
      <c r="V4" s="71">
        <v>101</v>
      </c>
      <c r="W4" s="71">
        <v>11010</v>
      </c>
      <c r="X4" s="71">
        <v>245011</v>
      </c>
      <c r="Y4" s="71">
        <v>9999</v>
      </c>
      <c r="Z4" s="71">
        <v>999</v>
      </c>
      <c r="AA4" s="71">
        <v>999</v>
      </c>
      <c r="AB4" s="71">
        <v>9999</v>
      </c>
      <c r="AC4" s="71">
        <v>9999</v>
      </c>
      <c r="AD4" s="70" t="s">
        <v>1</v>
      </c>
      <c r="AE4" s="70" t="s">
        <v>227</v>
      </c>
      <c r="AF4" s="70" t="s">
        <v>227</v>
      </c>
      <c r="AG4" s="70" t="s">
        <v>286</v>
      </c>
      <c r="AH4" s="72"/>
      <c r="AI4" s="70" t="s">
        <v>227</v>
      </c>
      <c r="AJ4" s="73">
        <v>44895</v>
      </c>
      <c r="AK4" s="70" t="s">
        <v>287</v>
      </c>
      <c r="AL4" s="70" t="s">
        <v>288</v>
      </c>
    </row>
    <row r="5" spans="1:38" s="74" customFormat="1" x14ac:dyDescent="0.2">
      <c r="A5" s="5">
        <v>99</v>
      </c>
      <c r="B5" t="s">
        <v>49</v>
      </c>
      <c r="D5" t="s">
        <v>64</v>
      </c>
      <c r="E5" s="70" t="s">
        <v>35</v>
      </c>
      <c r="F5" s="70" t="s">
        <v>491</v>
      </c>
      <c r="G5" s="70" t="s">
        <v>492</v>
      </c>
      <c r="H5" s="70" t="s">
        <v>27</v>
      </c>
      <c r="I5" s="70" t="s">
        <v>488</v>
      </c>
      <c r="J5" s="172">
        <v>-50160.75</v>
      </c>
      <c r="K5" s="172">
        <v>-50160.75</v>
      </c>
      <c r="L5" s="172">
        <v>-50160.75</v>
      </c>
      <c r="M5" s="70" t="s">
        <v>278</v>
      </c>
      <c r="N5" s="70" t="s">
        <v>278</v>
      </c>
      <c r="O5" s="70" t="s">
        <v>493</v>
      </c>
      <c r="P5" s="70" t="s">
        <v>280</v>
      </c>
      <c r="Q5" s="70" t="s">
        <v>281</v>
      </c>
      <c r="R5" s="70" t="s">
        <v>282</v>
      </c>
      <c r="S5" s="70" t="s">
        <v>283</v>
      </c>
      <c r="T5" s="70" t="s">
        <v>366</v>
      </c>
      <c r="U5" s="70" t="s">
        <v>490</v>
      </c>
      <c r="V5" s="71">
        <v>101</v>
      </c>
      <c r="W5" s="71">
        <v>11010</v>
      </c>
      <c r="X5" s="71">
        <v>245011</v>
      </c>
      <c r="Y5" s="71">
        <v>9999</v>
      </c>
      <c r="Z5" s="71">
        <v>999</v>
      </c>
      <c r="AA5" s="71">
        <v>999</v>
      </c>
      <c r="AB5" s="71">
        <v>9999</v>
      </c>
      <c r="AC5" s="71">
        <v>9999</v>
      </c>
      <c r="AD5" s="70" t="s">
        <v>1</v>
      </c>
      <c r="AE5" s="70" t="s">
        <v>227</v>
      </c>
      <c r="AF5" s="70" t="s">
        <v>227</v>
      </c>
      <c r="AG5" s="70" t="s">
        <v>286</v>
      </c>
      <c r="AH5" s="72"/>
      <c r="AI5" s="70" t="s">
        <v>227</v>
      </c>
      <c r="AJ5" s="73">
        <v>44895</v>
      </c>
      <c r="AK5" s="70" t="s">
        <v>287</v>
      </c>
      <c r="AL5" s="70" t="s">
        <v>288</v>
      </c>
    </row>
    <row r="6" spans="1:38" s="74" customFormat="1" x14ac:dyDescent="0.2">
      <c r="A6" s="5">
        <v>68</v>
      </c>
      <c r="B6" t="s">
        <v>48</v>
      </c>
      <c r="D6" t="s">
        <v>64</v>
      </c>
      <c r="E6" s="70" t="s">
        <v>35</v>
      </c>
      <c r="F6" s="70" t="s">
        <v>494</v>
      </c>
      <c r="G6" s="70" t="s">
        <v>495</v>
      </c>
      <c r="H6" s="70" t="s">
        <v>27</v>
      </c>
      <c r="I6" s="70" t="s">
        <v>496</v>
      </c>
      <c r="J6" s="172">
        <v>-50160.75</v>
      </c>
      <c r="K6" s="172">
        <v>-50160.75</v>
      </c>
      <c r="L6" s="172">
        <v>-50160.75</v>
      </c>
      <c r="M6" s="70" t="s">
        <v>278</v>
      </c>
      <c r="N6" s="70" t="s">
        <v>278</v>
      </c>
      <c r="O6" s="70" t="s">
        <v>497</v>
      </c>
      <c r="P6" s="70" t="s">
        <v>280</v>
      </c>
      <c r="Q6" s="70" t="s">
        <v>281</v>
      </c>
      <c r="R6" s="70" t="s">
        <v>282</v>
      </c>
      <c r="S6" s="70" t="s">
        <v>283</v>
      </c>
      <c r="T6" s="70" t="s">
        <v>366</v>
      </c>
      <c r="U6" s="70" t="s">
        <v>490</v>
      </c>
      <c r="V6" s="71">
        <v>101</v>
      </c>
      <c r="W6" s="71">
        <v>11010</v>
      </c>
      <c r="X6" s="71">
        <v>245011</v>
      </c>
      <c r="Y6" s="71">
        <v>9999</v>
      </c>
      <c r="Z6" s="71">
        <v>999</v>
      </c>
      <c r="AA6" s="71">
        <v>999</v>
      </c>
      <c r="AB6" s="71">
        <v>9999</v>
      </c>
      <c r="AC6" s="71">
        <v>9999</v>
      </c>
      <c r="AD6" s="70" t="s">
        <v>1</v>
      </c>
      <c r="AE6" s="70" t="s">
        <v>227</v>
      </c>
      <c r="AF6" s="70" t="s">
        <v>227</v>
      </c>
      <c r="AG6" s="70" t="s">
        <v>286</v>
      </c>
      <c r="AH6" s="72"/>
      <c r="AI6" s="70" t="s">
        <v>227</v>
      </c>
      <c r="AJ6" s="73">
        <v>44926</v>
      </c>
      <c r="AK6" s="70" t="s">
        <v>287</v>
      </c>
      <c r="AL6" s="70" t="s">
        <v>288</v>
      </c>
    </row>
    <row r="7" spans="1:38" s="74" customFormat="1" x14ac:dyDescent="0.2">
      <c r="A7" s="5">
        <v>37</v>
      </c>
      <c r="B7" t="s">
        <v>47</v>
      </c>
      <c r="D7" t="s">
        <v>64</v>
      </c>
      <c r="E7" s="70" t="s">
        <v>35</v>
      </c>
      <c r="F7" s="70" t="s">
        <v>498</v>
      </c>
      <c r="G7" s="70" t="s">
        <v>499</v>
      </c>
      <c r="H7" s="70" t="s">
        <v>500</v>
      </c>
      <c r="I7" s="70" t="s">
        <v>501</v>
      </c>
      <c r="J7" s="172">
        <v>-50160.75</v>
      </c>
      <c r="K7" s="172">
        <v>-50160.75</v>
      </c>
      <c r="L7" s="172">
        <v>-50160.75</v>
      </c>
      <c r="M7" s="70" t="s">
        <v>278</v>
      </c>
      <c r="N7" s="70" t="s">
        <v>278</v>
      </c>
      <c r="O7" s="70" t="s">
        <v>502</v>
      </c>
      <c r="P7" s="70" t="s">
        <v>280</v>
      </c>
      <c r="Q7" s="70" t="s">
        <v>281</v>
      </c>
      <c r="R7" s="70" t="s">
        <v>282</v>
      </c>
      <c r="S7" s="70" t="s">
        <v>283</v>
      </c>
      <c r="T7" s="70" t="s">
        <v>366</v>
      </c>
      <c r="U7" s="70" t="s">
        <v>490</v>
      </c>
      <c r="V7" s="71">
        <v>101</v>
      </c>
      <c r="W7" s="71">
        <v>11010</v>
      </c>
      <c r="X7" s="71">
        <v>245011</v>
      </c>
      <c r="Y7" s="71">
        <v>9999</v>
      </c>
      <c r="Z7" s="71">
        <v>999</v>
      </c>
      <c r="AA7" s="71">
        <v>999</v>
      </c>
      <c r="AB7" s="71">
        <v>9999</v>
      </c>
      <c r="AC7" s="71">
        <v>9999</v>
      </c>
      <c r="AD7" s="70" t="s">
        <v>1</v>
      </c>
      <c r="AE7" s="70" t="s">
        <v>227</v>
      </c>
      <c r="AF7" s="70" t="s">
        <v>227</v>
      </c>
      <c r="AG7" s="70" t="s">
        <v>286</v>
      </c>
      <c r="AH7" s="72"/>
      <c r="AI7" s="70" t="s">
        <v>227</v>
      </c>
      <c r="AJ7" s="73">
        <v>44957</v>
      </c>
      <c r="AK7" s="70" t="s">
        <v>287</v>
      </c>
      <c r="AL7" s="70" t="s">
        <v>288</v>
      </c>
    </row>
    <row r="8" spans="1:38" s="74" customFormat="1" x14ac:dyDescent="0.2">
      <c r="A8" s="5">
        <v>37</v>
      </c>
      <c r="B8" t="s">
        <v>47</v>
      </c>
      <c r="D8" t="s">
        <v>64</v>
      </c>
      <c r="E8" s="70" t="s">
        <v>35</v>
      </c>
      <c r="F8" s="70" t="s">
        <v>503</v>
      </c>
      <c r="G8" s="70" t="s">
        <v>504</v>
      </c>
      <c r="H8" s="70" t="s">
        <v>27</v>
      </c>
      <c r="I8" s="70" t="s">
        <v>501</v>
      </c>
      <c r="J8" s="172">
        <v>-1446298.13</v>
      </c>
      <c r="K8" s="172">
        <v>-1446298.13</v>
      </c>
      <c r="L8" s="172">
        <v>-1446298.13</v>
      </c>
      <c r="M8" s="70" t="s">
        <v>278</v>
      </c>
      <c r="N8" s="70" t="s">
        <v>278</v>
      </c>
      <c r="O8" s="70" t="s">
        <v>505</v>
      </c>
      <c r="P8" s="70" t="s">
        <v>280</v>
      </c>
      <c r="Q8" s="70" t="s">
        <v>281</v>
      </c>
      <c r="R8" s="70" t="s">
        <v>282</v>
      </c>
      <c r="S8" s="70" t="s">
        <v>283</v>
      </c>
      <c r="T8" s="70" t="s">
        <v>366</v>
      </c>
      <c r="U8" s="70" t="s">
        <v>490</v>
      </c>
      <c r="V8" s="71">
        <v>101</v>
      </c>
      <c r="W8" s="71">
        <v>11010</v>
      </c>
      <c r="X8" s="71">
        <v>245011</v>
      </c>
      <c r="Y8" s="71">
        <v>9999</v>
      </c>
      <c r="Z8" s="71">
        <v>999</v>
      </c>
      <c r="AA8" s="71">
        <v>999</v>
      </c>
      <c r="AB8" s="71">
        <v>9999</v>
      </c>
      <c r="AC8" s="71">
        <v>9999</v>
      </c>
      <c r="AD8" s="70" t="s">
        <v>1</v>
      </c>
      <c r="AE8" s="70" t="s">
        <v>227</v>
      </c>
      <c r="AF8" s="70" t="s">
        <v>227</v>
      </c>
      <c r="AG8" s="70" t="s">
        <v>286</v>
      </c>
      <c r="AH8" s="72"/>
      <c r="AI8" s="70" t="s">
        <v>227</v>
      </c>
      <c r="AJ8" s="73">
        <v>44957</v>
      </c>
      <c r="AK8" s="70" t="s">
        <v>287</v>
      </c>
      <c r="AL8" s="70" t="s">
        <v>288</v>
      </c>
    </row>
    <row r="9" spans="1:38" s="74" customFormat="1" x14ac:dyDescent="0.2">
      <c r="A9" s="5">
        <v>10</v>
      </c>
      <c r="B9" t="s">
        <v>46</v>
      </c>
      <c r="E9" s="74" t="s">
        <v>35</v>
      </c>
      <c r="F9" s="74" t="s">
        <v>506</v>
      </c>
      <c r="G9" s="74" t="s">
        <v>507</v>
      </c>
      <c r="H9" s="74" t="s">
        <v>27</v>
      </c>
      <c r="I9" s="74" t="s">
        <v>508</v>
      </c>
      <c r="J9" s="160">
        <v>50160.75</v>
      </c>
      <c r="K9" s="160">
        <v>50160.75</v>
      </c>
      <c r="L9" s="160">
        <v>50160.75</v>
      </c>
      <c r="M9" s="74" t="s">
        <v>278</v>
      </c>
      <c r="N9" s="74" t="s">
        <v>278</v>
      </c>
      <c r="O9" s="74" t="s">
        <v>509</v>
      </c>
      <c r="P9" s="74" t="s">
        <v>280</v>
      </c>
      <c r="Q9" s="74" t="s">
        <v>281</v>
      </c>
      <c r="R9" s="74" t="s">
        <v>282</v>
      </c>
      <c r="S9" s="74" t="s">
        <v>283</v>
      </c>
      <c r="T9" s="74" t="s">
        <v>366</v>
      </c>
      <c r="U9" s="74" t="s">
        <v>490</v>
      </c>
      <c r="V9" s="74">
        <v>101</v>
      </c>
      <c r="W9" s="74">
        <v>11010</v>
      </c>
      <c r="X9" s="74">
        <v>245011</v>
      </c>
      <c r="Y9" s="74">
        <v>9999</v>
      </c>
      <c r="Z9" s="74">
        <v>999</v>
      </c>
      <c r="AA9" s="74">
        <v>999</v>
      </c>
      <c r="AB9" s="74">
        <v>9999</v>
      </c>
      <c r="AC9" s="74">
        <v>9999</v>
      </c>
      <c r="AD9" s="74" t="s">
        <v>1</v>
      </c>
      <c r="AE9" s="74" t="s">
        <v>227</v>
      </c>
      <c r="AF9" s="74" t="s">
        <v>227</v>
      </c>
      <c r="AG9" s="74" t="s">
        <v>286</v>
      </c>
      <c r="AI9" s="74" t="s">
        <v>227</v>
      </c>
      <c r="AJ9" s="74">
        <v>44984</v>
      </c>
      <c r="AK9" s="74" t="s">
        <v>287</v>
      </c>
      <c r="AL9" s="74" t="s">
        <v>288</v>
      </c>
    </row>
    <row r="10" spans="1:38" s="74" customFormat="1" x14ac:dyDescent="0.2">
      <c r="A10" s="5">
        <v>10</v>
      </c>
      <c r="B10" t="s">
        <v>46</v>
      </c>
      <c r="E10" s="74" t="s">
        <v>35</v>
      </c>
      <c r="F10" s="74" t="s">
        <v>510</v>
      </c>
      <c r="G10" s="74" t="s">
        <v>511</v>
      </c>
      <c r="H10" s="74" t="s">
        <v>27</v>
      </c>
      <c r="I10" s="74" t="s">
        <v>508</v>
      </c>
      <c r="J10" s="160">
        <v>1446298.13</v>
      </c>
      <c r="K10" s="160">
        <v>1446298.13</v>
      </c>
      <c r="L10" s="160">
        <v>1446298.13</v>
      </c>
      <c r="M10" s="74" t="s">
        <v>278</v>
      </c>
      <c r="N10" s="74" t="s">
        <v>278</v>
      </c>
      <c r="O10" s="74" t="s">
        <v>512</v>
      </c>
      <c r="P10" s="74" t="s">
        <v>280</v>
      </c>
      <c r="Q10" s="74" t="s">
        <v>281</v>
      </c>
      <c r="R10" s="74" t="s">
        <v>282</v>
      </c>
      <c r="S10" s="74" t="s">
        <v>283</v>
      </c>
      <c r="T10" s="74" t="s">
        <v>366</v>
      </c>
      <c r="U10" s="74" t="s">
        <v>490</v>
      </c>
      <c r="V10" s="74">
        <v>101</v>
      </c>
      <c r="W10" s="74">
        <v>11010</v>
      </c>
      <c r="X10" s="74">
        <v>245011</v>
      </c>
      <c r="Y10" s="74">
        <v>9999</v>
      </c>
      <c r="Z10" s="74">
        <v>999</v>
      </c>
      <c r="AA10" s="74">
        <v>999</v>
      </c>
      <c r="AB10" s="74">
        <v>9999</v>
      </c>
      <c r="AC10" s="74">
        <v>9999</v>
      </c>
      <c r="AD10" s="74" t="s">
        <v>1</v>
      </c>
      <c r="AE10" s="74" t="s">
        <v>227</v>
      </c>
      <c r="AF10" s="74" t="s">
        <v>227</v>
      </c>
      <c r="AG10" s="74" t="s">
        <v>286</v>
      </c>
      <c r="AI10" s="74" t="s">
        <v>227</v>
      </c>
      <c r="AJ10" s="74">
        <v>44984</v>
      </c>
      <c r="AK10" s="74" t="s">
        <v>287</v>
      </c>
      <c r="AL10" s="74" t="s">
        <v>288</v>
      </c>
    </row>
    <row r="11" spans="1:38" s="74" customFormat="1" x14ac:dyDescent="0.2">
      <c r="A11" s="5">
        <v>10</v>
      </c>
      <c r="B11" t="s">
        <v>46</v>
      </c>
      <c r="E11" s="74" t="s">
        <v>35</v>
      </c>
      <c r="F11" s="74" t="s">
        <v>513</v>
      </c>
      <c r="G11" s="74" t="s">
        <v>514</v>
      </c>
      <c r="H11" s="74" t="s">
        <v>27</v>
      </c>
      <c r="I11" s="74" t="s">
        <v>508</v>
      </c>
      <c r="J11" s="160">
        <v>50160.75</v>
      </c>
      <c r="K11" s="160">
        <v>50160.75</v>
      </c>
      <c r="L11" s="160">
        <v>50160.75</v>
      </c>
      <c r="M11" s="74" t="s">
        <v>278</v>
      </c>
      <c r="N11" s="74" t="s">
        <v>278</v>
      </c>
      <c r="O11" s="74" t="s">
        <v>515</v>
      </c>
      <c r="P11" s="74" t="s">
        <v>280</v>
      </c>
      <c r="Q11" s="74" t="s">
        <v>281</v>
      </c>
      <c r="R11" s="74" t="s">
        <v>282</v>
      </c>
      <c r="S11" s="74" t="s">
        <v>283</v>
      </c>
      <c r="T11" s="74" t="s">
        <v>366</v>
      </c>
      <c r="U11" s="74" t="s">
        <v>490</v>
      </c>
      <c r="V11" s="74">
        <v>101</v>
      </c>
      <c r="W11" s="74">
        <v>11010</v>
      </c>
      <c r="X11" s="74">
        <v>245011</v>
      </c>
      <c r="Y11" s="74">
        <v>9999</v>
      </c>
      <c r="Z11" s="74">
        <v>999</v>
      </c>
      <c r="AA11" s="74">
        <v>999</v>
      </c>
      <c r="AB11" s="74">
        <v>9999</v>
      </c>
      <c r="AC11" s="74">
        <v>9999</v>
      </c>
      <c r="AD11" s="74" t="s">
        <v>1</v>
      </c>
      <c r="AE11" s="74" t="s">
        <v>227</v>
      </c>
      <c r="AF11" s="74" t="s">
        <v>227</v>
      </c>
      <c r="AG11" s="74" t="s">
        <v>286</v>
      </c>
      <c r="AI11" s="74" t="s">
        <v>227</v>
      </c>
      <c r="AJ11" s="74">
        <v>44984</v>
      </c>
      <c r="AK11" s="74" t="s">
        <v>287</v>
      </c>
      <c r="AL11" s="74" t="s">
        <v>288</v>
      </c>
    </row>
    <row r="12" spans="1:38" s="74" customFormat="1" x14ac:dyDescent="0.2">
      <c r="A12" s="5">
        <v>10</v>
      </c>
      <c r="B12" t="s">
        <v>46</v>
      </c>
      <c r="E12" s="74" t="s">
        <v>35</v>
      </c>
      <c r="F12" s="74" t="s">
        <v>516</v>
      </c>
      <c r="G12" s="74" t="s">
        <v>517</v>
      </c>
      <c r="H12" s="74" t="s">
        <v>500</v>
      </c>
      <c r="I12" s="74" t="s">
        <v>508</v>
      </c>
      <c r="J12" s="160">
        <v>50160.75</v>
      </c>
      <c r="K12" s="160">
        <v>50160.75</v>
      </c>
      <c r="L12" s="160">
        <v>50160.75</v>
      </c>
      <c r="M12" s="74" t="s">
        <v>278</v>
      </c>
      <c r="N12" s="74" t="s">
        <v>278</v>
      </c>
      <c r="O12" s="74" t="s">
        <v>518</v>
      </c>
      <c r="P12" s="74" t="s">
        <v>280</v>
      </c>
      <c r="Q12" s="74" t="s">
        <v>281</v>
      </c>
      <c r="R12" s="74" t="s">
        <v>282</v>
      </c>
      <c r="S12" s="74" t="s">
        <v>283</v>
      </c>
      <c r="T12" s="74" t="s">
        <v>366</v>
      </c>
      <c r="U12" s="74" t="s">
        <v>490</v>
      </c>
      <c r="V12" s="74">
        <v>101</v>
      </c>
      <c r="W12" s="74">
        <v>11010</v>
      </c>
      <c r="X12" s="74">
        <v>245011</v>
      </c>
      <c r="Y12" s="74">
        <v>9999</v>
      </c>
      <c r="Z12" s="74">
        <v>999</v>
      </c>
      <c r="AA12" s="74">
        <v>999</v>
      </c>
      <c r="AB12" s="74">
        <v>9999</v>
      </c>
      <c r="AC12" s="74">
        <v>9999</v>
      </c>
      <c r="AD12" s="74" t="s">
        <v>1</v>
      </c>
      <c r="AE12" s="74" t="s">
        <v>227</v>
      </c>
      <c r="AF12" s="74" t="s">
        <v>227</v>
      </c>
      <c r="AG12" s="74" t="s">
        <v>286</v>
      </c>
      <c r="AI12" s="74" t="s">
        <v>227</v>
      </c>
      <c r="AJ12" s="74">
        <v>44984</v>
      </c>
      <c r="AK12" s="74" t="s">
        <v>287</v>
      </c>
      <c r="AL12" s="74" t="s">
        <v>288</v>
      </c>
    </row>
    <row r="13" spans="1:38" s="74" customFormat="1" x14ac:dyDescent="0.2">
      <c r="A13" s="5">
        <v>10</v>
      </c>
      <c r="B13" t="s">
        <v>46</v>
      </c>
      <c r="E13" s="74" t="s">
        <v>35</v>
      </c>
      <c r="F13" s="74" t="s">
        <v>519</v>
      </c>
      <c r="G13" s="74" t="s">
        <v>520</v>
      </c>
      <c r="H13" s="74" t="s">
        <v>27</v>
      </c>
      <c r="I13" s="74" t="s">
        <v>508</v>
      </c>
      <c r="J13" s="160">
        <v>50160.75</v>
      </c>
      <c r="K13" s="160">
        <v>50160.75</v>
      </c>
      <c r="L13" s="160">
        <v>50160.75</v>
      </c>
      <c r="M13" s="74" t="s">
        <v>278</v>
      </c>
      <c r="N13" s="74" t="s">
        <v>278</v>
      </c>
      <c r="O13" s="74" t="s">
        <v>521</v>
      </c>
      <c r="P13" s="74" t="s">
        <v>280</v>
      </c>
      <c r="Q13" s="74" t="s">
        <v>281</v>
      </c>
      <c r="R13" s="74" t="s">
        <v>282</v>
      </c>
      <c r="S13" s="74" t="s">
        <v>283</v>
      </c>
      <c r="T13" s="74" t="s">
        <v>366</v>
      </c>
      <c r="U13" s="74" t="s">
        <v>490</v>
      </c>
      <c r="V13" s="74">
        <v>101</v>
      </c>
      <c r="W13" s="74">
        <v>11010</v>
      </c>
      <c r="X13" s="74">
        <v>245011</v>
      </c>
      <c r="Y13" s="74">
        <v>9999</v>
      </c>
      <c r="Z13" s="74">
        <v>999</v>
      </c>
      <c r="AA13" s="74">
        <v>999</v>
      </c>
      <c r="AB13" s="74">
        <v>9999</v>
      </c>
      <c r="AC13" s="74">
        <v>9999</v>
      </c>
      <c r="AD13" s="74" t="s">
        <v>1</v>
      </c>
      <c r="AE13" s="74" t="s">
        <v>227</v>
      </c>
      <c r="AF13" s="74" t="s">
        <v>227</v>
      </c>
      <c r="AG13" s="74" t="s">
        <v>286</v>
      </c>
      <c r="AI13" s="74" t="s">
        <v>227</v>
      </c>
      <c r="AJ13" s="74">
        <v>44984</v>
      </c>
      <c r="AK13" s="74" t="s">
        <v>287</v>
      </c>
      <c r="AL13" s="74" t="s">
        <v>288</v>
      </c>
    </row>
    <row r="14" spans="1:38" s="74" customFormat="1" x14ac:dyDescent="0.2">
      <c r="A14" s="5">
        <v>160</v>
      </c>
      <c r="B14" t="s">
        <v>522</v>
      </c>
      <c r="D14" t="s">
        <v>62</v>
      </c>
      <c r="E14" s="70" t="s">
        <v>35</v>
      </c>
      <c r="F14" s="70" t="s">
        <v>523</v>
      </c>
      <c r="G14" s="70" t="s">
        <v>523</v>
      </c>
      <c r="H14" s="70" t="s">
        <v>227</v>
      </c>
      <c r="I14" s="70" t="s">
        <v>524</v>
      </c>
      <c r="J14" s="172">
        <v>11429.1</v>
      </c>
      <c r="K14" s="172">
        <v>11429.1</v>
      </c>
      <c r="L14" s="172">
        <v>11429.1</v>
      </c>
      <c r="M14" s="70" t="s">
        <v>278</v>
      </c>
      <c r="N14" s="70" t="s">
        <v>278</v>
      </c>
      <c r="O14" s="70" t="s">
        <v>525</v>
      </c>
      <c r="P14" s="70" t="s">
        <v>525</v>
      </c>
      <c r="Q14" s="70" t="s">
        <v>281</v>
      </c>
      <c r="R14" s="70" t="s">
        <v>282</v>
      </c>
      <c r="S14" s="70" t="s">
        <v>283</v>
      </c>
      <c r="T14" s="70" t="s">
        <v>366</v>
      </c>
      <c r="U14" s="70" t="s">
        <v>526</v>
      </c>
      <c r="V14" s="71">
        <v>101</v>
      </c>
      <c r="W14" s="71">
        <v>11010</v>
      </c>
      <c r="X14" s="71">
        <v>245011</v>
      </c>
      <c r="Y14" s="71">
        <v>9999</v>
      </c>
      <c r="Z14" s="71">
        <v>950</v>
      </c>
      <c r="AA14" s="71">
        <v>999</v>
      </c>
      <c r="AB14" s="71">
        <v>9999</v>
      </c>
      <c r="AC14" s="71">
        <v>9999</v>
      </c>
      <c r="AD14" s="70" t="s">
        <v>1</v>
      </c>
      <c r="AE14" s="70" t="s">
        <v>527</v>
      </c>
      <c r="AF14" s="70" t="s">
        <v>227</v>
      </c>
      <c r="AG14" s="70" t="s">
        <v>286</v>
      </c>
      <c r="AH14" s="72"/>
      <c r="AI14" s="70" t="s">
        <v>227</v>
      </c>
      <c r="AJ14" s="73">
        <v>44834</v>
      </c>
      <c r="AK14" s="70" t="s">
        <v>328</v>
      </c>
      <c r="AL14" s="70" t="s">
        <v>288</v>
      </c>
    </row>
    <row r="15" spans="1:38" s="74" customFormat="1" x14ac:dyDescent="0.2">
      <c r="A15" s="5">
        <v>9</v>
      </c>
      <c r="B15" t="s">
        <v>46</v>
      </c>
      <c r="E15" s="74" t="s">
        <v>35</v>
      </c>
      <c r="F15" s="74" t="s">
        <v>528</v>
      </c>
      <c r="G15" s="74" t="s">
        <v>529</v>
      </c>
      <c r="H15" s="74" t="s">
        <v>227</v>
      </c>
      <c r="I15" s="74" t="s">
        <v>508</v>
      </c>
      <c r="J15" s="160">
        <v>-11429.1</v>
      </c>
      <c r="K15" s="160">
        <v>-11429.1</v>
      </c>
      <c r="L15" s="160">
        <v>-11429.1</v>
      </c>
      <c r="M15" s="74" t="s">
        <v>278</v>
      </c>
      <c r="N15" s="74" t="s">
        <v>278</v>
      </c>
      <c r="O15" s="74" t="s">
        <v>530</v>
      </c>
      <c r="P15" s="74" t="s">
        <v>525</v>
      </c>
      <c r="Q15" s="74" t="s">
        <v>281</v>
      </c>
      <c r="R15" s="74" t="s">
        <v>282</v>
      </c>
      <c r="S15" s="74" t="s">
        <v>283</v>
      </c>
      <c r="T15" s="74" t="s">
        <v>366</v>
      </c>
      <c r="U15" s="74" t="s">
        <v>526</v>
      </c>
      <c r="V15" s="74">
        <v>101</v>
      </c>
      <c r="W15" s="74">
        <v>11010</v>
      </c>
      <c r="X15" s="74">
        <v>245011</v>
      </c>
      <c r="Y15" s="74">
        <v>9999</v>
      </c>
      <c r="Z15" s="74">
        <v>950</v>
      </c>
      <c r="AA15" s="74">
        <v>999</v>
      </c>
      <c r="AB15" s="74">
        <v>9999</v>
      </c>
      <c r="AC15" s="74">
        <v>9999</v>
      </c>
      <c r="AD15" s="74" t="s">
        <v>1</v>
      </c>
      <c r="AE15" s="74" t="s">
        <v>527</v>
      </c>
      <c r="AF15" s="74" t="s">
        <v>227</v>
      </c>
      <c r="AG15" s="74" t="s">
        <v>286</v>
      </c>
      <c r="AI15" s="74" t="s">
        <v>227</v>
      </c>
      <c r="AJ15" s="74">
        <v>44985</v>
      </c>
      <c r="AK15" s="74" t="s">
        <v>328</v>
      </c>
      <c r="AL15" s="74" t="s">
        <v>288</v>
      </c>
    </row>
    <row r="16" spans="1:38" s="74" customFormat="1" x14ac:dyDescent="0.2">
      <c r="A16" s="5">
        <v>129</v>
      </c>
      <c r="B16" t="s">
        <v>50</v>
      </c>
      <c r="D16" t="s">
        <v>62</v>
      </c>
      <c r="E16" s="70" t="s">
        <v>35</v>
      </c>
      <c r="F16" s="70" t="s">
        <v>531</v>
      </c>
      <c r="G16" s="70" t="s">
        <v>531</v>
      </c>
      <c r="H16" s="70" t="s">
        <v>227</v>
      </c>
      <c r="I16" s="70" t="s">
        <v>532</v>
      </c>
      <c r="J16" s="172">
        <v>9524.25</v>
      </c>
      <c r="K16" s="172">
        <v>9524.25</v>
      </c>
      <c r="L16" s="172">
        <v>9524.25</v>
      </c>
      <c r="M16" s="70" t="s">
        <v>278</v>
      </c>
      <c r="N16" s="70" t="s">
        <v>278</v>
      </c>
      <c r="O16" s="70" t="s">
        <v>531</v>
      </c>
      <c r="P16" s="70" t="s">
        <v>533</v>
      </c>
      <c r="Q16" s="70" t="s">
        <v>281</v>
      </c>
      <c r="R16" s="70" t="s">
        <v>282</v>
      </c>
      <c r="S16" s="70" t="s">
        <v>283</v>
      </c>
      <c r="T16" s="70" t="s">
        <v>366</v>
      </c>
      <c r="U16" s="70" t="s">
        <v>526</v>
      </c>
      <c r="V16" s="71">
        <v>101</v>
      </c>
      <c r="W16" s="71">
        <v>11010</v>
      </c>
      <c r="X16" s="71">
        <v>245011</v>
      </c>
      <c r="Y16" s="71">
        <v>9999</v>
      </c>
      <c r="Z16" s="71">
        <v>950</v>
      </c>
      <c r="AA16" s="71">
        <v>999</v>
      </c>
      <c r="AB16" s="71">
        <v>9999</v>
      </c>
      <c r="AC16" s="71">
        <v>9999</v>
      </c>
      <c r="AD16" s="70" t="s">
        <v>1</v>
      </c>
      <c r="AE16" s="70" t="s">
        <v>527</v>
      </c>
      <c r="AF16" s="70" t="s">
        <v>227</v>
      </c>
      <c r="AG16" s="70" t="s">
        <v>286</v>
      </c>
      <c r="AH16" s="72"/>
      <c r="AI16" s="70" t="s">
        <v>227</v>
      </c>
      <c r="AJ16" s="73">
        <v>44865</v>
      </c>
      <c r="AK16" s="70" t="s">
        <v>328</v>
      </c>
      <c r="AL16" s="70" t="s">
        <v>288</v>
      </c>
    </row>
    <row r="17" spans="1:38" s="74" customFormat="1" x14ac:dyDescent="0.2">
      <c r="A17" s="5">
        <v>9</v>
      </c>
      <c r="B17" t="s">
        <v>46</v>
      </c>
      <c r="E17" s="74" t="s">
        <v>35</v>
      </c>
      <c r="F17" s="74" t="s">
        <v>534</v>
      </c>
      <c r="G17" s="74" t="s">
        <v>535</v>
      </c>
      <c r="H17" s="74" t="s">
        <v>227</v>
      </c>
      <c r="I17" s="74" t="s">
        <v>508</v>
      </c>
      <c r="J17" s="160">
        <v>-9524.25</v>
      </c>
      <c r="K17" s="160">
        <v>-9524.25</v>
      </c>
      <c r="L17" s="160">
        <v>-9524.25</v>
      </c>
      <c r="M17" s="74" t="s">
        <v>278</v>
      </c>
      <c r="N17" s="74" t="s">
        <v>278</v>
      </c>
      <c r="O17" s="74" t="s">
        <v>536</v>
      </c>
      <c r="P17" s="74" t="s">
        <v>533</v>
      </c>
      <c r="Q17" s="74" t="s">
        <v>281</v>
      </c>
      <c r="R17" s="74" t="s">
        <v>282</v>
      </c>
      <c r="S17" s="74" t="s">
        <v>283</v>
      </c>
      <c r="T17" s="74" t="s">
        <v>366</v>
      </c>
      <c r="U17" s="74" t="s">
        <v>526</v>
      </c>
      <c r="V17" s="74">
        <v>101</v>
      </c>
      <c r="W17" s="74">
        <v>11010</v>
      </c>
      <c r="X17" s="74">
        <v>245011</v>
      </c>
      <c r="Y17" s="74">
        <v>9999</v>
      </c>
      <c r="Z17" s="74">
        <v>950</v>
      </c>
      <c r="AA17" s="74">
        <v>999</v>
      </c>
      <c r="AB17" s="74">
        <v>9999</v>
      </c>
      <c r="AC17" s="74">
        <v>9999</v>
      </c>
      <c r="AD17" s="74" t="s">
        <v>1</v>
      </c>
      <c r="AE17" s="74" t="s">
        <v>527</v>
      </c>
      <c r="AF17" s="74" t="s">
        <v>227</v>
      </c>
      <c r="AG17" s="74" t="s">
        <v>286</v>
      </c>
      <c r="AI17" s="74" t="s">
        <v>227</v>
      </c>
      <c r="AJ17" s="74">
        <v>44985</v>
      </c>
      <c r="AK17" s="74" t="s">
        <v>328</v>
      </c>
      <c r="AL17" s="74" t="s">
        <v>288</v>
      </c>
    </row>
    <row r="18" spans="1:38" s="74" customFormat="1" x14ac:dyDescent="0.2">
      <c r="A18" s="5">
        <v>99</v>
      </c>
      <c r="B18" t="s">
        <v>49</v>
      </c>
      <c r="D18" t="s">
        <v>66</v>
      </c>
      <c r="E18" s="70" t="s">
        <v>65</v>
      </c>
      <c r="F18" s="70" t="s">
        <v>537</v>
      </c>
      <c r="G18" s="70" t="s">
        <v>538</v>
      </c>
      <c r="H18" s="70" t="s">
        <v>9</v>
      </c>
      <c r="I18" s="70" t="s">
        <v>488</v>
      </c>
      <c r="J18" s="172">
        <v>44929.56</v>
      </c>
      <c r="K18" s="172">
        <v>44929.56</v>
      </c>
      <c r="L18" s="172">
        <v>44929.56</v>
      </c>
      <c r="M18" s="70" t="s">
        <v>278</v>
      </c>
      <c r="N18" s="70" t="s">
        <v>278</v>
      </c>
      <c r="O18" s="70" t="s">
        <v>539</v>
      </c>
      <c r="P18" s="70" t="s">
        <v>280</v>
      </c>
      <c r="Q18" s="70" t="s">
        <v>281</v>
      </c>
      <c r="R18" s="70" t="s">
        <v>282</v>
      </c>
      <c r="S18" s="70" t="s">
        <v>283</v>
      </c>
      <c r="T18" s="70" t="s">
        <v>65</v>
      </c>
      <c r="U18" s="70" t="s">
        <v>540</v>
      </c>
      <c r="V18" s="71">
        <v>101</v>
      </c>
      <c r="W18" s="71">
        <v>11016</v>
      </c>
      <c r="X18" s="71">
        <v>245011</v>
      </c>
      <c r="Y18" s="71">
        <v>9999</v>
      </c>
      <c r="Z18" s="71">
        <v>999</v>
      </c>
      <c r="AA18" s="71">
        <v>999</v>
      </c>
      <c r="AB18" s="71">
        <v>9999</v>
      </c>
      <c r="AC18" s="71">
        <v>9999</v>
      </c>
      <c r="AD18" s="70" t="s">
        <v>1</v>
      </c>
      <c r="AE18" s="70" t="s">
        <v>227</v>
      </c>
      <c r="AF18" s="70" t="s">
        <v>227</v>
      </c>
      <c r="AG18" s="70" t="s">
        <v>286</v>
      </c>
      <c r="AH18" s="72"/>
      <c r="AI18" s="70" t="s">
        <v>227</v>
      </c>
      <c r="AJ18" s="73">
        <v>44895</v>
      </c>
      <c r="AK18" s="70" t="s">
        <v>287</v>
      </c>
      <c r="AL18" s="70" t="s">
        <v>288</v>
      </c>
    </row>
    <row r="19" spans="1:38" s="74" customFormat="1" x14ac:dyDescent="0.2">
      <c r="A19" s="5">
        <v>16</v>
      </c>
      <c r="B19" t="s">
        <v>46</v>
      </c>
      <c r="E19" s="74" t="s">
        <v>65</v>
      </c>
      <c r="F19" s="74" t="s">
        <v>541</v>
      </c>
      <c r="G19" s="74" t="s">
        <v>542</v>
      </c>
      <c r="H19" s="74" t="s">
        <v>9</v>
      </c>
      <c r="I19" s="74" t="s">
        <v>508</v>
      </c>
      <c r="J19" s="160">
        <v>-44929.56</v>
      </c>
      <c r="K19" s="160">
        <v>-44929.56</v>
      </c>
      <c r="L19" s="160">
        <v>-44929.56</v>
      </c>
      <c r="M19" s="74" t="s">
        <v>278</v>
      </c>
      <c r="N19" s="74" t="s">
        <v>278</v>
      </c>
      <c r="O19" s="74" t="s">
        <v>543</v>
      </c>
      <c r="P19" s="74" t="s">
        <v>280</v>
      </c>
      <c r="Q19" s="74" t="s">
        <v>281</v>
      </c>
      <c r="R19" s="74" t="s">
        <v>282</v>
      </c>
      <c r="S19" s="74" t="s">
        <v>283</v>
      </c>
      <c r="T19" s="74" t="s">
        <v>65</v>
      </c>
      <c r="U19" s="74" t="s">
        <v>540</v>
      </c>
      <c r="V19" s="74">
        <v>101</v>
      </c>
      <c r="W19" s="74">
        <v>11016</v>
      </c>
      <c r="X19" s="74">
        <v>245011</v>
      </c>
      <c r="Y19" s="74">
        <v>9999</v>
      </c>
      <c r="Z19" s="74">
        <v>999</v>
      </c>
      <c r="AA19" s="74">
        <v>999</v>
      </c>
      <c r="AB19" s="74">
        <v>9999</v>
      </c>
      <c r="AC19" s="74">
        <v>9999</v>
      </c>
      <c r="AD19" s="74" t="s">
        <v>1</v>
      </c>
      <c r="AE19" s="74" t="s">
        <v>227</v>
      </c>
      <c r="AF19" s="74" t="s">
        <v>227</v>
      </c>
      <c r="AG19" s="74" t="s">
        <v>286</v>
      </c>
      <c r="AI19" s="74" t="s">
        <v>227</v>
      </c>
      <c r="AJ19" s="74">
        <v>44978</v>
      </c>
      <c r="AK19" s="74" t="s">
        <v>287</v>
      </c>
      <c r="AL19" s="74" t="s">
        <v>288</v>
      </c>
    </row>
    <row r="20" spans="1:38" s="74" customFormat="1" x14ac:dyDescent="0.2">
      <c r="A20" s="5">
        <v>37</v>
      </c>
      <c r="B20" t="s">
        <v>47</v>
      </c>
      <c r="D20" t="s">
        <v>69</v>
      </c>
      <c r="E20" s="70" t="s">
        <v>68</v>
      </c>
      <c r="F20" s="70" t="s">
        <v>544</v>
      </c>
      <c r="G20" s="70" t="s">
        <v>545</v>
      </c>
      <c r="H20" s="70" t="s">
        <v>27</v>
      </c>
      <c r="I20" s="70" t="s">
        <v>501</v>
      </c>
      <c r="J20" s="172">
        <v>-1100000</v>
      </c>
      <c r="K20" s="172">
        <v>-1100000</v>
      </c>
      <c r="L20" s="172">
        <v>-1100000</v>
      </c>
      <c r="M20" s="70" t="s">
        <v>278</v>
      </c>
      <c r="N20" s="70" t="s">
        <v>278</v>
      </c>
      <c r="O20" s="70" t="s">
        <v>546</v>
      </c>
      <c r="P20" s="70" t="s">
        <v>280</v>
      </c>
      <c r="Q20" s="70" t="s">
        <v>281</v>
      </c>
      <c r="R20" s="70" t="s">
        <v>282</v>
      </c>
      <c r="S20" s="70" t="s">
        <v>283</v>
      </c>
      <c r="T20" s="70" t="s">
        <v>313</v>
      </c>
      <c r="U20" s="70" t="s">
        <v>547</v>
      </c>
      <c r="V20" s="71">
        <v>101</v>
      </c>
      <c r="W20" s="71">
        <v>12022</v>
      </c>
      <c r="X20" s="71">
        <v>245011</v>
      </c>
      <c r="Y20" s="71">
        <v>9999</v>
      </c>
      <c r="Z20" s="71">
        <v>999</v>
      </c>
      <c r="AA20" s="71">
        <v>999</v>
      </c>
      <c r="AB20" s="71">
        <v>9999</v>
      </c>
      <c r="AC20" s="71">
        <v>9999</v>
      </c>
      <c r="AD20" s="70" t="s">
        <v>1</v>
      </c>
      <c r="AE20" s="70" t="s">
        <v>227</v>
      </c>
      <c r="AF20" s="70" t="s">
        <v>227</v>
      </c>
      <c r="AG20" s="70" t="s">
        <v>286</v>
      </c>
      <c r="AH20" s="72"/>
      <c r="AI20" s="70" t="s">
        <v>227</v>
      </c>
      <c r="AJ20" s="73">
        <v>44957</v>
      </c>
      <c r="AK20" s="70" t="s">
        <v>287</v>
      </c>
      <c r="AL20" s="70" t="s">
        <v>288</v>
      </c>
    </row>
    <row r="21" spans="1:38" s="74" customFormat="1" x14ac:dyDescent="0.2">
      <c r="A21" s="5">
        <v>9</v>
      </c>
      <c r="B21" t="s">
        <v>46</v>
      </c>
      <c r="E21" s="74" t="s">
        <v>68</v>
      </c>
      <c r="F21" s="74" t="s">
        <v>548</v>
      </c>
      <c r="G21" s="74" t="s">
        <v>549</v>
      </c>
      <c r="H21" s="74" t="s">
        <v>27</v>
      </c>
      <c r="I21" s="74" t="s">
        <v>508</v>
      </c>
      <c r="J21" s="160">
        <v>1100000</v>
      </c>
      <c r="K21" s="160">
        <v>1100000</v>
      </c>
      <c r="L21" s="160">
        <v>1100000</v>
      </c>
      <c r="M21" s="74" t="s">
        <v>278</v>
      </c>
      <c r="N21" s="74" t="s">
        <v>278</v>
      </c>
      <c r="O21" s="74" t="s">
        <v>550</v>
      </c>
      <c r="P21" s="74" t="s">
        <v>280</v>
      </c>
      <c r="Q21" s="74" t="s">
        <v>281</v>
      </c>
      <c r="R21" s="74" t="s">
        <v>282</v>
      </c>
      <c r="S21" s="74" t="s">
        <v>283</v>
      </c>
      <c r="T21" s="74" t="s">
        <v>313</v>
      </c>
      <c r="U21" s="74" t="s">
        <v>547</v>
      </c>
      <c r="V21" s="74">
        <v>101</v>
      </c>
      <c r="W21" s="74">
        <v>12022</v>
      </c>
      <c r="X21" s="74">
        <v>245011</v>
      </c>
      <c r="Y21" s="74">
        <v>9999</v>
      </c>
      <c r="Z21" s="74">
        <v>999</v>
      </c>
      <c r="AA21" s="74">
        <v>999</v>
      </c>
      <c r="AB21" s="74">
        <v>9999</v>
      </c>
      <c r="AC21" s="74">
        <v>9999</v>
      </c>
      <c r="AD21" s="74" t="s">
        <v>1</v>
      </c>
      <c r="AE21" s="74" t="s">
        <v>227</v>
      </c>
      <c r="AF21" s="74" t="s">
        <v>227</v>
      </c>
      <c r="AG21" s="74" t="s">
        <v>286</v>
      </c>
      <c r="AI21" s="74" t="s">
        <v>227</v>
      </c>
      <c r="AJ21" s="74">
        <v>44985</v>
      </c>
      <c r="AK21" s="74" t="s">
        <v>287</v>
      </c>
      <c r="AL21" s="74" t="s">
        <v>288</v>
      </c>
    </row>
    <row r="22" spans="1:38" s="74" customFormat="1" x14ac:dyDescent="0.2">
      <c r="A22" s="5">
        <v>252</v>
      </c>
      <c r="B22" t="s">
        <v>551</v>
      </c>
      <c r="D22" t="s">
        <v>76</v>
      </c>
      <c r="E22" s="70" t="s">
        <v>75</v>
      </c>
      <c r="F22" s="70" t="s">
        <v>552</v>
      </c>
      <c r="G22" s="70" t="s">
        <v>553</v>
      </c>
      <c r="H22" s="70" t="s">
        <v>16</v>
      </c>
      <c r="I22" s="70" t="s">
        <v>554</v>
      </c>
      <c r="J22" s="172">
        <v>53552.52</v>
      </c>
      <c r="K22" s="172">
        <v>53552.52</v>
      </c>
      <c r="L22" s="172">
        <v>53552.52</v>
      </c>
      <c r="M22" s="70" t="s">
        <v>278</v>
      </c>
      <c r="N22" s="70" t="s">
        <v>278</v>
      </c>
      <c r="O22" s="70" t="s">
        <v>555</v>
      </c>
      <c r="P22" s="70" t="s">
        <v>280</v>
      </c>
      <c r="Q22" s="70" t="s">
        <v>281</v>
      </c>
      <c r="R22" s="70" t="s">
        <v>282</v>
      </c>
      <c r="S22" s="70" t="s">
        <v>294</v>
      </c>
      <c r="T22" s="70" t="s">
        <v>295</v>
      </c>
      <c r="U22" s="70" t="s">
        <v>474</v>
      </c>
      <c r="V22" s="71">
        <v>101</v>
      </c>
      <c r="W22" s="71">
        <v>13006</v>
      </c>
      <c r="X22" s="71">
        <v>245011</v>
      </c>
      <c r="Y22" s="71">
        <v>9999</v>
      </c>
      <c r="Z22" s="71">
        <v>999</v>
      </c>
      <c r="AA22" s="71">
        <v>999</v>
      </c>
      <c r="AB22" s="71">
        <v>9999</v>
      </c>
      <c r="AC22" s="71">
        <v>9999</v>
      </c>
      <c r="AD22" s="70" t="s">
        <v>1</v>
      </c>
      <c r="AE22" s="70" t="s">
        <v>227</v>
      </c>
      <c r="AF22" s="70" t="s">
        <v>227</v>
      </c>
      <c r="AG22" s="70" t="s">
        <v>286</v>
      </c>
      <c r="AH22" s="72"/>
      <c r="AI22" s="70" t="s">
        <v>227</v>
      </c>
      <c r="AJ22" s="73">
        <v>44742</v>
      </c>
      <c r="AK22" s="70" t="s">
        <v>287</v>
      </c>
      <c r="AL22" s="70" t="s">
        <v>288</v>
      </c>
    </row>
    <row r="23" spans="1:38" s="74" customFormat="1" x14ac:dyDescent="0.2">
      <c r="A23" s="5">
        <v>9</v>
      </c>
      <c r="B23" t="s">
        <v>46</v>
      </c>
      <c r="E23" s="74" t="s">
        <v>75</v>
      </c>
      <c r="F23" s="74" t="s">
        <v>556</v>
      </c>
      <c r="G23" s="74" t="s">
        <v>557</v>
      </c>
      <c r="H23" s="74" t="s">
        <v>16</v>
      </c>
      <c r="I23" s="74" t="s">
        <v>508</v>
      </c>
      <c r="J23" s="160">
        <v>-53552.52</v>
      </c>
      <c r="K23" s="160">
        <v>-53552.52</v>
      </c>
      <c r="L23" s="160">
        <v>-53552.52</v>
      </c>
      <c r="M23" s="74" t="s">
        <v>278</v>
      </c>
      <c r="N23" s="74" t="s">
        <v>278</v>
      </c>
      <c r="O23" s="74" t="s">
        <v>558</v>
      </c>
      <c r="P23" s="74" t="s">
        <v>280</v>
      </c>
      <c r="Q23" s="74" t="s">
        <v>281</v>
      </c>
      <c r="R23" s="74" t="s">
        <v>282</v>
      </c>
      <c r="S23" s="74" t="s">
        <v>294</v>
      </c>
      <c r="T23" s="74" t="s">
        <v>295</v>
      </c>
      <c r="U23" s="74" t="s">
        <v>474</v>
      </c>
      <c r="V23" s="74">
        <v>101</v>
      </c>
      <c r="W23" s="74">
        <v>13006</v>
      </c>
      <c r="X23" s="74">
        <v>245011</v>
      </c>
      <c r="Y23" s="74">
        <v>9999</v>
      </c>
      <c r="Z23" s="74">
        <v>999</v>
      </c>
      <c r="AA23" s="74">
        <v>999</v>
      </c>
      <c r="AB23" s="74">
        <v>9999</v>
      </c>
      <c r="AC23" s="74">
        <v>9999</v>
      </c>
      <c r="AD23" s="74" t="s">
        <v>1</v>
      </c>
      <c r="AE23" s="74" t="s">
        <v>227</v>
      </c>
      <c r="AF23" s="74" t="s">
        <v>227</v>
      </c>
      <c r="AG23" s="74" t="s">
        <v>286</v>
      </c>
      <c r="AI23" s="74" t="s">
        <v>227</v>
      </c>
      <c r="AJ23" s="74">
        <v>44985</v>
      </c>
      <c r="AK23" s="74" t="s">
        <v>287</v>
      </c>
      <c r="AL23" s="74" t="s">
        <v>288</v>
      </c>
    </row>
    <row r="24" spans="1:38" s="74" customFormat="1" x14ac:dyDescent="0.2">
      <c r="A24" s="5">
        <v>204</v>
      </c>
      <c r="B24" t="s">
        <v>559</v>
      </c>
      <c r="D24" t="s">
        <v>59</v>
      </c>
      <c r="E24" s="70" t="s">
        <v>57</v>
      </c>
      <c r="F24" s="70" t="s">
        <v>560</v>
      </c>
      <c r="G24" s="70" t="s">
        <v>561</v>
      </c>
      <c r="H24" s="70" t="s">
        <v>227</v>
      </c>
      <c r="I24" s="70" t="s">
        <v>562</v>
      </c>
      <c r="J24" s="172">
        <v>543000</v>
      </c>
      <c r="K24" s="172">
        <v>543000</v>
      </c>
      <c r="L24" s="172">
        <v>543000</v>
      </c>
      <c r="M24" s="70" t="s">
        <v>278</v>
      </c>
      <c r="N24" s="70" t="s">
        <v>278</v>
      </c>
      <c r="O24" s="70" t="s">
        <v>563</v>
      </c>
      <c r="P24" s="70" t="s">
        <v>227</v>
      </c>
      <c r="Q24" s="70" t="s">
        <v>281</v>
      </c>
      <c r="R24" s="70" t="s">
        <v>282</v>
      </c>
      <c r="S24" s="70" t="s">
        <v>283</v>
      </c>
      <c r="T24" s="70" t="s">
        <v>366</v>
      </c>
      <c r="U24" s="70" t="s">
        <v>461</v>
      </c>
      <c r="V24" s="71">
        <v>101</v>
      </c>
      <c r="W24" s="71">
        <v>12014</v>
      </c>
      <c r="X24" s="71">
        <v>245011</v>
      </c>
      <c r="Y24" s="71">
        <v>9999</v>
      </c>
      <c r="Z24" s="71">
        <v>999</v>
      </c>
      <c r="AA24" s="71">
        <v>999</v>
      </c>
      <c r="AB24" s="71">
        <v>9999</v>
      </c>
      <c r="AC24" s="71">
        <v>9999</v>
      </c>
      <c r="AD24" s="70" t="s">
        <v>1</v>
      </c>
      <c r="AE24" s="70" t="s">
        <v>227</v>
      </c>
      <c r="AF24" s="70" t="s">
        <v>227</v>
      </c>
      <c r="AG24" s="70" t="s">
        <v>286</v>
      </c>
      <c r="AH24" s="72"/>
      <c r="AI24" s="70" t="s">
        <v>227</v>
      </c>
      <c r="AJ24" s="73">
        <v>44790</v>
      </c>
      <c r="AK24" s="70" t="s">
        <v>328</v>
      </c>
      <c r="AL24" s="70" t="s">
        <v>288</v>
      </c>
    </row>
    <row r="25" spans="1:38" s="74" customFormat="1" x14ac:dyDescent="0.2">
      <c r="A25" s="5">
        <v>9</v>
      </c>
      <c r="B25" t="s">
        <v>46</v>
      </c>
      <c r="E25" s="74" t="s">
        <v>57</v>
      </c>
      <c r="F25" s="74" t="s">
        <v>564</v>
      </c>
      <c r="G25" s="74" t="s">
        <v>565</v>
      </c>
      <c r="H25" s="74" t="s">
        <v>566</v>
      </c>
      <c r="I25" s="74" t="s">
        <v>508</v>
      </c>
      <c r="J25" s="160">
        <v>-543000</v>
      </c>
      <c r="K25" s="160">
        <v>-543000</v>
      </c>
      <c r="L25" s="160">
        <v>-543000</v>
      </c>
      <c r="M25" s="74" t="s">
        <v>278</v>
      </c>
      <c r="N25" s="74" t="s">
        <v>278</v>
      </c>
      <c r="O25" s="74" t="s">
        <v>567</v>
      </c>
      <c r="P25" s="74" t="s">
        <v>280</v>
      </c>
      <c r="Q25" s="74" t="s">
        <v>281</v>
      </c>
      <c r="R25" s="74" t="s">
        <v>282</v>
      </c>
      <c r="S25" s="74" t="s">
        <v>283</v>
      </c>
      <c r="T25" s="74" t="s">
        <v>366</v>
      </c>
      <c r="U25" s="74" t="s">
        <v>461</v>
      </c>
      <c r="V25" s="74">
        <v>101</v>
      </c>
      <c r="W25" s="74">
        <v>12014</v>
      </c>
      <c r="X25" s="74">
        <v>245011</v>
      </c>
      <c r="Y25" s="74">
        <v>9999</v>
      </c>
      <c r="Z25" s="74">
        <v>999</v>
      </c>
      <c r="AA25" s="74">
        <v>999</v>
      </c>
      <c r="AB25" s="74">
        <v>9999</v>
      </c>
      <c r="AC25" s="74">
        <v>9999</v>
      </c>
      <c r="AD25" s="74" t="s">
        <v>1</v>
      </c>
      <c r="AE25" s="74" t="s">
        <v>227</v>
      </c>
      <c r="AF25" s="74" t="s">
        <v>227</v>
      </c>
      <c r="AG25" s="74" t="s">
        <v>286</v>
      </c>
      <c r="AI25" s="74" t="s">
        <v>227</v>
      </c>
      <c r="AJ25" s="74">
        <v>44985</v>
      </c>
      <c r="AK25" s="74" t="s">
        <v>287</v>
      </c>
      <c r="AL25" s="74" t="s">
        <v>288</v>
      </c>
    </row>
    <row r="26" spans="1:38" x14ac:dyDescent="0.2">
      <c r="A26" s="5">
        <v>73</v>
      </c>
      <c r="B26" t="s">
        <v>48</v>
      </c>
      <c r="D26" s="85" t="s">
        <v>568</v>
      </c>
      <c r="E26" s="81" t="s">
        <v>35</v>
      </c>
      <c r="F26" s="81" t="s">
        <v>569</v>
      </c>
      <c r="G26" s="81" t="s">
        <v>570</v>
      </c>
      <c r="H26" s="81" t="s">
        <v>571</v>
      </c>
      <c r="I26" s="81" t="s">
        <v>501</v>
      </c>
      <c r="J26" s="173">
        <v>221281.44</v>
      </c>
      <c r="K26" s="173">
        <v>221281.44</v>
      </c>
      <c r="L26" s="173">
        <v>221281.44</v>
      </c>
      <c r="M26" s="81" t="s">
        <v>278</v>
      </c>
      <c r="N26" s="81" t="s">
        <v>278</v>
      </c>
      <c r="O26" s="81" t="s">
        <v>572</v>
      </c>
      <c r="P26" s="81" t="s">
        <v>280</v>
      </c>
      <c r="Q26" s="81" t="s">
        <v>281</v>
      </c>
      <c r="R26" s="81" t="s">
        <v>282</v>
      </c>
      <c r="S26" s="81" t="s">
        <v>283</v>
      </c>
      <c r="T26" s="81" t="s">
        <v>366</v>
      </c>
      <c r="U26" s="81" t="s">
        <v>490</v>
      </c>
      <c r="V26" s="82">
        <v>101</v>
      </c>
      <c r="W26" s="82">
        <v>11010</v>
      </c>
      <c r="X26" s="82">
        <v>245011</v>
      </c>
      <c r="Y26" s="82">
        <v>9999</v>
      </c>
      <c r="Z26" s="82">
        <v>999</v>
      </c>
      <c r="AA26" s="82">
        <v>999</v>
      </c>
      <c r="AB26" s="82">
        <v>9999</v>
      </c>
      <c r="AC26" s="82">
        <v>9999</v>
      </c>
      <c r="AD26" s="81" t="s">
        <v>1</v>
      </c>
      <c r="AE26" s="81" t="s">
        <v>227</v>
      </c>
      <c r="AF26" s="81" t="s">
        <v>227</v>
      </c>
      <c r="AG26" s="81" t="s">
        <v>286</v>
      </c>
      <c r="AH26" s="83"/>
      <c r="AI26" s="81" t="s">
        <v>227</v>
      </c>
      <c r="AJ26" s="84">
        <v>44957</v>
      </c>
      <c r="AK26" s="81" t="s">
        <v>287</v>
      </c>
      <c r="AL26" s="81" t="s">
        <v>288</v>
      </c>
    </row>
    <row r="27" spans="1:38" x14ac:dyDescent="0.2">
      <c r="A27" s="5">
        <v>45</v>
      </c>
      <c r="B27" t="s">
        <v>47</v>
      </c>
      <c r="D27" s="85" t="s">
        <v>573</v>
      </c>
      <c r="E27" s="81" t="s">
        <v>35</v>
      </c>
      <c r="F27" s="81" t="s">
        <v>574</v>
      </c>
      <c r="G27" s="81" t="s">
        <v>575</v>
      </c>
      <c r="H27" s="81" t="s">
        <v>27</v>
      </c>
      <c r="I27" s="81" t="s">
        <v>508</v>
      </c>
      <c r="J27" s="173">
        <v>-1415877.89</v>
      </c>
      <c r="K27" s="173">
        <v>-1415877.89</v>
      </c>
      <c r="L27" s="173">
        <v>-1415877.89</v>
      </c>
      <c r="M27" s="81" t="s">
        <v>278</v>
      </c>
      <c r="N27" s="81" t="s">
        <v>278</v>
      </c>
      <c r="O27" s="81" t="s">
        <v>576</v>
      </c>
      <c r="P27" s="81" t="s">
        <v>280</v>
      </c>
      <c r="Q27" s="81" t="s">
        <v>281</v>
      </c>
      <c r="R27" s="81" t="s">
        <v>282</v>
      </c>
      <c r="S27" s="81" t="s">
        <v>283</v>
      </c>
      <c r="T27" s="81" t="s">
        <v>366</v>
      </c>
      <c r="U27" s="81" t="s">
        <v>490</v>
      </c>
      <c r="V27" s="82">
        <v>101</v>
      </c>
      <c r="W27" s="82">
        <v>11010</v>
      </c>
      <c r="X27" s="82">
        <v>245011</v>
      </c>
      <c r="Y27" s="82">
        <v>9999</v>
      </c>
      <c r="Z27" s="82">
        <v>999</v>
      </c>
      <c r="AA27" s="82">
        <v>999</v>
      </c>
      <c r="AB27" s="82">
        <v>9999</v>
      </c>
      <c r="AC27" s="82">
        <v>9999</v>
      </c>
      <c r="AD27" s="81" t="s">
        <v>1</v>
      </c>
      <c r="AE27" s="81" t="s">
        <v>227</v>
      </c>
      <c r="AF27" s="81" t="s">
        <v>227</v>
      </c>
      <c r="AG27" s="81" t="s">
        <v>286</v>
      </c>
      <c r="AH27" s="83"/>
      <c r="AI27" s="81" t="s">
        <v>227</v>
      </c>
      <c r="AJ27" s="84">
        <v>44985</v>
      </c>
      <c r="AK27" s="81" t="s">
        <v>287</v>
      </c>
      <c r="AL27" s="81" t="s">
        <v>288</v>
      </c>
    </row>
    <row r="28" spans="1:38" x14ac:dyDescent="0.2">
      <c r="A28" s="5"/>
      <c r="E28" s="1" t="s">
        <v>35</v>
      </c>
      <c r="F28" s="1" t="s">
        <v>577</v>
      </c>
      <c r="G28" s="1" t="s">
        <v>578</v>
      </c>
      <c r="H28" s="1" t="s">
        <v>571</v>
      </c>
      <c r="I28" s="1" t="s">
        <v>579</v>
      </c>
      <c r="J28" s="174">
        <v>-221281.44</v>
      </c>
      <c r="K28" s="174">
        <v>-221281.44</v>
      </c>
      <c r="L28" s="174">
        <v>-221281.44</v>
      </c>
      <c r="M28" s="1" t="s">
        <v>278</v>
      </c>
      <c r="N28" s="1" t="s">
        <v>278</v>
      </c>
      <c r="O28" s="1" t="s">
        <v>580</v>
      </c>
      <c r="P28" s="1" t="s">
        <v>280</v>
      </c>
      <c r="Q28" s="1" t="s">
        <v>281</v>
      </c>
      <c r="R28" s="1" t="s">
        <v>282</v>
      </c>
      <c r="S28" s="1" t="s">
        <v>283</v>
      </c>
      <c r="T28" s="1" t="s">
        <v>366</v>
      </c>
      <c r="U28" s="1" t="s">
        <v>490</v>
      </c>
      <c r="V28" s="2">
        <v>101</v>
      </c>
      <c r="W28" s="2">
        <v>11010</v>
      </c>
      <c r="X28" s="2">
        <v>245011</v>
      </c>
      <c r="Y28" s="2">
        <v>9999</v>
      </c>
      <c r="Z28" s="2">
        <v>999</v>
      </c>
      <c r="AA28" s="2">
        <v>999</v>
      </c>
      <c r="AB28" s="2">
        <v>9999</v>
      </c>
      <c r="AC28" s="2">
        <v>9999</v>
      </c>
      <c r="AD28" s="1" t="s">
        <v>1</v>
      </c>
      <c r="AE28" s="1" t="s">
        <v>227</v>
      </c>
      <c r="AF28" s="1" t="s">
        <v>227</v>
      </c>
      <c r="AG28" s="1" t="s">
        <v>286</v>
      </c>
      <c r="AH28" s="4"/>
      <c r="AI28" s="1" t="s">
        <v>227</v>
      </c>
      <c r="AJ28" s="3">
        <v>44998</v>
      </c>
      <c r="AK28" s="1" t="s">
        <v>287</v>
      </c>
      <c r="AL28" s="1" t="s">
        <v>288</v>
      </c>
    </row>
    <row r="29" spans="1:38" x14ac:dyDescent="0.2">
      <c r="A29" s="5"/>
      <c r="E29" s="1" t="s">
        <v>35</v>
      </c>
      <c r="F29" s="1" t="s">
        <v>581</v>
      </c>
      <c r="G29" s="1" t="s">
        <v>582</v>
      </c>
      <c r="H29" s="1" t="s">
        <v>27</v>
      </c>
      <c r="I29" s="1" t="s">
        <v>579</v>
      </c>
      <c r="J29" s="174">
        <v>1415877.89</v>
      </c>
      <c r="K29" s="174">
        <v>1415877.89</v>
      </c>
      <c r="L29" s="174">
        <v>1415877.89</v>
      </c>
      <c r="M29" s="1" t="s">
        <v>278</v>
      </c>
      <c r="N29" s="1" t="s">
        <v>278</v>
      </c>
      <c r="O29" s="1" t="s">
        <v>583</v>
      </c>
      <c r="P29" s="1" t="s">
        <v>280</v>
      </c>
      <c r="Q29" s="1" t="s">
        <v>281</v>
      </c>
      <c r="R29" s="1" t="s">
        <v>282</v>
      </c>
      <c r="S29" s="1" t="s">
        <v>283</v>
      </c>
      <c r="T29" s="1" t="s">
        <v>366</v>
      </c>
      <c r="U29" s="1" t="s">
        <v>490</v>
      </c>
      <c r="V29" s="2">
        <v>101</v>
      </c>
      <c r="W29" s="2">
        <v>11010</v>
      </c>
      <c r="X29" s="2">
        <v>245011</v>
      </c>
      <c r="Y29" s="2">
        <v>9999</v>
      </c>
      <c r="Z29" s="2">
        <v>999</v>
      </c>
      <c r="AA29" s="2">
        <v>999</v>
      </c>
      <c r="AB29" s="2">
        <v>9999</v>
      </c>
      <c r="AC29" s="2">
        <v>9999</v>
      </c>
      <c r="AD29" s="1" t="s">
        <v>1</v>
      </c>
      <c r="AE29" s="1" t="s">
        <v>227</v>
      </c>
      <c r="AF29" s="1" t="s">
        <v>227</v>
      </c>
      <c r="AG29" s="1" t="s">
        <v>286</v>
      </c>
      <c r="AH29" s="4"/>
      <c r="AI29" s="1" t="s">
        <v>227</v>
      </c>
      <c r="AJ29" s="3">
        <v>45014</v>
      </c>
      <c r="AK29" s="1" t="s">
        <v>287</v>
      </c>
      <c r="AL29" s="1" t="s">
        <v>288</v>
      </c>
    </row>
    <row r="30" spans="1:38" x14ac:dyDescent="0.2">
      <c r="A30" s="5">
        <v>45</v>
      </c>
      <c r="B30" t="s">
        <v>47</v>
      </c>
      <c r="D30" t="s">
        <v>584</v>
      </c>
      <c r="E30" s="86" t="s">
        <v>35</v>
      </c>
      <c r="F30" s="86" t="s">
        <v>585</v>
      </c>
      <c r="G30" s="86" t="s">
        <v>586</v>
      </c>
      <c r="H30" s="86" t="s">
        <v>27</v>
      </c>
      <c r="I30" s="86" t="s">
        <v>508</v>
      </c>
      <c r="J30" s="175">
        <v>-200000</v>
      </c>
      <c r="K30" s="175">
        <v>-200000</v>
      </c>
      <c r="L30" s="175">
        <v>-200000</v>
      </c>
      <c r="M30" s="86" t="s">
        <v>278</v>
      </c>
      <c r="N30" s="86" t="s">
        <v>278</v>
      </c>
      <c r="O30" s="86" t="s">
        <v>587</v>
      </c>
      <c r="P30" s="86" t="s">
        <v>280</v>
      </c>
      <c r="Q30" s="86" t="s">
        <v>281</v>
      </c>
      <c r="R30" s="86" t="s">
        <v>282</v>
      </c>
      <c r="S30" s="86" t="s">
        <v>283</v>
      </c>
      <c r="T30" s="86" t="s">
        <v>366</v>
      </c>
      <c r="U30" s="86" t="s">
        <v>490</v>
      </c>
      <c r="V30" s="87">
        <v>101</v>
      </c>
      <c r="W30" s="87">
        <v>11010</v>
      </c>
      <c r="X30" s="87">
        <v>245011</v>
      </c>
      <c r="Y30" s="87">
        <v>9999</v>
      </c>
      <c r="Z30" s="87">
        <v>999</v>
      </c>
      <c r="AA30" s="87">
        <v>999</v>
      </c>
      <c r="AB30" s="87">
        <v>9999</v>
      </c>
      <c r="AC30" s="87">
        <v>9999</v>
      </c>
      <c r="AD30" s="86" t="s">
        <v>1</v>
      </c>
      <c r="AE30" s="86" t="s">
        <v>227</v>
      </c>
      <c r="AF30" s="86" t="s">
        <v>227</v>
      </c>
      <c r="AG30" s="86" t="s">
        <v>286</v>
      </c>
      <c r="AH30" s="88"/>
      <c r="AI30" s="86" t="s">
        <v>227</v>
      </c>
      <c r="AJ30" s="89">
        <v>44985</v>
      </c>
      <c r="AK30" s="86" t="s">
        <v>287</v>
      </c>
      <c r="AL30" s="86" t="s">
        <v>288</v>
      </c>
    </row>
    <row r="31" spans="1:38" x14ac:dyDescent="0.2">
      <c r="A31" s="5"/>
      <c r="E31" s="1" t="s">
        <v>35</v>
      </c>
      <c r="F31" s="1" t="s">
        <v>588</v>
      </c>
      <c r="G31" s="1" t="s">
        <v>589</v>
      </c>
      <c r="H31" s="1" t="s">
        <v>27</v>
      </c>
      <c r="I31" s="1" t="s">
        <v>579</v>
      </c>
      <c r="J31" s="174">
        <v>200000</v>
      </c>
      <c r="K31" s="174">
        <v>200000</v>
      </c>
      <c r="L31" s="174">
        <v>200000</v>
      </c>
      <c r="M31" s="1" t="s">
        <v>278</v>
      </c>
      <c r="N31" s="1" t="s">
        <v>278</v>
      </c>
      <c r="O31" s="1" t="s">
        <v>590</v>
      </c>
      <c r="P31" s="1" t="s">
        <v>280</v>
      </c>
      <c r="Q31" s="1" t="s">
        <v>281</v>
      </c>
      <c r="R31" s="1" t="s">
        <v>282</v>
      </c>
      <c r="S31" s="1" t="s">
        <v>283</v>
      </c>
      <c r="T31" s="1" t="s">
        <v>366</v>
      </c>
      <c r="U31" s="1" t="s">
        <v>490</v>
      </c>
      <c r="V31" s="2">
        <v>101</v>
      </c>
      <c r="W31" s="2">
        <v>11010</v>
      </c>
      <c r="X31" s="2">
        <v>245011</v>
      </c>
      <c r="Y31" s="2">
        <v>9999</v>
      </c>
      <c r="Z31" s="2">
        <v>999</v>
      </c>
      <c r="AA31" s="2">
        <v>999</v>
      </c>
      <c r="AB31" s="2">
        <v>9999</v>
      </c>
      <c r="AC31" s="2">
        <v>9999</v>
      </c>
      <c r="AD31" s="1" t="s">
        <v>1</v>
      </c>
      <c r="AE31" s="1" t="s">
        <v>227</v>
      </c>
      <c r="AF31" s="1" t="s">
        <v>227</v>
      </c>
      <c r="AG31" s="1" t="s">
        <v>286</v>
      </c>
      <c r="AH31" s="4"/>
      <c r="AI31" s="1" t="s">
        <v>227</v>
      </c>
      <c r="AJ31" s="3">
        <v>44992</v>
      </c>
      <c r="AK31" s="1" t="s">
        <v>287</v>
      </c>
      <c r="AL31" s="1" t="s">
        <v>288</v>
      </c>
    </row>
    <row r="32" spans="1:38" x14ac:dyDescent="0.2">
      <c r="A32" s="5">
        <v>45</v>
      </c>
      <c r="B32" t="s">
        <v>47</v>
      </c>
      <c r="D32" s="1" t="s">
        <v>591</v>
      </c>
      <c r="E32" s="1" t="s">
        <v>77</v>
      </c>
      <c r="F32" s="1" t="s">
        <v>592</v>
      </c>
      <c r="G32" s="1" t="s">
        <v>593</v>
      </c>
      <c r="H32" s="1" t="s">
        <v>227</v>
      </c>
      <c r="I32" s="1" t="s">
        <v>508</v>
      </c>
      <c r="J32" s="174">
        <v>106212.6</v>
      </c>
      <c r="K32" s="174">
        <v>106212.6</v>
      </c>
      <c r="L32" s="174">
        <v>106212.6</v>
      </c>
      <c r="M32" s="1" t="s">
        <v>278</v>
      </c>
      <c r="N32" s="1" t="s">
        <v>278</v>
      </c>
      <c r="O32" s="1" t="s">
        <v>591</v>
      </c>
      <c r="P32" s="1" t="s">
        <v>227</v>
      </c>
      <c r="Q32" s="1" t="s">
        <v>281</v>
      </c>
      <c r="R32" s="1" t="s">
        <v>282</v>
      </c>
      <c r="S32" s="1" t="s">
        <v>283</v>
      </c>
      <c r="T32" s="1" t="s">
        <v>313</v>
      </c>
      <c r="U32" s="1" t="s">
        <v>594</v>
      </c>
      <c r="V32" s="2">
        <v>101</v>
      </c>
      <c r="W32" s="2">
        <v>11001</v>
      </c>
      <c r="X32" s="2">
        <v>245011</v>
      </c>
      <c r="Y32" s="2">
        <v>9999</v>
      </c>
      <c r="Z32" s="2">
        <v>999</v>
      </c>
      <c r="AA32" s="2">
        <v>999</v>
      </c>
      <c r="AB32" s="2">
        <v>9999</v>
      </c>
      <c r="AC32" s="2">
        <v>9999</v>
      </c>
      <c r="AD32" s="1" t="s">
        <v>1</v>
      </c>
      <c r="AE32" s="1" t="s">
        <v>227</v>
      </c>
      <c r="AF32" s="1" t="s">
        <v>227</v>
      </c>
      <c r="AG32" s="1" t="s">
        <v>286</v>
      </c>
      <c r="AH32" s="4"/>
      <c r="AI32" s="1" t="s">
        <v>227</v>
      </c>
      <c r="AJ32" s="3">
        <v>44985</v>
      </c>
      <c r="AK32" s="1" t="s">
        <v>328</v>
      </c>
      <c r="AL32" s="1" t="s">
        <v>288</v>
      </c>
    </row>
    <row r="33" spans="1:38" x14ac:dyDescent="0.2">
      <c r="A33" s="5"/>
      <c r="E33" s="1" t="s">
        <v>77</v>
      </c>
      <c r="F33" s="1" t="s">
        <v>595</v>
      </c>
      <c r="G33" s="1" t="s">
        <v>596</v>
      </c>
      <c r="H33" s="1" t="s">
        <v>227</v>
      </c>
      <c r="I33" s="1" t="s">
        <v>579</v>
      </c>
      <c r="J33" s="174">
        <v>-106212.6</v>
      </c>
      <c r="K33" s="174">
        <v>-106212.6</v>
      </c>
      <c r="L33" s="174">
        <v>-106212.6</v>
      </c>
      <c r="M33" s="1" t="s">
        <v>278</v>
      </c>
      <c r="N33" s="1" t="s">
        <v>278</v>
      </c>
      <c r="O33" s="1" t="s">
        <v>597</v>
      </c>
      <c r="P33" s="1" t="s">
        <v>227</v>
      </c>
      <c r="Q33" s="1" t="s">
        <v>281</v>
      </c>
      <c r="R33" s="1" t="s">
        <v>282</v>
      </c>
      <c r="S33" s="1" t="s">
        <v>283</v>
      </c>
      <c r="T33" s="1" t="s">
        <v>313</v>
      </c>
      <c r="U33" s="1" t="s">
        <v>594</v>
      </c>
      <c r="V33" s="2">
        <v>101</v>
      </c>
      <c r="W33" s="2">
        <v>11001</v>
      </c>
      <c r="X33" s="2">
        <v>245011</v>
      </c>
      <c r="Y33" s="2">
        <v>9999</v>
      </c>
      <c r="Z33" s="2">
        <v>999</v>
      </c>
      <c r="AA33" s="2">
        <v>999</v>
      </c>
      <c r="AB33" s="2">
        <v>9999</v>
      </c>
      <c r="AC33" s="2">
        <v>9999</v>
      </c>
      <c r="AD33" s="1" t="s">
        <v>1</v>
      </c>
      <c r="AE33" s="1" t="s">
        <v>227</v>
      </c>
      <c r="AF33" s="1" t="s">
        <v>227</v>
      </c>
      <c r="AG33" s="1" t="s">
        <v>286</v>
      </c>
      <c r="AH33" s="4"/>
      <c r="AI33" s="1" t="s">
        <v>227</v>
      </c>
      <c r="AJ33" s="3">
        <v>44991</v>
      </c>
      <c r="AK33" s="1" t="s">
        <v>328</v>
      </c>
      <c r="AL33" s="1" t="s">
        <v>288</v>
      </c>
    </row>
    <row r="34" spans="1:38" x14ac:dyDescent="0.2">
      <c r="A34" s="5">
        <v>45</v>
      </c>
      <c r="B34" t="s">
        <v>47</v>
      </c>
      <c r="D34" s="85" t="s">
        <v>598</v>
      </c>
      <c r="E34" s="81" t="s">
        <v>73</v>
      </c>
      <c r="F34" s="81" t="s">
        <v>599</v>
      </c>
      <c r="G34" s="81" t="s">
        <v>600</v>
      </c>
      <c r="H34" s="81" t="s">
        <v>27</v>
      </c>
      <c r="I34" s="81" t="s">
        <v>508</v>
      </c>
      <c r="J34" s="173">
        <v>-1772700</v>
      </c>
      <c r="K34" s="173">
        <v>-1772700</v>
      </c>
      <c r="L34" s="173">
        <v>-1772700</v>
      </c>
      <c r="M34" s="81" t="s">
        <v>278</v>
      </c>
      <c r="N34" s="81" t="s">
        <v>278</v>
      </c>
      <c r="O34" s="81" t="s">
        <v>601</v>
      </c>
      <c r="P34" s="81" t="s">
        <v>280</v>
      </c>
      <c r="Q34" s="81" t="s">
        <v>281</v>
      </c>
      <c r="R34" s="81" t="s">
        <v>282</v>
      </c>
      <c r="S34" s="81" t="s">
        <v>283</v>
      </c>
      <c r="T34" s="81" t="s">
        <v>366</v>
      </c>
      <c r="U34" s="81" t="s">
        <v>602</v>
      </c>
      <c r="V34" s="82">
        <v>101</v>
      </c>
      <c r="W34" s="82">
        <v>12021</v>
      </c>
      <c r="X34" s="82">
        <v>245011</v>
      </c>
      <c r="Y34" s="82">
        <v>9999</v>
      </c>
      <c r="Z34" s="82">
        <v>999</v>
      </c>
      <c r="AA34" s="82">
        <v>999</v>
      </c>
      <c r="AB34" s="82">
        <v>9999</v>
      </c>
      <c r="AC34" s="82">
        <v>9999</v>
      </c>
      <c r="AD34" s="81" t="s">
        <v>1</v>
      </c>
      <c r="AE34" s="81" t="s">
        <v>227</v>
      </c>
      <c r="AF34" s="81" t="s">
        <v>227</v>
      </c>
      <c r="AG34" s="81" t="s">
        <v>286</v>
      </c>
      <c r="AH34" s="83"/>
      <c r="AI34" s="81" t="s">
        <v>227</v>
      </c>
      <c r="AJ34" s="84">
        <v>44985</v>
      </c>
      <c r="AK34" s="81" t="s">
        <v>287</v>
      </c>
      <c r="AL34" s="81" t="s">
        <v>288</v>
      </c>
    </row>
    <row r="35" spans="1:38" x14ac:dyDescent="0.2">
      <c r="A35" s="5"/>
      <c r="E35" s="1" t="s">
        <v>73</v>
      </c>
      <c r="F35" s="1" t="s">
        <v>603</v>
      </c>
      <c r="G35" s="1" t="s">
        <v>604</v>
      </c>
      <c r="H35" s="1" t="s">
        <v>27</v>
      </c>
      <c r="I35" s="1" t="s">
        <v>579</v>
      </c>
      <c r="J35" s="174">
        <v>1772700</v>
      </c>
      <c r="K35" s="174">
        <v>1772700</v>
      </c>
      <c r="L35" s="174">
        <v>1772700</v>
      </c>
      <c r="M35" s="1" t="s">
        <v>278</v>
      </c>
      <c r="N35" s="1" t="s">
        <v>278</v>
      </c>
      <c r="O35" s="1" t="s">
        <v>605</v>
      </c>
      <c r="P35" s="1" t="s">
        <v>280</v>
      </c>
      <c r="Q35" s="1" t="s">
        <v>281</v>
      </c>
      <c r="R35" s="1" t="s">
        <v>282</v>
      </c>
      <c r="S35" s="1" t="s">
        <v>283</v>
      </c>
      <c r="T35" s="1" t="s">
        <v>366</v>
      </c>
      <c r="U35" s="1" t="s">
        <v>602</v>
      </c>
      <c r="V35" s="2">
        <v>101</v>
      </c>
      <c r="W35" s="2">
        <v>12021</v>
      </c>
      <c r="X35" s="2">
        <v>245011</v>
      </c>
      <c r="Y35" s="2">
        <v>9999</v>
      </c>
      <c r="Z35" s="2">
        <v>999</v>
      </c>
      <c r="AA35" s="2">
        <v>999</v>
      </c>
      <c r="AB35" s="2">
        <v>9999</v>
      </c>
      <c r="AC35" s="2">
        <v>9999</v>
      </c>
      <c r="AD35" s="1" t="s">
        <v>1</v>
      </c>
      <c r="AE35" s="1" t="s">
        <v>227</v>
      </c>
      <c r="AF35" s="1" t="s">
        <v>227</v>
      </c>
      <c r="AG35" s="1" t="s">
        <v>286</v>
      </c>
      <c r="AH35" s="4"/>
      <c r="AI35" s="1" t="s">
        <v>227</v>
      </c>
      <c r="AJ35" s="3">
        <v>44992</v>
      </c>
      <c r="AK35" s="1" t="s">
        <v>287</v>
      </c>
      <c r="AL35" s="1" t="s">
        <v>288</v>
      </c>
    </row>
    <row r="36" spans="1:38" x14ac:dyDescent="0.2">
      <c r="A36" s="5"/>
      <c r="E36" s="1" t="s">
        <v>75</v>
      </c>
      <c r="F36" s="1" t="s">
        <v>606</v>
      </c>
      <c r="G36" s="1" t="s">
        <v>607</v>
      </c>
      <c r="H36" s="1" t="s">
        <v>27</v>
      </c>
      <c r="I36" s="1" t="s">
        <v>579</v>
      </c>
      <c r="J36" s="174">
        <v>-45396.3</v>
      </c>
      <c r="K36" s="174">
        <v>-45396.3</v>
      </c>
      <c r="L36" s="174">
        <v>-45396.3</v>
      </c>
      <c r="M36" s="1" t="s">
        <v>278</v>
      </c>
      <c r="N36" s="1" t="s">
        <v>278</v>
      </c>
      <c r="O36" s="1" t="s">
        <v>608</v>
      </c>
      <c r="P36" s="1" t="s">
        <v>280</v>
      </c>
      <c r="Q36" s="1" t="s">
        <v>281</v>
      </c>
      <c r="R36" s="1" t="s">
        <v>282</v>
      </c>
      <c r="S36" s="1" t="s">
        <v>294</v>
      </c>
      <c r="T36" s="1" t="s">
        <v>295</v>
      </c>
      <c r="U36" s="1" t="s">
        <v>474</v>
      </c>
      <c r="V36" s="2">
        <v>101</v>
      </c>
      <c r="W36" s="2">
        <v>13006</v>
      </c>
      <c r="X36" s="2">
        <v>245011</v>
      </c>
      <c r="Y36" s="2">
        <v>9999</v>
      </c>
      <c r="Z36" s="2">
        <v>999</v>
      </c>
      <c r="AA36" s="2">
        <v>999</v>
      </c>
      <c r="AB36" s="2">
        <v>9999</v>
      </c>
      <c r="AC36" s="2">
        <v>9999</v>
      </c>
      <c r="AD36" s="1" t="s">
        <v>1</v>
      </c>
      <c r="AE36" s="1" t="s">
        <v>227</v>
      </c>
      <c r="AF36" s="1" t="s">
        <v>227</v>
      </c>
      <c r="AG36" s="1" t="s">
        <v>286</v>
      </c>
      <c r="AH36" s="4"/>
      <c r="AI36" s="1" t="s">
        <v>227</v>
      </c>
      <c r="AJ36" s="3">
        <v>45016</v>
      </c>
      <c r="AK36" s="1" t="s">
        <v>287</v>
      </c>
      <c r="AL36" s="1" t="s">
        <v>288</v>
      </c>
    </row>
    <row r="37" spans="1:38" x14ac:dyDescent="0.2">
      <c r="A37" s="5"/>
      <c r="E37" s="1" t="s">
        <v>75</v>
      </c>
      <c r="F37" s="1" t="s">
        <v>609</v>
      </c>
      <c r="G37" s="1" t="s">
        <v>610</v>
      </c>
      <c r="H37" s="1" t="s">
        <v>27</v>
      </c>
      <c r="I37" s="1" t="s">
        <v>579</v>
      </c>
      <c r="J37" s="174">
        <v>45396.3</v>
      </c>
      <c r="K37" s="174">
        <v>45396.3</v>
      </c>
      <c r="L37" s="174">
        <v>45396.3</v>
      </c>
      <c r="M37" s="1" t="s">
        <v>278</v>
      </c>
      <c r="N37" s="1" t="s">
        <v>278</v>
      </c>
      <c r="O37" s="1" t="s">
        <v>611</v>
      </c>
      <c r="P37" s="1" t="s">
        <v>280</v>
      </c>
      <c r="Q37" s="1" t="s">
        <v>281</v>
      </c>
      <c r="R37" s="1" t="s">
        <v>282</v>
      </c>
      <c r="S37" s="1" t="s">
        <v>294</v>
      </c>
      <c r="T37" s="1" t="s">
        <v>295</v>
      </c>
      <c r="U37" s="1" t="s">
        <v>474</v>
      </c>
      <c r="V37" s="2">
        <v>101</v>
      </c>
      <c r="W37" s="2">
        <v>13006</v>
      </c>
      <c r="X37" s="2">
        <v>245011</v>
      </c>
      <c r="Y37" s="2">
        <v>9999</v>
      </c>
      <c r="Z37" s="2">
        <v>999</v>
      </c>
      <c r="AA37" s="2">
        <v>999</v>
      </c>
      <c r="AB37" s="2">
        <v>9999</v>
      </c>
      <c r="AC37" s="2">
        <v>9999</v>
      </c>
      <c r="AD37" s="1" t="s">
        <v>1</v>
      </c>
      <c r="AE37" s="1" t="s">
        <v>227</v>
      </c>
      <c r="AF37" s="1" t="s">
        <v>227</v>
      </c>
      <c r="AG37" s="1" t="s">
        <v>286</v>
      </c>
      <c r="AH37" s="4"/>
      <c r="AI37" s="1" t="s">
        <v>227</v>
      </c>
      <c r="AJ37" s="3">
        <v>45016</v>
      </c>
      <c r="AK37" s="1" t="s">
        <v>287</v>
      </c>
      <c r="AL37" s="1" t="s">
        <v>288</v>
      </c>
    </row>
    <row r="38" spans="1:38" x14ac:dyDescent="0.2">
      <c r="A38" s="5">
        <v>45</v>
      </c>
      <c r="B38" t="s">
        <v>47</v>
      </c>
      <c r="D38" t="s">
        <v>85</v>
      </c>
      <c r="E38" s="81" t="s">
        <v>35</v>
      </c>
      <c r="F38" s="81" t="s">
        <v>612</v>
      </c>
      <c r="G38" s="81" t="s">
        <v>613</v>
      </c>
      <c r="H38" s="81" t="s">
        <v>27</v>
      </c>
      <c r="I38" s="81" t="s">
        <v>579</v>
      </c>
      <c r="J38" s="173">
        <v>-1415877.89</v>
      </c>
      <c r="K38" s="173">
        <v>-1415877.89</v>
      </c>
      <c r="L38" s="173">
        <v>-1415877.89</v>
      </c>
      <c r="M38" s="81" t="s">
        <v>278</v>
      </c>
      <c r="N38" s="81" t="s">
        <v>278</v>
      </c>
      <c r="O38" s="81" t="s">
        <v>614</v>
      </c>
      <c r="P38" s="81" t="s">
        <v>280</v>
      </c>
      <c r="Q38" s="81" t="s">
        <v>281</v>
      </c>
      <c r="R38" s="81" t="s">
        <v>282</v>
      </c>
      <c r="S38" s="81" t="s">
        <v>283</v>
      </c>
      <c r="T38" s="81" t="s">
        <v>366</v>
      </c>
      <c r="U38" s="81" t="s">
        <v>490</v>
      </c>
      <c r="V38" s="82">
        <v>101</v>
      </c>
      <c r="W38" s="82">
        <v>11010</v>
      </c>
      <c r="X38" s="82">
        <v>245011</v>
      </c>
      <c r="Y38" s="82">
        <v>9999</v>
      </c>
      <c r="Z38" s="82">
        <v>999</v>
      </c>
      <c r="AA38" s="82">
        <v>999</v>
      </c>
      <c r="AB38" s="82">
        <v>9999</v>
      </c>
      <c r="AC38" s="82">
        <v>9999</v>
      </c>
      <c r="AD38" s="81" t="s">
        <v>1</v>
      </c>
      <c r="AE38" s="81" t="s">
        <v>227</v>
      </c>
      <c r="AF38" s="81" t="s">
        <v>227</v>
      </c>
      <c r="AG38" s="81" t="s">
        <v>286</v>
      </c>
      <c r="AH38" s="83"/>
      <c r="AI38" s="81" t="s">
        <v>227</v>
      </c>
      <c r="AJ38" s="84">
        <v>45016</v>
      </c>
      <c r="AK38" s="81" t="s">
        <v>287</v>
      </c>
      <c r="AL38" s="81" t="s">
        <v>288</v>
      </c>
    </row>
    <row r="39" spans="1:38" x14ac:dyDescent="0.2">
      <c r="A39" s="5">
        <v>34</v>
      </c>
      <c r="B39" t="s">
        <v>47</v>
      </c>
      <c r="D39" t="s">
        <v>615</v>
      </c>
      <c r="E39" s="1" t="s">
        <v>35</v>
      </c>
      <c r="F39" s="1" t="s">
        <v>616</v>
      </c>
      <c r="G39" s="1" t="s">
        <v>617</v>
      </c>
      <c r="H39" s="1" t="s">
        <v>27</v>
      </c>
      <c r="I39" s="90" t="s">
        <v>618</v>
      </c>
      <c r="J39" s="174">
        <v>1415877.89</v>
      </c>
      <c r="K39" s="174">
        <v>1415877.89</v>
      </c>
      <c r="L39" s="174">
        <v>1415877.89</v>
      </c>
      <c r="M39" s="1" t="s">
        <v>278</v>
      </c>
      <c r="N39" s="1" t="s">
        <v>278</v>
      </c>
      <c r="O39" s="1" t="s">
        <v>619</v>
      </c>
      <c r="P39" s="1" t="s">
        <v>280</v>
      </c>
      <c r="Q39" s="1" t="s">
        <v>281</v>
      </c>
      <c r="R39" s="1" t="s">
        <v>282</v>
      </c>
      <c r="S39" s="1" t="s">
        <v>283</v>
      </c>
      <c r="T39" s="1" t="s">
        <v>366</v>
      </c>
      <c r="U39" s="1" t="s">
        <v>490</v>
      </c>
      <c r="V39" s="2">
        <v>101</v>
      </c>
      <c r="W39" s="2">
        <v>11010</v>
      </c>
      <c r="X39" s="2">
        <v>245011</v>
      </c>
      <c r="Y39" s="2">
        <v>9999</v>
      </c>
      <c r="Z39" s="2">
        <v>999</v>
      </c>
      <c r="AA39" s="2">
        <v>999</v>
      </c>
      <c r="AB39" s="2">
        <v>9999</v>
      </c>
      <c r="AC39" s="2">
        <v>9999</v>
      </c>
      <c r="AD39" s="1" t="s">
        <v>1</v>
      </c>
      <c r="AE39" s="1" t="s">
        <v>227</v>
      </c>
      <c r="AF39" s="1" t="s">
        <v>227</v>
      </c>
      <c r="AG39" s="1" t="s">
        <v>286</v>
      </c>
      <c r="AH39" s="4" t="s">
        <v>227</v>
      </c>
      <c r="AI39" s="1" t="s">
        <v>227</v>
      </c>
      <c r="AJ39" s="3">
        <v>45027</v>
      </c>
      <c r="AK39" s="1" t="s">
        <v>287</v>
      </c>
      <c r="AL39" s="1" t="s">
        <v>288</v>
      </c>
    </row>
    <row r="40" spans="1:38" x14ac:dyDescent="0.2">
      <c r="A40" s="5">
        <v>45</v>
      </c>
      <c r="B40" t="s">
        <v>47</v>
      </c>
      <c r="D40" t="s">
        <v>84</v>
      </c>
      <c r="E40" s="81" t="s">
        <v>35</v>
      </c>
      <c r="F40" s="81" t="s">
        <v>620</v>
      </c>
      <c r="G40" s="81" t="s">
        <v>621</v>
      </c>
      <c r="H40" s="81" t="s">
        <v>571</v>
      </c>
      <c r="I40" s="81" t="s">
        <v>579</v>
      </c>
      <c r="J40" s="173">
        <v>456543</v>
      </c>
      <c r="K40" s="173">
        <v>456543</v>
      </c>
      <c r="L40" s="173">
        <v>456543</v>
      </c>
      <c r="M40" s="81" t="s">
        <v>278</v>
      </c>
      <c r="N40" s="81" t="s">
        <v>278</v>
      </c>
      <c r="O40" s="81" t="s">
        <v>622</v>
      </c>
      <c r="P40" s="81" t="s">
        <v>280</v>
      </c>
      <c r="Q40" s="81" t="s">
        <v>281</v>
      </c>
      <c r="R40" s="81" t="s">
        <v>282</v>
      </c>
      <c r="S40" s="81" t="s">
        <v>283</v>
      </c>
      <c r="T40" s="81" t="s">
        <v>366</v>
      </c>
      <c r="U40" s="81" t="s">
        <v>490</v>
      </c>
      <c r="V40" s="82">
        <v>101</v>
      </c>
      <c r="W40" s="82">
        <v>11010</v>
      </c>
      <c r="X40" s="82">
        <v>245011</v>
      </c>
      <c r="Y40" s="82">
        <v>9999</v>
      </c>
      <c r="Z40" s="82">
        <v>999</v>
      </c>
      <c r="AA40" s="82">
        <v>999</v>
      </c>
      <c r="AB40" s="82">
        <v>9999</v>
      </c>
      <c r="AC40" s="82">
        <v>9999</v>
      </c>
      <c r="AD40" s="81" t="s">
        <v>1</v>
      </c>
      <c r="AE40" s="81" t="s">
        <v>227</v>
      </c>
      <c r="AF40" s="81" t="s">
        <v>227</v>
      </c>
      <c r="AG40" s="81" t="s">
        <v>286</v>
      </c>
      <c r="AH40" s="83"/>
      <c r="AI40" s="81" t="s">
        <v>227</v>
      </c>
      <c r="AJ40" s="84">
        <v>45016</v>
      </c>
      <c r="AK40" s="81" t="s">
        <v>287</v>
      </c>
      <c r="AL40" s="81" t="s">
        <v>288</v>
      </c>
    </row>
    <row r="41" spans="1:38" x14ac:dyDescent="0.2">
      <c r="A41" s="5">
        <v>35</v>
      </c>
      <c r="B41" t="s">
        <v>47</v>
      </c>
      <c r="D41" t="s">
        <v>615</v>
      </c>
      <c r="E41" s="1" t="s">
        <v>35</v>
      </c>
      <c r="F41" s="1" t="s">
        <v>623</v>
      </c>
      <c r="G41" s="1" t="s">
        <v>624</v>
      </c>
      <c r="H41" s="1" t="s">
        <v>571</v>
      </c>
      <c r="I41" s="90" t="s">
        <v>618</v>
      </c>
      <c r="J41" s="174">
        <v>-456543</v>
      </c>
      <c r="K41" s="174">
        <v>-456543</v>
      </c>
      <c r="L41" s="174">
        <v>-456543</v>
      </c>
      <c r="M41" s="1" t="s">
        <v>278</v>
      </c>
      <c r="N41" s="1" t="s">
        <v>278</v>
      </c>
      <c r="O41" s="1" t="s">
        <v>625</v>
      </c>
      <c r="P41" s="1" t="s">
        <v>280</v>
      </c>
      <c r="Q41" s="1" t="s">
        <v>281</v>
      </c>
      <c r="R41" s="1" t="s">
        <v>282</v>
      </c>
      <c r="S41" s="1" t="s">
        <v>283</v>
      </c>
      <c r="T41" s="1" t="s">
        <v>366</v>
      </c>
      <c r="U41" s="1" t="s">
        <v>490</v>
      </c>
      <c r="V41" s="2">
        <v>101</v>
      </c>
      <c r="W41" s="2">
        <v>11010</v>
      </c>
      <c r="X41" s="2">
        <v>245011</v>
      </c>
      <c r="Y41" s="2">
        <v>9999</v>
      </c>
      <c r="Z41" s="2">
        <v>999</v>
      </c>
      <c r="AA41" s="2">
        <v>999</v>
      </c>
      <c r="AB41" s="2">
        <v>9999</v>
      </c>
      <c r="AC41" s="2">
        <v>9999</v>
      </c>
      <c r="AD41" s="1" t="s">
        <v>1</v>
      </c>
      <c r="AE41" s="1" t="s">
        <v>227</v>
      </c>
      <c r="AF41" s="1" t="s">
        <v>227</v>
      </c>
      <c r="AG41" s="1" t="s">
        <v>286</v>
      </c>
      <c r="AH41" s="4" t="s">
        <v>227</v>
      </c>
      <c r="AI41" s="1" t="s">
        <v>227</v>
      </c>
      <c r="AJ41" s="3">
        <v>45026</v>
      </c>
      <c r="AK41" s="1" t="s">
        <v>287</v>
      </c>
      <c r="AL41" s="1" t="s">
        <v>288</v>
      </c>
    </row>
    <row r="42" spans="1:38" x14ac:dyDescent="0.2">
      <c r="A42" s="5">
        <v>45</v>
      </c>
      <c r="B42" t="s">
        <v>47</v>
      </c>
      <c r="D42" t="s">
        <v>84</v>
      </c>
      <c r="E42" s="81" t="s">
        <v>75</v>
      </c>
      <c r="F42" s="81" t="s">
        <v>626</v>
      </c>
      <c r="G42" s="81" t="s">
        <v>627</v>
      </c>
      <c r="H42" s="81" t="s">
        <v>9</v>
      </c>
      <c r="I42" s="81" t="s">
        <v>579</v>
      </c>
      <c r="J42" s="173">
        <v>-96517.01</v>
      </c>
      <c r="K42" s="173">
        <v>-96517.01</v>
      </c>
      <c r="L42" s="173">
        <v>-96517.01</v>
      </c>
      <c r="M42" s="81" t="s">
        <v>278</v>
      </c>
      <c r="N42" s="81" t="s">
        <v>278</v>
      </c>
      <c r="O42" s="81" t="s">
        <v>628</v>
      </c>
      <c r="P42" s="81" t="s">
        <v>280</v>
      </c>
      <c r="Q42" s="81" t="s">
        <v>281</v>
      </c>
      <c r="R42" s="81" t="s">
        <v>282</v>
      </c>
      <c r="S42" s="81" t="s">
        <v>294</v>
      </c>
      <c r="T42" s="81" t="s">
        <v>295</v>
      </c>
      <c r="U42" s="81" t="s">
        <v>474</v>
      </c>
      <c r="V42" s="82">
        <v>101</v>
      </c>
      <c r="W42" s="82">
        <v>13006</v>
      </c>
      <c r="X42" s="82">
        <v>245011</v>
      </c>
      <c r="Y42" s="82">
        <v>9999</v>
      </c>
      <c r="Z42" s="82">
        <v>999</v>
      </c>
      <c r="AA42" s="82">
        <v>999</v>
      </c>
      <c r="AB42" s="82">
        <v>9999</v>
      </c>
      <c r="AC42" s="82">
        <v>9999</v>
      </c>
      <c r="AD42" s="81" t="s">
        <v>1</v>
      </c>
      <c r="AE42" s="81" t="s">
        <v>227</v>
      </c>
      <c r="AF42" s="81" t="s">
        <v>227</v>
      </c>
      <c r="AG42" s="81" t="s">
        <v>286</v>
      </c>
      <c r="AH42" s="83"/>
      <c r="AI42" s="81" t="s">
        <v>227</v>
      </c>
      <c r="AJ42" s="84">
        <v>45016</v>
      </c>
      <c r="AK42" s="81" t="s">
        <v>287</v>
      </c>
      <c r="AL42" s="81" t="s">
        <v>288</v>
      </c>
    </row>
    <row r="43" spans="1:38" x14ac:dyDescent="0.2">
      <c r="A43" s="5">
        <v>35</v>
      </c>
      <c r="B43" t="s">
        <v>47</v>
      </c>
      <c r="D43" t="s">
        <v>615</v>
      </c>
      <c r="E43" s="1" t="s">
        <v>75</v>
      </c>
      <c r="F43" s="1" t="s">
        <v>629</v>
      </c>
      <c r="G43" s="1" t="s">
        <v>630</v>
      </c>
      <c r="H43" s="1" t="s">
        <v>9</v>
      </c>
      <c r="I43" s="90" t="s">
        <v>618</v>
      </c>
      <c r="J43" s="174">
        <v>96517.01</v>
      </c>
      <c r="K43" s="174">
        <v>96517.01</v>
      </c>
      <c r="L43" s="174">
        <v>96517.01</v>
      </c>
      <c r="M43" s="1" t="s">
        <v>278</v>
      </c>
      <c r="N43" s="1" t="s">
        <v>278</v>
      </c>
      <c r="O43" s="1" t="s">
        <v>631</v>
      </c>
      <c r="P43" s="1" t="s">
        <v>280</v>
      </c>
      <c r="Q43" s="1" t="s">
        <v>281</v>
      </c>
      <c r="R43" s="1" t="s">
        <v>282</v>
      </c>
      <c r="S43" s="1" t="s">
        <v>294</v>
      </c>
      <c r="T43" s="1" t="s">
        <v>295</v>
      </c>
      <c r="U43" s="1" t="s">
        <v>474</v>
      </c>
      <c r="V43" s="2">
        <v>101</v>
      </c>
      <c r="W43" s="2">
        <v>13006</v>
      </c>
      <c r="X43" s="2">
        <v>245011</v>
      </c>
      <c r="Y43" s="2">
        <v>9999</v>
      </c>
      <c r="Z43" s="2">
        <v>999</v>
      </c>
      <c r="AA43" s="2">
        <v>999</v>
      </c>
      <c r="AB43" s="2">
        <v>9999</v>
      </c>
      <c r="AC43" s="2">
        <v>9999</v>
      </c>
      <c r="AD43" s="1" t="s">
        <v>1</v>
      </c>
      <c r="AE43" s="1" t="s">
        <v>227</v>
      </c>
      <c r="AF43" s="1" t="s">
        <v>227</v>
      </c>
      <c r="AG43" s="1" t="s">
        <v>286</v>
      </c>
      <c r="AH43" s="4" t="s">
        <v>227</v>
      </c>
      <c r="AI43" s="1" t="s">
        <v>227</v>
      </c>
      <c r="AJ43" s="3">
        <v>45026</v>
      </c>
      <c r="AK43" s="1" t="s">
        <v>287</v>
      </c>
      <c r="AL43" s="1" t="s">
        <v>288</v>
      </c>
    </row>
    <row r="44" spans="1:38" x14ac:dyDescent="0.2">
      <c r="A44" s="5">
        <v>45</v>
      </c>
      <c r="B44" t="s">
        <v>47</v>
      </c>
      <c r="D44" t="s">
        <v>95</v>
      </c>
      <c r="E44" s="9" t="s">
        <v>75</v>
      </c>
      <c r="F44" s="9" t="s">
        <v>632</v>
      </c>
      <c r="G44" s="9" t="s">
        <v>633</v>
      </c>
      <c r="H44" s="9" t="s">
        <v>9</v>
      </c>
      <c r="I44" s="9" t="s">
        <v>579</v>
      </c>
      <c r="J44" s="176">
        <v>60000</v>
      </c>
      <c r="K44" s="176">
        <v>60000</v>
      </c>
      <c r="L44" s="176">
        <v>60000</v>
      </c>
      <c r="M44" s="9" t="s">
        <v>278</v>
      </c>
      <c r="N44" s="9" t="s">
        <v>278</v>
      </c>
      <c r="O44" s="9" t="s">
        <v>634</v>
      </c>
      <c r="P44" s="9" t="s">
        <v>280</v>
      </c>
      <c r="Q44" s="9" t="s">
        <v>281</v>
      </c>
      <c r="R44" s="9" t="s">
        <v>282</v>
      </c>
      <c r="S44" s="9" t="s">
        <v>294</v>
      </c>
      <c r="T44" s="9" t="s">
        <v>295</v>
      </c>
      <c r="U44" s="9" t="s">
        <v>474</v>
      </c>
      <c r="V44" s="10">
        <v>101</v>
      </c>
      <c r="W44" s="10">
        <v>13006</v>
      </c>
      <c r="X44" s="10">
        <v>245011</v>
      </c>
      <c r="Y44" s="10">
        <v>9999</v>
      </c>
      <c r="Z44" s="10">
        <v>999</v>
      </c>
      <c r="AA44" s="10">
        <v>999</v>
      </c>
      <c r="AB44" s="10">
        <v>9999</v>
      </c>
      <c r="AC44" s="10">
        <v>9999</v>
      </c>
      <c r="AD44" s="9" t="s">
        <v>1</v>
      </c>
      <c r="AE44" s="9" t="s">
        <v>227</v>
      </c>
      <c r="AF44" s="9" t="s">
        <v>227</v>
      </c>
      <c r="AG44" s="9" t="s">
        <v>286</v>
      </c>
      <c r="AH44" s="11"/>
      <c r="AI44" s="9" t="s">
        <v>227</v>
      </c>
      <c r="AJ44" s="12">
        <v>45016</v>
      </c>
      <c r="AK44" s="9" t="s">
        <v>287</v>
      </c>
      <c r="AL44" s="9" t="s">
        <v>288</v>
      </c>
    </row>
    <row r="45" spans="1:38" x14ac:dyDescent="0.2">
      <c r="A45" s="5">
        <v>26</v>
      </c>
      <c r="B45" t="s">
        <v>46</v>
      </c>
      <c r="D45" t="s">
        <v>615</v>
      </c>
      <c r="E45" s="1" t="s">
        <v>75</v>
      </c>
      <c r="F45" s="1" t="s">
        <v>635</v>
      </c>
      <c r="G45" s="1" t="s">
        <v>636</v>
      </c>
      <c r="H45" s="1" t="s">
        <v>9</v>
      </c>
      <c r="I45" s="90" t="s">
        <v>618</v>
      </c>
      <c r="J45" s="174">
        <v>-60000</v>
      </c>
      <c r="K45" s="174">
        <v>-60000</v>
      </c>
      <c r="L45" s="174">
        <v>-60000</v>
      </c>
      <c r="M45" s="1" t="s">
        <v>278</v>
      </c>
      <c r="N45" s="1" t="s">
        <v>278</v>
      </c>
      <c r="O45" s="1" t="s">
        <v>637</v>
      </c>
      <c r="P45" s="1" t="s">
        <v>280</v>
      </c>
      <c r="Q45" s="1" t="s">
        <v>281</v>
      </c>
      <c r="R45" s="1" t="s">
        <v>282</v>
      </c>
      <c r="S45" s="1" t="s">
        <v>294</v>
      </c>
      <c r="T45" s="1" t="s">
        <v>295</v>
      </c>
      <c r="U45" s="1" t="s">
        <v>474</v>
      </c>
      <c r="V45" s="2">
        <v>101</v>
      </c>
      <c r="W45" s="2">
        <v>13006</v>
      </c>
      <c r="X45" s="2">
        <v>245011</v>
      </c>
      <c r="Y45" s="2">
        <v>9999</v>
      </c>
      <c r="Z45" s="2">
        <v>999</v>
      </c>
      <c r="AA45" s="2">
        <v>999</v>
      </c>
      <c r="AB45" s="2">
        <v>9999</v>
      </c>
      <c r="AC45" s="2">
        <v>9999</v>
      </c>
      <c r="AD45" s="1" t="s">
        <v>1</v>
      </c>
      <c r="AE45" s="1" t="s">
        <v>227</v>
      </c>
      <c r="AF45" s="1" t="s">
        <v>227</v>
      </c>
      <c r="AG45" s="1" t="s">
        <v>286</v>
      </c>
      <c r="AH45" s="4" t="s">
        <v>227</v>
      </c>
      <c r="AI45" s="1" t="s">
        <v>227</v>
      </c>
      <c r="AJ45" s="3">
        <v>45035</v>
      </c>
      <c r="AK45" s="1" t="s">
        <v>287</v>
      </c>
      <c r="AL45" s="1" t="s">
        <v>288</v>
      </c>
    </row>
    <row r="46" spans="1:38" x14ac:dyDescent="0.2">
      <c r="A46" s="5">
        <v>47</v>
      </c>
      <c r="B46" t="s">
        <v>47</v>
      </c>
      <c r="D46" t="s">
        <v>96</v>
      </c>
      <c r="E46" s="1" t="s">
        <v>37</v>
      </c>
      <c r="F46" s="1" t="s">
        <v>638</v>
      </c>
      <c r="G46" s="1" t="s">
        <v>639</v>
      </c>
      <c r="H46" s="1" t="s">
        <v>27</v>
      </c>
      <c r="I46" s="1" t="s">
        <v>579</v>
      </c>
      <c r="J46" s="174">
        <v>-22112.74</v>
      </c>
      <c r="K46" s="174">
        <v>-22112.74</v>
      </c>
      <c r="L46" s="174">
        <v>-22112.74</v>
      </c>
      <c r="M46" s="1" t="s">
        <v>278</v>
      </c>
      <c r="N46" s="1" t="s">
        <v>278</v>
      </c>
      <c r="O46" s="1" t="s">
        <v>640</v>
      </c>
      <c r="P46" s="1" t="s">
        <v>280</v>
      </c>
      <c r="Q46" s="1" t="s">
        <v>281</v>
      </c>
      <c r="R46" s="1" t="s">
        <v>282</v>
      </c>
      <c r="S46" s="1" t="s">
        <v>294</v>
      </c>
      <c r="T46" s="1" t="s">
        <v>305</v>
      </c>
      <c r="U46" s="1" t="s">
        <v>438</v>
      </c>
      <c r="V46" s="2">
        <v>101</v>
      </c>
      <c r="W46" s="2">
        <v>13001</v>
      </c>
      <c r="X46" s="2">
        <v>245011</v>
      </c>
      <c r="Y46" s="2">
        <v>9999</v>
      </c>
      <c r="Z46" s="2">
        <v>999</v>
      </c>
      <c r="AA46" s="2">
        <v>999</v>
      </c>
      <c r="AB46" s="2">
        <v>9999</v>
      </c>
      <c r="AC46" s="2">
        <v>9999</v>
      </c>
      <c r="AD46" s="1" t="s">
        <v>1</v>
      </c>
      <c r="AE46" s="1" t="s">
        <v>227</v>
      </c>
      <c r="AF46" s="1" t="s">
        <v>227</v>
      </c>
      <c r="AG46" s="1" t="s">
        <v>286</v>
      </c>
      <c r="AH46" s="4"/>
      <c r="AI46" s="1" t="s">
        <v>227</v>
      </c>
      <c r="AJ46" s="3">
        <v>45014</v>
      </c>
      <c r="AK46" s="1" t="s">
        <v>287</v>
      </c>
      <c r="AL46" s="1" t="s">
        <v>288</v>
      </c>
    </row>
    <row r="47" spans="1:38" x14ac:dyDescent="0.2">
      <c r="A47" s="5">
        <v>25</v>
      </c>
      <c r="B47" t="s">
        <v>46</v>
      </c>
      <c r="D47" t="s">
        <v>615</v>
      </c>
      <c r="E47" s="1" t="s">
        <v>37</v>
      </c>
      <c r="F47" s="1" t="s">
        <v>641</v>
      </c>
      <c r="G47" s="1" t="s">
        <v>642</v>
      </c>
      <c r="H47" s="1" t="s">
        <v>27</v>
      </c>
      <c r="I47" s="90" t="s">
        <v>618</v>
      </c>
      <c r="J47" s="174">
        <v>22112.74</v>
      </c>
      <c r="K47" s="174">
        <v>22112.74</v>
      </c>
      <c r="L47" s="174">
        <v>22112.74</v>
      </c>
      <c r="M47" s="1" t="s">
        <v>278</v>
      </c>
      <c r="N47" s="1" t="s">
        <v>278</v>
      </c>
      <c r="O47" s="1" t="s">
        <v>643</v>
      </c>
      <c r="P47" s="1" t="s">
        <v>280</v>
      </c>
      <c r="Q47" s="1" t="s">
        <v>281</v>
      </c>
      <c r="R47" s="1" t="s">
        <v>282</v>
      </c>
      <c r="S47" s="1" t="s">
        <v>294</v>
      </c>
      <c r="T47" s="1" t="s">
        <v>305</v>
      </c>
      <c r="U47" s="1" t="s">
        <v>438</v>
      </c>
      <c r="V47" s="2">
        <v>101</v>
      </c>
      <c r="W47" s="2">
        <v>13001</v>
      </c>
      <c r="X47" s="2">
        <v>245011</v>
      </c>
      <c r="Y47" s="2">
        <v>9999</v>
      </c>
      <c r="Z47" s="2">
        <v>999</v>
      </c>
      <c r="AA47" s="2">
        <v>999</v>
      </c>
      <c r="AB47" s="2">
        <v>9999</v>
      </c>
      <c r="AC47" s="2">
        <v>9999</v>
      </c>
      <c r="AD47" s="1" t="s">
        <v>1</v>
      </c>
      <c r="AE47" s="1" t="s">
        <v>227</v>
      </c>
      <c r="AF47" s="1" t="s">
        <v>227</v>
      </c>
      <c r="AG47" s="1" t="s">
        <v>286</v>
      </c>
      <c r="AH47" s="4" t="s">
        <v>227</v>
      </c>
      <c r="AI47" s="1" t="s">
        <v>227</v>
      </c>
      <c r="AJ47" s="3">
        <v>45036</v>
      </c>
      <c r="AK47" s="1" t="s">
        <v>287</v>
      </c>
      <c r="AL47" s="1" t="s">
        <v>288</v>
      </c>
    </row>
    <row r="48" spans="1:38" s="131" customFormat="1" ht="11.25" customHeight="1" x14ac:dyDescent="0.2">
      <c r="A48" s="130">
        <v>91</v>
      </c>
      <c r="B48" s="131" t="s">
        <v>49</v>
      </c>
      <c r="D48" s="131" t="s">
        <v>79</v>
      </c>
      <c r="E48" s="124" t="s">
        <v>65</v>
      </c>
      <c r="F48" s="124" t="s">
        <v>541</v>
      </c>
      <c r="G48" s="124" t="s">
        <v>542</v>
      </c>
      <c r="H48" s="124" t="s">
        <v>9</v>
      </c>
      <c r="I48" s="124" t="s">
        <v>508</v>
      </c>
      <c r="J48" s="126">
        <v>575000</v>
      </c>
      <c r="K48" s="126">
        <v>575000</v>
      </c>
      <c r="L48" s="126">
        <v>575000</v>
      </c>
      <c r="M48" s="124" t="s">
        <v>278</v>
      </c>
      <c r="N48" s="124" t="s">
        <v>278</v>
      </c>
      <c r="O48" s="124" t="s">
        <v>543</v>
      </c>
      <c r="P48" s="124" t="s">
        <v>280</v>
      </c>
      <c r="Q48" s="124" t="s">
        <v>281</v>
      </c>
      <c r="R48" s="124" t="s">
        <v>282</v>
      </c>
      <c r="S48" s="124" t="s">
        <v>283</v>
      </c>
      <c r="T48" s="124" t="s">
        <v>65</v>
      </c>
      <c r="U48" s="124" t="s">
        <v>540</v>
      </c>
      <c r="V48" s="127">
        <v>101</v>
      </c>
      <c r="W48" s="127">
        <v>11016</v>
      </c>
      <c r="X48" s="127">
        <v>245011</v>
      </c>
      <c r="Y48" s="127">
        <v>9999</v>
      </c>
      <c r="Z48" s="127">
        <v>999</v>
      </c>
      <c r="AA48" s="127">
        <v>999</v>
      </c>
      <c r="AB48" s="127">
        <v>9999</v>
      </c>
      <c r="AC48" s="127">
        <v>9999</v>
      </c>
      <c r="AD48" s="124" t="s">
        <v>1</v>
      </c>
      <c r="AE48" s="124" t="s">
        <v>227</v>
      </c>
      <c r="AF48" s="124" t="s">
        <v>227</v>
      </c>
      <c r="AG48" s="124" t="s">
        <v>286</v>
      </c>
      <c r="AH48" s="128"/>
      <c r="AI48" s="124" t="s">
        <v>227</v>
      </c>
      <c r="AJ48" s="129">
        <v>44978</v>
      </c>
      <c r="AK48" s="124" t="s">
        <v>287</v>
      </c>
      <c r="AL48" s="124" t="s">
        <v>288</v>
      </c>
    </row>
    <row r="49" spans="1:38" s="131" customFormat="1" ht="11.25" customHeight="1" x14ac:dyDescent="0.2">
      <c r="A49" s="130">
        <v>35</v>
      </c>
      <c r="B49" s="131" t="s">
        <v>47</v>
      </c>
      <c r="D49" s="131" t="s">
        <v>644</v>
      </c>
      <c r="E49" s="124" t="s">
        <v>65</v>
      </c>
      <c r="F49" s="124" t="s">
        <v>645</v>
      </c>
      <c r="G49" s="124" t="s">
        <v>645</v>
      </c>
      <c r="H49" s="124" t="s">
        <v>646</v>
      </c>
      <c r="I49" s="125" t="s">
        <v>618</v>
      </c>
      <c r="J49" s="126">
        <v>-575000</v>
      </c>
      <c r="K49" s="126">
        <v>-575000</v>
      </c>
      <c r="L49" s="126">
        <v>-575000</v>
      </c>
      <c r="M49" s="124" t="s">
        <v>278</v>
      </c>
      <c r="N49" s="124" t="s">
        <v>278</v>
      </c>
      <c r="O49" s="124" t="s">
        <v>647</v>
      </c>
      <c r="P49" s="124" t="s">
        <v>647</v>
      </c>
      <c r="Q49" s="124" t="s">
        <v>281</v>
      </c>
      <c r="R49" s="124" t="s">
        <v>282</v>
      </c>
      <c r="S49" s="124" t="s">
        <v>283</v>
      </c>
      <c r="T49" s="124" t="s">
        <v>65</v>
      </c>
      <c r="U49" s="124" t="s">
        <v>540</v>
      </c>
      <c r="V49" s="127">
        <v>101</v>
      </c>
      <c r="W49" s="127">
        <v>11016</v>
      </c>
      <c r="X49" s="127">
        <v>245011</v>
      </c>
      <c r="Y49" s="127">
        <v>9999</v>
      </c>
      <c r="Z49" s="127">
        <v>999</v>
      </c>
      <c r="AA49" s="127">
        <v>999</v>
      </c>
      <c r="AB49" s="127">
        <v>9999</v>
      </c>
      <c r="AC49" s="127">
        <v>9999</v>
      </c>
      <c r="AD49" s="124" t="s">
        <v>1</v>
      </c>
      <c r="AE49" s="124" t="s">
        <v>227</v>
      </c>
      <c r="AF49" s="124" t="s">
        <v>227</v>
      </c>
      <c r="AG49" s="124" t="s">
        <v>286</v>
      </c>
      <c r="AH49" s="128" t="s">
        <v>227</v>
      </c>
      <c r="AI49" s="124" t="s">
        <v>227</v>
      </c>
      <c r="AJ49" s="129">
        <v>45034</v>
      </c>
      <c r="AK49" s="124" t="s">
        <v>328</v>
      </c>
      <c r="AL49" s="124" t="s">
        <v>288</v>
      </c>
    </row>
    <row r="50" spans="1:38" s="131" customFormat="1" ht="11.25" customHeight="1" x14ac:dyDescent="0.2">
      <c r="A50" s="130">
        <v>91</v>
      </c>
      <c r="B50" s="131" t="s">
        <v>49</v>
      </c>
      <c r="D50" s="131" t="s">
        <v>79</v>
      </c>
      <c r="E50" s="124" t="s">
        <v>57</v>
      </c>
      <c r="F50" s="124" t="s">
        <v>541</v>
      </c>
      <c r="G50" s="124" t="s">
        <v>542</v>
      </c>
      <c r="H50" s="124" t="s">
        <v>9</v>
      </c>
      <c r="I50" s="124" t="s">
        <v>508</v>
      </c>
      <c r="J50" s="126">
        <v>-575000</v>
      </c>
      <c r="K50" s="126">
        <v>-575000</v>
      </c>
      <c r="L50" s="126">
        <v>-575000</v>
      </c>
      <c r="M50" s="124" t="s">
        <v>278</v>
      </c>
      <c r="N50" s="124" t="s">
        <v>278</v>
      </c>
      <c r="O50" s="124" t="s">
        <v>543</v>
      </c>
      <c r="P50" s="124" t="s">
        <v>280</v>
      </c>
      <c r="Q50" s="124" t="s">
        <v>281</v>
      </c>
      <c r="R50" s="124" t="s">
        <v>282</v>
      </c>
      <c r="S50" s="124" t="s">
        <v>283</v>
      </c>
      <c r="T50" s="124" t="s">
        <v>366</v>
      </c>
      <c r="U50" s="124" t="s">
        <v>461</v>
      </c>
      <c r="V50" s="127">
        <v>101</v>
      </c>
      <c r="W50" s="127">
        <v>12014</v>
      </c>
      <c r="X50" s="127">
        <v>245011</v>
      </c>
      <c r="Y50" s="127">
        <v>9999</v>
      </c>
      <c r="Z50" s="127">
        <v>999</v>
      </c>
      <c r="AA50" s="127">
        <v>999</v>
      </c>
      <c r="AB50" s="127">
        <v>9999</v>
      </c>
      <c r="AC50" s="127">
        <v>9999</v>
      </c>
      <c r="AD50" s="124" t="s">
        <v>1</v>
      </c>
      <c r="AE50" s="124" t="s">
        <v>227</v>
      </c>
      <c r="AF50" s="124" t="s">
        <v>227</v>
      </c>
      <c r="AG50" s="124" t="s">
        <v>286</v>
      </c>
      <c r="AH50" s="128"/>
      <c r="AI50" s="124" t="s">
        <v>227</v>
      </c>
      <c r="AJ50" s="129">
        <v>44978</v>
      </c>
      <c r="AK50" s="124" t="s">
        <v>287</v>
      </c>
      <c r="AL50" s="124" t="s">
        <v>288</v>
      </c>
    </row>
    <row r="51" spans="1:38" s="131" customFormat="1" ht="11.25" customHeight="1" x14ac:dyDescent="0.2">
      <c r="A51" s="130">
        <v>35</v>
      </c>
      <c r="B51" s="131" t="s">
        <v>47</v>
      </c>
      <c r="D51" s="131" t="s">
        <v>644</v>
      </c>
      <c r="E51" s="124" t="s">
        <v>57</v>
      </c>
      <c r="F51" s="124" t="s">
        <v>645</v>
      </c>
      <c r="G51" s="124" t="s">
        <v>645</v>
      </c>
      <c r="H51" s="124" t="s">
        <v>646</v>
      </c>
      <c r="I51" s="125" t="s">
        <v>618</v>
      </c>
      <c r="J51" s="126">
        <v>575000</v>
      </c>
      <c r="K51" s="126">
        <v>575000</v>
      </c>
      <c r="L51" s="126">
        <v>575000</v>
      </c>
      <c r="M51" s="124" t="s">
        <v>278</v>
      </c>
      <c r="N51" s="124" t="s">
        <v>278</v>
      </c>
      <c r="O51" s="124" t="s">
        <v>647</v>
      </c>
      <c r="P51" s="124" t="s">
        <v>647</v>
      </c>
      <c r="Q51" s="124" t="s">
        <v>281</v>
      </c>
      <c r="R51" s="124" t="s">
        <v>282</v>
      </c>
      <c r="S51" s="124" t="s">
        <v>283</v>
      </c>
      <c r="T51" s="124" t="s">
        <v>366</v>
      </c>
      <c r="U51" s="124" t="s">
        <v>461</v>
      </c>
      <c r="V51" s="127">
        <v>101</v>
      </c>
      <c r="W51" s="127">
        <v>12014</v>
      </c>
      <c r="X51" s="127">
        <v>245011</v>
      </c>
      <c r="Y51" s="127">
        <v>9999</v>
      </c>
      <c r="Z51" s="127">
        <v>999</v>
      </c>
      <c r="AA51" s="127">
        <v>999</v>
      </c>
      <c r="AB51" s="127">
        <v>9999</v>
      </c>
      <c r="AC51" s="127">
        <v>9999</v>
      </c>
      <c r="AD51" s="124" t="s">
        <v>1</v>
      </c>
      <c r="AE51" s="124" t="s">
        <v>227</v>
      </c>
      <c r="AF51" s="124" t="s">
        <v>227</v>
      </c>
      <c r="AG51" s="124" t="s">
        <v>286</v>
      </c>
      <c r="AH51" s="128" t="s">
        <v>227</v>
      </c>
      <c r="AI51" s="124" t="s">
        <v>227</v>
      </c>
      <c r="AJ51" s="129">
        <v>45034</v>
      </c>
      <c r="AK51" s="124" t="s">
        <v>328</v>
      </c>
      <c r="AL51" s="124" t="s">
        <v>288</v>
      </c>
    </row>
    <row r="52" spans="1:38" s="117" customFormat="1" ht="11.25" customHeight="1" x14ac:dyDescent="0.2">
      <c r="A52" s="116">
        <v>68</v>
      </c>
      <c r="B52" s="112" t="s">
        <v>48</v>
      </c>
      <c r="C52" s="112"/>
      <c r="D52" s="112" t="s">
        <v>92</v>
      </c>
      <c r="E52" s="107" t="s">
        <v>91</v>
      </c>
      <c r="F52" s="107" t="s">
        <v>648</v>
      </c>
      <c r="G52" s="107" t="s">
        <v>649</v>
      </c>
      <c r="H52" s="107" t="s">
        <v>227</v>
      </c>
      <c r="I52" s="107" t="s">
        <v>579</v>
      </c>
      <c r="J52" s="122">
        <v>-4784.22</v>
      </c>
      <c r="K52" s="122">
        <v>-4784.22</v>
      </c>
      <c r="L52" s="122">
        <v>-4784.22</v>
      </c>
      <c r="M52" s="107" t="s">
        <v>278</v>
      </c>
      <c r="N52" s="107" t="s">
        <v>278</v>
      </c>
      <c r="O52" s="107" t="s">
        <v>650</v>
      </c>
      <c r="P52" s="107" t="s">
        <v>280</v>
      </c>
      <c r="Q52" s="107" t="s">
        <v>281</v>
      </c>
      <c r="R52" s="107" t="s">
        <v>282</v>
      </c>
      <c r="S52" s="107" t="s">
        <v>283</v>
      </c>
      <c r="T52" s="107" t="s">
        <v>313</v>
      </c>
      <c r="U52" s="107" t="s">
        <v>651</v>
      </c>
      <c r="V52" s="108">
        <v>101</v>
      </c>
      <c r="W52" s="108">
        <v>12016</v>
      </c>
      <c r="X52" s="108">
        <v>245011</v>
      </c>
      <c r="Y52" s="108">
        <v>9999</v>
      </c>
      <c r="Z52" s="108">
        <v>950</v>
      </c>
      <c r="AA52" s="108">
        <v>999</v>
      </c>
      <c r="AB52" s="108">
        <v>9999</v>
      </c>
      <c r="AC52" s="108">
        <v>9999</v>
      </c>
      <c r="AD52" s="107" t="s">
        <v>1</v>
      </c>
      <c r="AE52" s="107" t="s">
        <v>227</v>
      </c>
      <c r="AF52" s="107" t="s">
        <v>227</v>
      </c>
      <c r="AG52" s="107" t="s">
        <v>286</v>
      </c>
      <c r="AH52" s="109"/>
      <c r="AI52" s="107" t="s">
        <v>227</v>
      </c>
      <c r="AJ52" s="110">
        <v>45001</v>
      </c>
      <c r="AK52" s="107" t="s">
        <v>315</v>
      </c>
      <c r="AL52" s="107" t="s">
        <v>288</v>
      </c>
    </row>
    <row r="53" spans="1:38" s="117" customFormat="1" ht="11.25" customHeight="1" x14ac:dyDescent="0.2">
      <c r="A53" s="116">
        <v>68</v>
      </c>
      <c r="B53" s="112" t="s">
        <v>48</v>
      </c>
      <c r="C53" s="112"/>
      <c r="D53" s="112" t="s">
        <v>93</v>
      </c>
      <c r="E53" s="107" t="s">
        <v>91</v>
      </c>
      <c r="F53" s="107" t="s">
        <v>652</v>
      </c>
      <c r="G53" s="107" t="s">
        <v>653</v>
      </c>
      <c r="H53" s="107" t="s">
        <v>227</v>
      </c>
      <c r="I53" s="107" t="s">
        <v>579</v>
      </c>
      <c r="J53" s="122">
        <v>-1238.1400000000001</v>
      </c>
      <c r="K53" s="122">
        <v>-1238.1400000000001</v>
      </c>
      <c r="L53" s="122">
        <v>-1238.1400000000001</v>
      </c>
      <c r="M53" s="107" t="s">
        <v>278</v>
      </c>
      <c r="N53" s="107" t="s">
        <v>278</v>
      </c>
      <c r="O53" s="107" t="s">
        <v>654</v>
      </c>
      <c r="P53" s="107" t="s">
        <v>280</v>
      </c>
      <c r="Q53" s="107" t="s">
        <v>281</v>
      </c>
      <c r="R53" s="107" t="s">
        <v>282</v>
      </c>
      <c r="S53" s="107" t="s">
        <v>283</v>
      </c>
      <c r="T53" s="107" t="s">
        <v>313</v>
      </c>
      <c r="U53" s="107" t="s">
        <v>651</v>
      </c>
      <c r="V53" s="108">
        <v>101</v>
      </c>
      <c r="W53" s="108">
        <v>12016</v>
      </c>
      <c r="X53" s="108">
        <v>245011</v>
      </c>
      <c r="Y53" s="108">
        <v>9999</v>
      </c>
      <c r="Z53" s="108">
        <v>950</v>
      </c>
      <c r="AA53" s="108">
        <v>999</v>
      </c>
      <c r="AB53" s="108">
        <v>9999</v>
      </c>
      <c r="AC53" s="108">
        <v>9999</v>
      </c>
      <c r="AD53" s="107" t="s">
        <v>1</v>
      </c>
      <c r="AE53" s="107" t="s">
        <v>227</v>
      </c>
      <c r="AF53" s="107" t="s">
        <v>227</v>
      </c>
      <c r="AG53" s="107" t="s">
        <v>286</v>
      </c>
      <c r="AH53" s="109"/>
      <c r="AI53" s="107" t="s">
        <v>227</v>
      </c>
      <c r="AJ53" s="110">
        <v>45001</v>
      </c>
      <c r="AK53" s="107" t="s">
        <v>315</v>
      </c>
      <c r="AL53" s="107" t="s">
        <v>288</v>
      </c>
    </row>
    <row r="54" spans="1:38" s="112" customFormat="1" ht="11.25" customHeight="1" x14ac:dyDescent="0.2">
      <c r="A54" s="116">
        <v>35</v>
      </c>
      <c r="B54" s="112" t="s">
        <v>47</v>
      </c>
      <c r="D54" s="112" t="s">
        <v>644</v>
      </c>
      <c r="E54" s="99" t="s">
        <v>91</v>
      </c>
      <c r="F54" s="99" t="s">
        <v>655</v>
      </c>
      <c r="G54" s="99" t="s">
        <v>655</v>
      </c>
      <c r="H54" s="99" t="s">
        <v>656</v>
      </c>
      <c r="I54" s="111" t="s">
        <v>618</v>
      </c>
      <c r="J54" s="120">
        <v>4784.22</v>
      </c>
      <c r="K54" s="120">
        <v>4784.22</v>
      </c>
      <c r="L54" s="120">
        <v>4784.22</v>
      </c>
      <c r="M54" s="99" t="s">
        <v>278</v>
      </c>
      <c r="N54" s="99" t="s">
        <v>278</v>
      </c>
      <c r="O54" s="99" t="s">
        <v>657</v>
      </c>
      <c r="P54" s="99" t="s">
        <v>657</v>
      </c>
      <c r="Q54" s="99" t="s">
        <v>281</v>
      </c>
      <c r="R54" s="99" t="s">
        <v>282</v>
      </c>
      <c r="S54" s="99" t="s">
        <v>283</v>
      </c>
      <c r="T54" s="99" t="s">
        <v>313</v>
      </c>
      <c r="U54" s="99" t="s">
        <v>651</v>
      </c>
      <c r="V54" s="100">
        <v>101</v>
      </c>
      <c r="W54" s="100">
        <v>12016</v>
      </c>
      <c r="X54" s="100">
        <v>245011</v>
      </c>
      <c r="Y54" s="100">
        <v>9999</v>
      </c>
      <c r="Z54" s="100">
        <v>950</v>
      </c>
      <c r="AA54" s="100">
        <v>999</v>
      </c>
      <c r="AB54" s="100">
        <v>9999</v>
      </c>
      <c r="AC54" s="100">
        <v>9999</v>
      </c>
      <c r="AD54" s="99" t="s">
        <v>1</v>
      </c>
      <c r="AE54" s="99" t="s">
        <v>658</v>
      </c>
      <c r="AF54" s="99" t="s">
        <v>227</v>
      </c>
      <c r="AG54" s="99" t="s">
        <v>286</v>
      </c>
      <c r="AH54" s="101" t="s">
        <v>227</v>
      </c>
      <c r="AI54" s="99" t="s">
        <v>227</v>
      </c>
      <c r="AJ54" s="102">
        <v>45034</v>
      </c>
      <c r="AK54" s="99" t="s">
        <v>328</v>
      </c>
      <c r="AL54" s="99" t="s">
        <v>288</v>
      </c>
    </row>
    <row r="55" spans="1:38" s="112" customFormat="1" ht="11.25" customHeight="1" x14ac:dyDescent="0.2">
      <c r="A55" s="116">
        <v>35</v>
      </c>
      <c r="B55" s="112" t="s">
        <v>47</v>
      </c>
      <c r="D55" s="112" t="s">
        <v>644</v>
      </c>
      <c r="E55" s="99" t="s">
        <v>91</v>
      </c>
      <c r="F55" s="99" t="s">
        <v>659</v>
      </c>
      <c r="G55" s="99" t="s">
        <v>659</v>
      </c>
      <c r="H55" s="99" t="s">
        <v>656</v>
      </c>
      <c r="I55" s="111" t="s">
        <v>618</v>
      </c>
      <c r="J55" s="120">
        <v>1238.1400000000001</v>
      </c>
      <c r="K55" s="120">
        <v>1238.1400000000001</v>
      </c>
      <c r="L55" s="120">
        <v>1238.1400000000001</v>
      </c>
      <c r="M55" s="99" t="s">
        <v>278</v>
      </c>
      <c r="N55" s="99" t="s">
        <v>278</v>
      </c>
      <c r="O55" s="99" t="s">
        <v>660</v>
      </c>
      <c r="P55" s="99" t="s">
        <v>660</v>
      </c>
      <c r="Q55" s="99" t="s">
        <v>281</v>
      </c>
      <c r="R55" s="99" t="s">
        <v>282</v>
      </c>
      <c r="S55" s="99" t="s">
        <v>283</v>
      </c>
      <c r="T55" s="99" t="s">
        <v>313</v>
      </c>
      <c r="U55" s="99" t="s">
        <v>651</v>
      </c>
      <c r="V55" s="100">
        <v>101</v>
      </c>
      <c r="W55" s="100">
        <v>12016</v>
      </c>
      <c r="X55" s="100">
        <v>245011</v>
      </c>
      <c r="Y55" s="100">
        <v>9999</v>
      </c>
      <c r="Z55" s="100">
        <v>950</v>
      </c>
      <c r="AA55" s="100">
        <v>999</v>
      </c>
      <c r="AB55" s="100">
        <v>9999</v>
      </c>
      <c r="AC55" s="100">
        <v>9999</v>
      </c>
      <c r="AD55" s="99" t="s">
        <v>1</v>
      </c>
      <c r="AE55" s="99" t="s">
        <v>661</v>
      </c>
      <c r="AF55" s="99" t="s">
        <v>227</v>
      </c>
      <c r="AG55" s="99" t="s">
        <v>286</v>
      </c>
      <c r="AH55" s="101" t="s">
        <v>227</v>
      </c>
      <c r="AI55" s="99" t="s">
        <v>227</v>
      </c>
      <c r="AJ55" s="102">
        <v>45034</v>
      </c>
      <c r="AK55" s="99" t="s">
        <v>328</v>
      </c>
      <c r="AL55" s="99" t="s">
        <v>288</v>
      </c>
    </row>
    <row r="56" spans="1:38" s="112" customFormat="1" ht="11.25" customHeight="1" x14ac:dyDescent="0.2">
      <c r="A56" s="116">
        <v>44</v>
      </c>
      <c r="B56" s="112" t="s">
        <v>47</v>
      </c>
      <c r="D56" s="112" t="s">
        <v>662</v>
      </c>
      <c r="E56" s="124" t="s">
        <v>11</v>
      </c>
      <c r="F56" s="124" t="s">
        <v>663</v>
      </c>
      <c r="G56" s="124" t="s">
        <v>664</v>
      </c>
      <c r="H56" s="124" t="s">
        <v>27</v>
      </c>
      <c r="I56" s="125" t="s">
        <v>618</v>
      </c>
      <c r="J56" s="126">
        <v>-25000</v>
      </c>
      <c r="K56" s="126">
        <v>-25000</v>
      </c>
      <c r="L56" s="126">
        <v>-25000</v>
      </c>
      <c r="M56" s="124" t="s">
        <v>278</v>
      </c>
      <c r="N56" s="124" t="s">
        <v>278</v>
      </c>
      <c r="O56" s="124" t="s">
        <v>665</v>
      </c>
      <c r="P56" s="124" t="s">
        <v>280</v>
      </c>
      <c r="Q56" s="124" t="s">
        <v>281</v>
      </c>
      <c r="R56" s="124" t="s">
        <v>282</v>
      </c>
      <c r="S56" s="124" t="s">
        <v>283</v>
      </c>
      <c r="T56" s="124" t="s">
        <v>313</v>
      </c>
      <c r="U56" s="124" t="s">
        <v>285</v>
      </c>
      <c r="V56" s="127">
        <v>101</v>
      </c>
      <c r="W56" s="127">
        <v>12012</v>
      </c>
      <c r="X56" s="127">
        <v>245011</v>
      </c>
      <c r="Y56" s="127">
        <v>9999</v>
      </c>
      <c r="Z56" s="127">
        <v>999</v>
      </c>
      <c r="AA56" s="127">
        <v>999</v>
      </c>
      <c r="AB56" s="127">
        <v>9999</v>
      </c>
      <c r="AC56" s="127">
        <v>9999</v>
      </c>
      <c r="AD56" s="124" t="s">
        <v>1</v>
      </c>
      <c r="AE56" s="124" t="s">
        <v>227</v>
      </c>
      <c r="AF56" s="124" t="s">
        <v>227</v>
      </c>
      <c r="AG56" s="124" t="s">
        <v>286</v>
      </c>
      <c r="AH56" s="128" t="s">
        <v>227</v>
      </c>
      <c r="AI56" s="124" t="s">
        <v>227</v>
      </c>
      <c r="AJ56" s="129">
        <v>45046</v>
      </c>
      <c r="AK56" s="124" t="s">
        <v>287</v>
      </c>
      <c r="AL56" s="124" t="s">
        <v>288</v>
      </c>
    </row>
    <row r="57" spans="1:38" s="112" customFormat="1" ht="11.25" customHeight="1" x14ac:dyDescent="0.2">
      <c r="A57" s="116">
        <v>28</v>
      </c>
      <c r="B57" s="112" t="s">
        <v>46</v>
      </c>
      <c r="E57" s="112" t="s">
        <v>11</v>
      </c>
      <c r="F57" s="112" t="s">
        <v>666</v>
      </c>
      <c r="G57" s="112" t="s">
        <v>667</v>
      </c>
      <c r="H57" s="112" t="s">
        <v>27</v>
      </c>
      <c r="I57" s="132">
        <v>45069</v>
      </c>
      <c r="J57" s="114">
        <v>25000</v>
      </c>
      <c r="K57" s="114">
        <v>25000</v>
      </c>
      <c r="L57" s="114">
        <v>25000</v>
      </c>
      <c r="M57" s="112" t="s">
        <v>278</v>
      </c>
      <c r="N57" s="112" t="s">
        <v>278</v>
      </c>
      <c r="O57" s="112" t="s">
        <v>668</v>
      </c>
      <c r="P57" s="112" t="s">
        <v>280</v>
      </c>
      <c r="Q57" s="112" t="s">
        <v>281</v>
      </c>
      <c r="R57" s="112" t="s">
        <v>282</v>
      </c>
      <c r="S57" s="112" t="s">
        <v>283</v>
      </c>
      <c r="T57" s="112" t="s">
        <v>313</v>
      </c>
      <c r="U57" s="112" t="s">
        <v>285</v>
      </c>
      <c r="V57" s="112">
        <v>101</v>
      </c>
      <c r="W57" s="112">
        <v>12012</v>
      </c>
      <c r="X57" s="112">
        <v>245011</v>
      </c>
      <c r="Y57" s="112">
        <v>9999</v>
      </c>
      <c r="Z57" s="112">
        <v>999</v>
      </c>
      <c r="AA57" s="112">
        <v>999</v>
      </c>
      <c r="AB57" s="112">
        <v>9999</v>
      </c>
      <c r="AC57" s="112">
        <v>9999</v>
      </c>
      <c r="AD57" s="112" t="s">
        <v>1</v>
      </c>
      <c r="AE57" s="112" t="s">
        <v>227</v>
      </c>
      <c r="AF57" s="112" t="s">
        <v>227</v>
      </c>
      <c r="AG57" s="112" t="s">
        <v>286</v>
      </c>
      <c r="AH57" s="112" t="s">
        <v>227</v>
      </c>
      <c r="AI57" s="112" t="s">
        <v>227</v>
      </c>
      <c r="AJ57" s="133">
        <v>45062</v>
      </c>
      <c r="AK57" s="112" t="s">
        <v>287</v>
      </c>
      <c r="AL57" s="112" t="s">
        <v>288</v>
      </c>
    </row>
    <row r="58" spans="1:38" s="112" customFormat="1" ht="11.25" customHeight="1" x14ac:dyDescent="0.2">
      <c r="A58" s="116">
        <v>44</v>
      </c>
      <c r="B58" s="112" t="s">
        <v>47</v>
      </c>
      <c r="D58" s="112" t="s">
        <v>662</v>
      </c>
      <c r="E58" s="124" t="s">
        <v>75</v>
      </c>
      <c r="F58" s="124" t="s">
        <v>669</v>
      </c>
      <c r="G58" s="124" t="s">
        <v>670</v>
      </c>
      <c r="H58" s="124" t="s">
        <v>16</v>
      </c>
      <c r="I58" s="125" t="s">
        <v>618</v>
      </c>
      <c r="J58" s="126">
        <v>-50226</v>
      </c>
      <c r="K58" s="126">
        <v>-50226</v>
      </c>
      <c r="L58" s="126">
        <v>-50226</v>
      </c>
      <c r="M58" s="124" t="s">
        <v>278</v>
      </c>
      <c r="N58" s="124" t="s">
        <v>278</v>
      </c>
      <c r="O58" s="124" t="s">
        <v>671</v>
      </c>
      <c r="P58" s="124" t="s">
        <v>280</v>
      </c>
      <c r="Q58" s="124" t="s">
        <v>281</v>
      </c>
      <c r="R58" s="124" t="s">
        <v>282</v>
      </c>
      <c r="S58" s="124" t="s">
        <v>294</v>
      </c>
      <c r="T58" s="124" t="s">
        <v>295</v>
      </c>
      <c r="U58" s="124" t="s">
        <v>474</v>
      </c>
      <c r="V58" s="127">
        <v>101</v>
      </c>
      <c r="W58" s="127">
        <v>13006</v>
      </c>
      <c r="X58" s="127">
        <v>245011</v>
      </c>
      <c r="Y58" s="127">
        <v>9999</v>
      </c>
      <c r="Z58" s="127">
        <v>999</v>
      </c>
      <c r="AA58" s="127">
        <v>999</v>
      </c>
      <c r="AB58" s="127">
        <v>9999</v>
      </c>
      <c r="AC58" s="127">
        <v>9999</v>
      </c>
      <c r="AD58" s="124" t="s">
        <v>1</v>
      </c>
      <c r="AE58" s="124" t="s">
        <v>227</v>
      </c>
      <c r="AF58" s="124" t="s">
        <v>227</v>
      </c>
      <c r="AG58" s="124" t="s">
        <v>286</v>
      </c>
      <c r="AH58" s="128" t="s">
        <v>227</v>
      </c>
      <c r="AI58" s="124" t="s">
        <v>227</v>
      </c>
      <c r="AJ58" s="129">
        <v>45046</v>
      </c>
      <c r="AK58" s="124" t="s">
        <v>287</v>
      </c>
      <c r="AL58" s="124" t="s">
        <v>288</v>
      </c>
    </row>
    <row r="59" spans="1:38" s="112" customFormat="1" ht="11.25" customHeight="1" x14ac:dyDescent="0.2">
      <c r="A59" s="116">
        <v>28</v>
      </c>
      <c r="B59" s="112" t="s">
        <v>46</v>
      </c>
      <c r="E59" s="112" t="s">
        <v>75</v>
      </c>
      <c r="F59" s="112" t="s">
        <v>672</v>
      </c>
      <c r="G59" s="112" t="s">
        <v>673</v>
      </c>
      <c r="H59" s="112" t="s">
        <v>16</v>
      </c>
      <c r="I59" s="132">
        <v>45069</v>
      </c>
      <c r="J59" s="114">
        <v>50226</v>
      </c>
      <c r="K59" s="114">
        <v>50226</v>
      </c>
      <c r="L59" s="114">
        <v>50226</v>
      </c>
      <c r="M59" s="112" t="s">
        <v>278</v>
      </c>
      <c r="N59" s="112" t="s">
        <v>278</v>
      </c>
      <c r="O59" s="112" t="s">
        <v>674</v>
      </c>
      <c r="P59" s="112" t="s">
        <v>280</v>
      </c>
      <c r="Q59" s="112" t="s">
        <v>281</v>
      </c>
      <c r="R59" s="112" t="s">
        <v>282</v>
      </c>
      <c r="S59" s="112" t="s">
        <v>294</v>
      </c>
      <c r="T59" s="112" t="s">
        <v>295</v>
      </c>
      <c r="U59" s="112" t="s">
        <v>474</v>
      </c>
      <c r="V59" s="112">
        <v>101</v>
      </c>
      <c r="W59" s="112">
        <v>13006</v>
      </c>
      <c r="X59" s="112">
        <v>245011</v>
      </c>
      <c r="Y59" s="112">
        <v>9999</v>
      </c>
      <c r="Z59" s="112">
        <v>999</v>
      </c>
      <c r="AA59" s="112">
        <v>999</v>
      </c>
      <c r="AB59" s="112">
        <v>9999</v>
      </c>
      <c r="AC59" s="112">
        <v>9999</v>
      </c>
      <c r="AD59" s="112" t="s">
        <v>1</v>
      </c>
      <c r="AE59" s="112" t="s">
        <v>227</v>
      </c>
      <c r="AF59" s="112" t="s">
        <v>227</v>
      </c>
      <c r="AG59" s="112" t="s">
        <v>286</v>
      </c>
      <c r="AH59" s="112" t="s">
        <v>227</v>
      </c>
      <c r="AI59" s="112" t="s">
        <v>227</v>
      </c>
      <c r="AJ59" s="133">
        <v>45062</v>
      </c>
      <c r="AK59" s="112" t="s">
        <v>287</v>
      </c>
      <c r="AL59" s="112" t="s">
        <v>288</v>
      </c>
    </row>
    <row r="60" spans="1:38" s="112" customFormat="1" ht="11.25" customHeight="1" x14ac:dyDescent="0.2">
      <c r="A60" s="116">
        <v>92</v>
      </c>
      <c r="B60" s="112" t="s">
        <v>49</v>
      </c>
      <c r="D60" s="112" t="s">
        <v>95</v>
      </c>
      <c r="E60" s="95" t="s">
        <v>75</v>
      </c>
      <c r="F60" s="95" t="s">
        <v>675</v>
      </c>
      <c r="G60" s="95" t="s">
        <v>675</v>
      </c>
      <c r="H60" s="95" t="s">
        <v>227</v>
      </c>
      <c r="I60" s="95" t="s">
        <v>579</v>
      </c>
      <c r="J60" s="119">
        <v>-96764.26</v>
      </c>
      <c r="K60" s="119">
        <v>-96764.26</v>
      </c>
      <c r="L60" s="119">
        <v>-96764.26</v>
      </c>
      <c r="M60" s="95" t="s">
        <v>278</v>
      </c>
      <c r="N60" s="95" t="s">
        <v>278</v>
      </c>
      <c r="O60" s="95" t="s">
        <v>676</v>
      </c>
      <c r="P60" s="95" t="s">
        <v>227</v>
      </c>
      <c r="Q60" s="95" t="s">
        <v>281</v>
      </c>
      <c r="R60" s="95" t="s">
        <v>282</v>
      </c>
      <c r="S60" s="95" t="s">
        <v>294</v>
      </c>
      <c r="T60" s="95" t="s">
        <v>295</v>
      </c>
      <c r="U60" s="95" t="s">
        <v>474</v>
      </c>
      <c r="V60" s="96">
        <v>101</v>
      </c>
      <c r="W60" s="96">
        <v>13006</v>
      </c>
      <c r="X60" s="96">
        <v>245011</v>
      </c>
      <c r="Y60" s="96">
        <v>9999</v>
      </c>
      <c r="Z60" s="96">
        <v>999</v>
      </c>
      <c r="AA60" s="96">
        <v>999</v>
      </c>
      <c r="AB60" s="96">
        <v>9999</v>
      </c>
      <c r="AC60" s="96">
        <v>9999</v>
      </c>
      <c r="AD60" s="95" t="s">
        <v>1</v>
      </c>
      <c r="AE60" s="95" t="s">
        <v>227</v>
      </c>
      <c r="AF60" s="95" t="s">
        <v>227</v>
      </c>
      <c r="AG60" s="95" t="s">
        <v>286</v>
      </c>
      <c r="AH60" s="97"/>
      <c r="AI60" s="95" t="s">
        <v>227</v>
      </c>
      <c r="AJ60" s="98">
        <v>44998</v>
      </c>
      <c r="AK60" s="95" t="s">
        <v>328</v>
      </c>
      <c r="AL60" s="95" t="s">
        <v>288</v>
      </c>
    </row>
    <row r="61" spans="1:38" s="112" customFormat="1" ht="11.25" customHeight="1" x14ac:dyDescent="0.2">
      <c r="A61" s="116">
        <v>13</v>
      </c>
      <c r="B61" s="112" t="s">
        <v>46</v>
      </c>
      <c r="E61" s="112" t="s">
        <v>75</v>
      </c>
      <c r="F61" s="112" t="s">
        <v>677</v>
      </c>
      <c r="G61" s="112" t="s">
        <v>677</v>
      </c>
      <c r="H61" s="112" t="s">
        <v>9</v>
      </c>
      <c r="I61" s="132">
        <v>45069</v>
      </c>
      <c r="J61" s="114">
        <v>96764.26</v>
      </c>
      <c r="K61" s="114">
        <v>96764.26</v>
      </c>
      <c r="L61" s="114">
        <v>96764.26</v>
      </c>
      <c r="M61" s="112" t="s">
        <v>278</v>
      </c>
      <c r="N61" s="112" t="s">
        <v>278</v>
      </c>
      <c r="O61" s="112" t="s">
        <v>678</v>
      </c>
      <c r="P61" s="112" t="s">
        <v>227</v>
      </c>
      <c r="Q61" s="112" t="s">
        <v>281</v>
      </c>
      <c r="R61" s="112" t="s">
        <v>282</v>
      </c>
      <c r="S61" s="112" t="s">
        <v>294</v>
      </c>
      <c r="T61" s="112" t="s">
        <v>295</v>
      </c>
      <c r="U61" s="112" t="s">
        <v>474</v>
      </c>
      <c r="V61" s="112">
        <v>101</v>
      </c>
      <c r="W61" s="112">
        <v>13006</v>
      </c>
      <c r="X61" s="112">
        <v>245011</v>
      </c>
      <c r="Y61" s="112">
        <v>9999</v>
      </c>
      <c r="Z61" s="112">
        <v>999</v>
      </c>
      <c r="AA61" s="112">
        <v>999</v>
      </c>
      <c r="AB61" s="112">
        <v>9999</v>
      </c>
      <c r="AC61" s="112">
        <v>9999</v>
      </c>
      <c r="AD61" s="112" t="s">
        <v>1</v>
      </c>
      <c r="AE61" s="112" t="s">
        <v>227</v>
      </c>
      <c r="AF61" s="112" t="s">
        <v>227</v>
      </c>
      <c r="AG61" s="112" t="s">
        <v>286</v>
      </c>
      <c r="AH61" s="112" t="s">
        <v>227</v>
      </c>
      <c r="AI61" s="112" t="s">
        <v>227</v>
      </c>
      <c r="AJ61" s="133">
        <v>45077</v>
      </c>
      <c r="AK61" s="112" t="s">
        <v>328</v>
      </c>
      <c r="AL61" s="112" t="s">
        <v>288</v>
      </c>
    </row>
    <row r="62" spans="1:38" s="112" customFormat="1" ht="11.25" customHeight="1" x14ac:dyDescent="0.2">
      <c r="A62" s="116">
        <v>44</v>
      </c>
      <c r="B62" s="112" t="s">
        <v>47</v>
      </c>
      <c r="D62" s="112" t="s">
        <v>679</v>
      </c>
      <c r="E62" s="124" t="s">
        <v>68</v>
      </c>
      <c r="F62" s="124" t="s">
        <v>680</v>
      </c>
      <c r="G62" s="124" t="s">
        <v>681</v>
      </c>
      <c r="H62" s="124" t="s">
        <v>27</v>
      </c>
      <c r="I62" s="125" t="s">
        <v>618</v>
      </c>
      <c r="J62" s="126">
        <v>-268104.01</v>
      </c>
      <c r="K62" s="126">
        <v>-268104.01</v>
      </c>
      <c r="L62" s="126">
        <v>-268104.01</v>
      </c>
      <c r="M62" s="124" t="s">
        <v>278</v>
      </c>
      <c r="N62" s="124" t="s">
        <v>278</v>
      </c>
      <c r="O62" s="124" t="s">
        <v>682</v>
      </c>
      <c r="P62" s="124" t="s">
        <v>280</v>
      </c>
      <c r="Q62" s="124" t="s">
        <v>281</v>
      </c>
      <c r="R62" s="124" t="s">
        <v>282</v>
      </c>
      <c r="S62" s="124" t="s">
        <v>283</v>
      </c>
      <c r="T62" s="124" t="s">
        <v>313</v>
      </c>
      <c r="U62" s="124" t="s">
        <v>547</v>
      </c>
      <c r="V62" s="127">
        <v>101</v>
      </c>
      <c r="W62" s="127">
        <v>12022</v>
      </c>
      <c r="X62" s="127">
        <v>245011</v>
      </c>
      <c r="Y62" s="127">
        <v>9999</v>
      </c>
      <c r="Z62" s="127">
        <v>999</v>
      </c>
      <c r="AA62" s="127">
        <v>999</v>
      </c>
      <c r="AB62" s="127">
        <v>9999</v>
      </c>
      <c r="AC62" s="127">
        <v>9999</v>
      </c>
      <c r="AD62" s="124" t="s">
        <v>1</v>
      </c>
      <c r="AE62" s="124" t="s">
        <v>227</v>
      </c>
      <c r="AF62" s="124" t="s">
        <v>227</v>
      </c>
      <c r="AG62" s="124" t="s">
        <v>286</v>
      </c>
      <c r="AH62" s="128" t="s">
        <v>227</v>
      </c>
      <c r="AI62" s="124" t="s">
        <v>227</v>
      </c>
      <c r="AJ62" s="129">
        <v>45046</v>
      </c>
      <c r="AK62" s="124" t="s">
        <v>287</v>
      </c>
      <c r="AL62" s="124" t="s">
        <v>288</v>
      </c>
    </row>
    <row r="63" spans="1:38" s="112" customFormat="1" ht="11.25" customHeight="1" x14ac:dyDescent="0.2">
      <c r="A63" s="116">
        <v>13</v>
      </c>
      <c r="B63" s="112" t="s">
        <v>46</v>
      </c>
      <c r="E63" s="112" t="s">
        <v>68</v>
      </c>
      <c r="F63" s="112" t="s">
        <v>683</v>
      </c>
      <c r="G63" s="112" t="s">
        <v>684</v>
      </c>
      <c r="H63" s="112" t="s">
        <v>27</v>
      </c>
      <c r="I63" s="132">
        <v>45069</v>
      </c>
      <c r="J63" s="114">
        <v>268104.01</v>
      </c>
      <c r="K63" s="114">
        <v>268104.01</v>
      </c>
      <c r="L63" s="114">
        <v>268104.01</v>
      </c>
      <c r="M63" s="112" t="s">
        <v>278</v>
      </c>
      <c r="N63" s="112" t="s">
        <v>278</v>
      </c>
      <c r="O63" s="112" t="s">
        <v>685</v>
      </c>
      <c r="P63" s="112" t="s">
        <v>280</v>
      </c>
      <c r="Q63" s="112" t="s">
        <v>281</v>
      </c>
      <c r="R63" s="112" t="s">
        <v>282</v>
      </c>
      <c r="S63" s="112" t="s">
        <v>283</v>
      </c>
      <c r="T63" s="112" t="s">
        <v>313</v>
      </c>
      <c r="U63" s="112" t="s">
        <v>547</v>
      </c>
      <c r="V63" s="112">
        <v>101</v>
      </c>
      <c r="W63" s="112">
        <v>12022</v>
      </c>
      <c r="X63" s="112">
        <v>245011</v>
      </c>
      <c r="Y63" s="112">
        <v>9999</v>
      </c>
      <c r="Z63" s="112">
        <v>999</v>
      </c>
      <c r="AA63" s="112">
        <v>999</v>
      </c>
      <c r="AB63" s="112">
        <v>9999</v>
      </c>
      <c r="AC63" s="112">
        <v>9999</v>
      </c>
      <c r="AD63" s="112" t="s">
        <v>1</v>
      </c>
      <c r="AE63" s="112" t="s">
        <v>227</v>
      </c>
      <c r="AF63" s="112" t="s">
        <v>227</v>
      </c>
      <c r="AG63" s="112" t="s">
        <v>286</v>
      </c>
      <c r="AH63" s="112" t="s">
        <v>227</v>
      </c>
      <c r="AI63" s="112" t="s">
        <v>227</v>
      </c>
      <c r="AJ63" s="133">
        <v>45077</v>
      </c>
      <c r="AK63" s="112" t="s">
        <v>287</v>
      </c>
      <c r="AL63" s="112" t="s">
        <v>288</v>
      </c>
    </row>
    <row r="64" spans="1:38" s="112" customFormat="1" ht="11.25" customHeight="1" x14ac:dyDescent="0.2">
      <c r="A64" s="116">
        <v>44</v>
      </c>
      <c r="B64" s="112" t="s">
        <v>47</v>
      </c>
      <c r="D64" s="112" t="s">
        <v>662</v>
      </c>
      <c r="E64" s="124" t="s">
        <v>32</v>
      </c>
      <c r="F64" s="124" t="s">
        <v>686</v>
      </c>
      <c r="G64" s="124" t="s">
        <v>687</v>
      </c>
      <c r="H64" s="124" t="s">
        <v>27</v>
      </c>
      <c r="I64" s="125" t="s">
        <v>618</v>
      </c>
      <c r="J64" s="126">
        <v>-303524.08</v>
      </c>
      <c r="K64" s="126">
        <v>-303524.08</v>
      </c>
      <c r="L64" s="126">
        <v>-303524.08</v>
      </c>
      <c r="M64" s="124" t="s">
        <v>278</v>
      </c>
      <c r="N64" s="124" t="s">
        <v>278</v>
      </c>
      <c r="O64" s="124" t="s">
        <v>688</v>
      </c>
      <c r="P64" s="124" t="s">
        <v>280</v>
      </c>
      <c r="Q64" s="124" t="s">
        <v>281</v>
      </c>
      <c r="R64" s="124" t="s">
        <v>282</v>
      </c>
      <c r="S64" s="124" t="s">
        <v>283</v>
      </c>
      <c r="T64" s="124" t="s">
        <v>313</v>
      </c>
      <c r="U64" s="124" t="s">
        <v>381</v>
      </c>
      <c r="V64" s="127">
        <v>101</v>
      </c>
      <c r="W64" s="127">
        <v>12015</v>
      </c>
      <c r="X64" s="127">
        <v>245011</v>
      </c>
      <c r="Y64" s="127">
        <v>9999</v>
      </c>
      <c r="Z64" s="127">
        <v>999</v>
      </c>
      <c r="AA64" s="127">
        <v>999</v>
      </c>
      <c r="AB64" s="127">
        <v>9999</v>
      </c>
      <c r="AC64" s="127">
        <v>9999</v>
      </c>
      <c r="AD64" s="124" t="s">
        <v>1</v>
      </c>
      <c r="AE64" s="124" t="s">
        <v>227</v>
      </c>
      <c r="AF64" s="124" t="s">
        <v>227</v>
      </c>
      <c r="AG64" s="124" t="s">
        <v>286</v>
      </c>
      <c r="AH64" s="128" t="s">
        <v>227</v>
      </c>
      <c r="AI64" s="124" t="s">
        <v>227</v>
      </c>
      <c r="AJ64" s="129">
        <v>45046</v>
      </c>
      <c r="AK64" s="124" t="s">
        <v>287</v>
      </c>
      <c r="AL64" s="124" t="s">
        <v>288</v>
      </c>
    </row>
    <row r="65" spans="1:38" s="112" customFormat="1" ht="11.25" customHeight="1" x14ac:dyDescent="0.2">
      <c r="A65" s="116">
        <v>28</v>
      </c>
      <c r="B65" s="112" t="s">
        <v>46</v>
      </c>
      <c r="E65" s="112" t="s">
        <v>32</v>
      </c>
      <c r="F65" s="112" t="s">
        <v>689</v>
      </c>
      <c r="G65" s="112" t="s">
        <v>690</v>
      </c>
      <c r="H65" s="112" t="s">
        <v>27</v>
      </c>
      <c r="I65" s="132">
        <v>45069</v>
      </c>
      <c r="J65" s="114">
        <v>303524.08</v>
      </c>
      <c r="K65" s="114">
        <v>303524.08</v>
      </c>
      <c r="L65" s="114">
        <v>303524.08</v>
      </c>
      <c r="M65" s="112" t="s">
        <v>278</v>
      </c>
      <c r="N65" s="112" t="s">
        <v>278</v>
      </c>
      <c r="O65" s="112" t="s">
        <v>691</v>
      </c>
      <c r="P65" s="112" t="s">
        <v>280</v>
      </c>
      <c r="Q65" s="112" t="s">
        <v>281</v>
      </c>
      <c r="R65" s="112" t="s">
        <v>282</v>
      </c>
      <c r="S65" s="112" t="s">
        <v>283</v>
      </c>
      <c r="T65" s="112" t="s">
        <v>313</v>
      </c>
      <c r="U65" s="112" t="s">
        <v>381</v>
      </c>
      <c r="V65" s="112">
        <v>101</v>
      </c>
      <c r="W65" s="112">
        <v>12015</v>
      </c>
      <c r="X65" s="112">
        <v>245011</v>
      </c>
      <c r="Y65" s="112">
        <v>9999</v>
      </c>
      <c r="Z65" s="112">
        <v>999</v>
      </c>
      <c r="AA65" s="112">
        <v>999</v>
      </c>
      <c r="AB65" s="112">
        <v>9999</v>
      </c>
      <c r="AC65" s="112">
        <v>9999</v>
      </c>
      <c r="AD65" s="112" t="s">
        <v>1</v>
      </c>
      <c r="AE65" s="112" t="s">
        <v>227</v>
      </c>
      <c r="AF65" s="112" t="s">
        <v>227</v>
      </c>
      <c r="AG65" s="112" t="s">
        <v>286</v>
      </c>
      <c r="AH65" s="112" t="s">
        <v>227</v>
      </c>
      <c r="AI65" s="112" t="s">
        <v>227</v>
      </c>
      <c r="AJ65" s="133">
        <v>45062</v>
      </c>
      <c r="AK65" s="112" t="s">
        <v>287</v>
      </c>
      <c r="AL65" s="112" t="s">
        <v>288</v>
      </c>
    </row>
    <row r="66" spans="1:38" s="112" customFormat="1" ht="11.25" customHeight="1" x14ac:dyDescent="0.2">
      <c r="A66" s="116">
        <v>40</v>
      </c>
      <c r="B66" s="112" t="s">
        <v>47</v>
      </c>
      <c r="D66" s="142" t="s">
        <v>103</v>
      </c>
      <c r="E66" s="131" t="s">
        <v>35</v>
      </c>
      <c r="F66" s="131" t="s">
        <v>692</v>
      </c>
      <c r="G66" s="131" t="s">
        <v>692</v>
      </c>
      <c r="H66" s="131" t="s">
        <v>19</v>
      </c>
      <c r="I66" s="149">
        <v>45069</v>
      </c>
      <c r="J66" s="150">
        <v>18800</v>
      </c>
      <c r="K66" s="150">
        <v>18800</v>
      </c>
      <c r="L66" s="150">
        <v>18800</v>
      </c>
      <c r="M66" s="131" t="s">
        <v>278</v>
      </c>
      <c r="N66" s="131" t="s">
        <v>278</v>
      </c>
      <c r="O66" s="131" t="s">
        <v>693</v>
      </c>
      <c r="P66" s="131" t="s">
        <v>693</v>
      </c>
      <c r="Q66" s="131" t="s">
        <v>281</v>
      </c>
      <c r="R66" s="131" t="s">
        <v>282</v>
      </c>
      <c r="S66" s="131" t="s">
        <v>283</v>
      </c>
      <c r="T66" s="131" t="s">
        <v>366</v>
      </c>
      <c r="U66" s="131" t="s">
        <v>526</v>
      </c>
      <c r="V66" s="131">
        <v>101</v>
      </c>
      <c r="W66" s="131">
        <v>11010</v>
      </c>
      <c r="X66" s="131">
        <v>245011</v>
      </c>
      <c r="Y66" s="131">
        <v>9999</v>
      </c>
      <c r="Z66" s="131">
        <v>950</v>
      </c>
      <c r="AA66" s="131">
        <v>999</v>
      </c>
      <c r="AB66" s="131">
        <v>9999</v>
      </c>
      <c r="AC66" s="131">
        <v>9999</v>
      </c>
      <c r="AD66" s="131" t="s">
        <v>1</v>
      </c>
      <c r="AE66" s="131" t="s">
        <v>694</v>
      </c>
      <c r="AF66" s="131" t="s">
        <v>227</v>
      </c>
      <c r="AG66" s="131" t="s">
        <v>286</v>
      </c>
      <c r="AH66" s="131" t="s">
        <v>227</v>
      </c>
      <c r="AI66" s="131" t="s">
        <v>227</v>
      </c>
      <c r="AJ66" s="151">
        <v>45077</v>
      </c>
      <c r="AK66" s="131" t="s">
        <v>328</v>
      </c>
      <c r="AL66" s="131" t="s">
        <v>288</v>
      </c>
    </row>
    <row r="67" spans="1:38" s="112" customFormat="1" ht="11.25" customHeight="1" x14ac:dyDescent="0.2">
      <c r="A67" s="116">
        <v>34</v>
      </c>
      <c r="B67" s="112" t="s">
        <v>47</v>
      </c>
      <c r="E67" s="112" t="s">
        <v>35</v>
      </c>
      <c r="F67" s="112" t="s">
        <v>695</v>
      </c>
      <c r="G67" s="112" t="s">
        <v>696</v>
      </c>
      <c r="H67" s="112" t="s">
        <v>19</v>
      </c>
      <c r="I67" s="112" t="s">
        <v>697</v>
      </c>
      <c r="J67" s="114">
        <v>-18800</v>
      </c>
      <c r="K67" s="114">
        <v>-18800</v>
      </c>
      <c r="L67" s="114">
        <v>-18800</v>
      </c>
      <c r="M67" s="112" t="s">
        <v>278</v>
      </c>
      <c r="N67" s="112" t="s">
        <v>278</v>
      </c>
      <c r="O67" s="112" t="s">
        <v>698</v>
      </c>
      <c r="P67" s="112" t="s">
        <v>693</v>
      </c>
      <c r="Q67" s="112" t="s">
        <v>281</v>
      </c>
      <c r="R67" s="112" t="s">
        <v>282</v>
      </c>
      <c r="S67" s="112" t="s">
        <v>283</v>
      </c>
      <c r="T67" s="112" t="s">
        <v>366</v>
      </c>
      <c r="U67" s="112" t="s">
        <v>526</v>
      </c>
      <c r="V67" s="112">
        <v>101</v>
      </c>
      <c r="W67" s="112">
        <v>11010</v>
      </c>
      <c r="X67" s="112">
        <v>245011</v>
      </c>
      <c r="Y67" s="112">
        <v>9999</v>
      </c>
      <c r="Z67" s="112">
        <v>950</v>
      </c>
      <c r="AA67" s="112">
        <v>999</v>
      </c>
      <c r="AB67" s="112">
        <v>9999</v>
      </c>
      <c r="AC67" s="112">
        <v>9999</v>
      </c>
      <c r="AD67" s="112" t="s">
        <v>1</v>
      </c>
      <c r="AE67" s="112" t="s">
        <v>694</v>
      </c>
      <c r="AF67" s="112" t="s">
        <v>227</v>
      </c>
      <c r="AG67" s="112" t="s">
        <v>286</v>
      </c>
      <c r="AI67" s="112" t="s">
        <v>227</v>
      </c>
      <c r="AJ67" s="112">
        <v>45083</v>
      </c>
      <c r="AK67" s="112" t="s">
        <v>328</v>
      </c>
      <c r="AL67" s="112" t="s">
        <v>288</v>
      </c>
    </row>
    <row r="68" spans="1:38" s="112" customFormat="1" ht="11.25" customHeight="1" x14ac:dyDescent="0.2">
      <c r="A68" s="116">
        <v>101</v>
      </c>
      <c r="B68" s="112" t="s">
        <v>49</v>
      </c>
      <c r="D68" s="112" t="s">
        <v>83</v>
      </c>
      <c r="E68" s="103" t="s">
        <v>35</v>
      </c>
      <c r="F68" s="103" t="s">
        <v>699</v>
      </c>
      <c r="G68" s="103" t="s">
        <v>700</v>
      </c>
      <c r="H68" s="103" t="s">
        <v>16</v>
      </c>
      <c r="I68" s="103" t="s">
        <v>579</v>
      </c>
      <c r="J68" s="121">
        <v>270985</v>
      </c>
      <c r="K68" s="121">
        <v>270985</v>
      </c>
      <c r="L68" s="121">
        <v>270985</v>
      </c>
      <c r="M68" s="103" t="s">
        <v>278</v>
      </c>
      <c r="N68" s="103" t="s">
        <v>278</v>
      </c>
      <c r="O68" s="103" t="s">
        <v>701</v>
      </c>
      <c r="P68" s="103" t="s">
        <v>280</v>
      </c>
      <c r="Q68" s="103" t="s">
        <v>281</v>
      </c>
      <c r="R68" s="103" t="s">
        <v>282</v>
      </c>
      <c r="S68" s="103" t="s">
        <v>283</v>
      </c>
      <c r="T68" s="103" t="s">
        <v>366</v>
      </c>
      <c r="U68" s="103" t="s">
        <v>490</v>
      </c>
      <c r="V68" s="104">
        <v>101</v>
      </c>
      <c r="W68" s="104">
        <v>11010</v>
      </c>
      <c r="X68" s="104">
        <v>245011</v>
      </c>
      <c r="Y68" s="104">
        <v>9999</v>
      </c>
      <c r="Z68" s="104">
        <v>999</v>
      </c>
      <c r="AA68" s="104">
        <v>999</v>
      </c>
      <c r="AB68" s="104">
        <v>9999</v>
      </c>
      <c r="AC68" s="104">
        <v>9999</v>
      </c>
      <c r="AD68" s="103" t="s">
        <v>1</v>
      </c>
      <c r="AE68" s="103" t="s">
        <v>227</v>
      </c>
      <c r="AF68" s="103" t="s">
        <v>227</v>
      </c>
      <c r="AG68" s="103" t="s">
        <v>286</v>
      </c>
      <c r="AH68" s="105"/>
      <c r="AI68" s="103" t="s">
        <v>227</v>
      </c>
      <c r="AJ68" s="106">
        <v>45016</v>
      </c>
      <c r="AK68" s="103" t="s">
        <v>287</v>
      </c>
      <c r="AL68" s="103" t="s">
        <v>288</v>
      </c>
    </row>
    <row r="69" spans="1:38" s="112" customFormat="1" ht="11.25" customHeight="1" x14ac:dyDescent="0.2">
      <c r="A69" s="116">
        <v>71</v>
      </c>
      <c r="B69" s="112" t="s">
        <v>48</v>
      </c>
      <c r="D69" s="112" t="s">
        <v>106</v>
      </c>
      <c r="E69" s="103" t="s">
        <v>35</v>
      </c>
      <c r="F69" s="103" t="s">
        <v>702</v>
      </c>
      <c r="G69" s="103" t="s">
        <v>703</v>
      </c>
      <c r="H69" s="103" t="s">
        <v>16</v>
      </c>
      <c r="I69" s="123" t="s">
        <v>618</v>
      </c>
      <c r="J69" s="121">
        <v>-171249.44</v>
      </c>
      <c r="K69" s="121">
        <v>-171249.44</v>
      </c>
      <c r="L69" s="121">
        <v>-171249.44</v>
      </c>
      <c r="M69" s="103" t="s">
        <v>278</v>
      </c>
      <c r="N69" s="103" t="s">
        <v>278</v>
      </c>
      <c r="O69" s="103" t="s">
        <v>704</v>
      </c>
      <c r="P69" s="103" t="s">
        <v>280</v>
      </c>
      <c r="Q69" s="103" t="s">
        <v>281</v>
      </c>
      <c r="R69" s="103" t="s">
        <v>282</v>
      </c>
      <c r="S69" s="103" t="s">
        <v>283</v>
      </c>
      <c r="T69" s="103" t="s">
        <v>366</v>
      </c>
      <c r="U69" s="103" t="s">
        <v>490</v>
      </c>
      <c r="V69" s="104">
        <v>101</v>
      </c>
      <c r="W69" s="104">
        <v>11010</v>
      </c>
      <c r="X69" s="104">
        <v>245011</v>
      </c>
      <c r="Y69" s="104">
        <v>9999</v>
      </c>
      <c r="Z69" s="104">
        <v>999</v>
      </c>
      <c r="AA69" s="104">
        <v>999</v>
      </c>
      <c r="AB69" s="104">
        <v>9999</v>
      </c>
      <c r="AC69" s="104">
        <v>9999</v>
      </c>
      <c r="AD69" s="103" t="s">
        <v>1</v>
      </c>
      <c r="AE69" s="103" t="s">
        <v>227</v>
      </c>
      <c r="AF69" s="103" t="s">
        <v>227</v>
      </c>
      <c r="AG69" s="103" t="s">
        <v>286</v>
      </c>
      <c r="AH69" s="105" t="s">
        <v>227</v>
      </c>
      <c r="AI69" s="103" t="s">
        <v>227</v>
      </c>
      <c r="AJ69" s="106">
        <v>45046</v>
      </c>
      <c r="AK69" s="103" t="s">
        <v>287</v>
      </c>
      <c r="AL69" s="103" t="s">
        <v>288</v>
      </c>
    </row>
    <row r="70" spans="1:38" s="112" customFormat="1" ht="11.25" customHeight="1" x14ac:dyDescent="0.2">
      <c r="A70" s="116">
        <v>40</v>
      </c>
      <c r="B70" s="112" t="s">
        <v>47</v>
      </c>
      <c r="D70" s="112" t="s">
        <v>106</v>
      </c>
      <c r="E70" s="134" t="s">
        <v>35</v>
      </c>
      <c r="F70" s="134" t="s">
        <v>705</v>
      </c>
      <c r="G70" s="134" t="s">
        <v>706</v>
      </c>
      <c r="H70" s="134" t="s">
        <v>16</v>
      </c>
      <c r="I70" s="148">
        <v>45069</v>
      </c>
      <c r="J70" s="135">
        <v>-198767.21</v>
      </c>
      <c r="K70" s="135">
        <v>-198767.21</v>
      </c>
      <c r="L70" s="135">
        <v>-198767.21</v>
      </c>
      <c r="M70" s="134" t="s">
        <v>278</v>
      </c>
      <c r="N70" s="134" t="s">
        <v>278</v>
      </c>
      <c r="O70" s="134" t="s">
        <v>704</v>
      </c>
      <c r="P70" s="134" t="s">
        <v>280</v>
      </c>
      <c r="Q70" s="134" t="s">
        <v>281</v>
      </c>
      <c r="R70" s="134" t="s">
        <v>282</v>
      </c>
      <c r="S70" s="134" t="s">
        <v>283</v>
      </c>
      <c r="T70" s="134" t="s">
        <v>366</v>
      </c>
      <c r="U70" s="134" t="s">
        <v>490</v>
      </c>
      <c r="V70" s="134">
        <v>101</v>
      </c>
      <c r="W70" s="134">
        <v>11010</v>
      </c>
      <c r="X70" s="134">
        <v>245011</v>
      </c>
      <c r="Y70" s="134">
        <v>9999</v>
      </c>
      <c r="Z70" s="134">
        <v>999</v>
      </c>
      <c r="AA70" s="134">
        <v>999</v>
      </c>
      <c r="AB70" s="134">
        <v>9999</v>
      </c>
      <c r="AC70" s="134">
        <v>9999</v>
      </c>
      <c r="AD70" s="134" t="s">
        <v>1</v>
      </c>
      <c r="AE70" s="134" t="s">
        <v>227</v>
      </c>
      <c r="AF70" s="134" t="s">
        <v>227</v>
      </c>
      <c r="AG70" s="134" t="s">
        <v>286</v>
      </c>
      <c r="AH70" s="134" t="s">
        <v>227</v>
      </c>
      <c r="AI70" s="134" t="s">
        <v>227</v>
      </c>
      <c r="AJ70" s="136">
        <v>45077</v>
      </c>
      <c r="AK70" s="134" t="s">
        <v>287</v>
      </c>
      <c r="AL70" s="134" t="s">
        <v>288</v>
      </c>
    </row>
    <row r="71" spans="1:38" s="112" customFormat="1" ht="11.25" customHeight="1" x14ac:dyDescent="0.2">
      <c r="A71" s="116">
        <v>10</v>
      </c>
      <c r="B71" s="112" t="s">
        <v>46</v>
      </c>
      <c r="E71" s="112" t="s">
        <v>35</v>
      </c>
      <c r="F71" s="112" t="s">
        <v>707</v>
      </c>
      <c r="G71" s="112" t="s">
        <v>708</v>
      </c>
      <c r="H71" s="112" t="s">
        <v>16</v>
      </c>
      <c r="I71" s="112" t="s">
        <v>697</v>
      </c>
      <c r="J71" s="114">
        <v>-270985</v>
      </c>
      <c r="K71" s="114">
        <v>-270985</v>
      </c>
      <c r="L71" s="114">
        <v>-270985</v>
      </c>
      <c r="M71" s="112" t="s">
        <v>278</v>
      </c>
      <c r="N71" s="112" t="s">
        <v>278</v>
      </c>
      <c r="O71" s="112" t="s">
        <v>709</v>
      </c>
      <c r="P71" s="112" t="s">
        <v>280</v>
      </c>
      <c r="Q71" s="112" t="s">
        <v>281</v>
      </c>
      <c r="R71" s="112" t="s">
        <v>282</v>
      </c>
      <c r="S71" s="112" t="s">
        <v>283</v>
      </c>
      <c r="T71" s="112" t="s">
        <v>366</v>
      </c>
      <c r="U71" s="112" t="s">
        <v>490</v>
      </c>
      <c r="V71" s="112">
        <v>101</v>
      </c>
      <c r="W71" s="112">
        <v>11010</v>
      </c>
      <c r="X71" s="112">
        <v>245011</v>
      </c>
      <c r="Y71" s="112">
        <v>9999</v>
      </c>
      <c r="Z71" s="112">
        <v>999</v>
      </c>
      <c r="AA71" s="112">
        <v>999</v>
      </c>
      <c r="AB71" s="112">
        <v>9999</v>
      </c>
      <c r="AC71" s="112">
        <v>9999</v>
      </c>
      <c r="AD71" s="112" t="s">
        <v>1</v>
      </c>
      <c r="AE71" s="112" t="s">
        <v>227</v>
      </c>
      <c r="AF71" s="112" t="s">
        <v>227</v>
      </c>
      <c r="AG71" s="112" t="s">
        <v>286</v>
      </c>
      <c r="AI71" s="112" t="s">
        <v>227</v>
      </c>
      <c r="AJ71" s="112">
        <v>45107</v>
      </c>
      <c r="AK71" s="112" t="s">
        <v>287</v>
      </c>
      <c r="AL71" s="112" t="s">
        <v>288</v>
      </c>
    </row>
    <row r="72" spans="1:38" s="112" customFormat="1" ht="11.25" customHeight="1" x14ac:dyDescent="0.2">
      <c r="A72" s="116">
        <v>10</v>
      </c>
      <c r="B72" s="112" t="s">
        <v>46</v>
      </c>
      <c r="E72" s="112" t="s">
        <v>35</v>
      </c>
      <c r="F72" s="112" t="s">
        <v>710</v>
      </c>
      <c r="G72" s="112" t="s">
        <v>711</v>
      </c>
      <c r="H72" s="112" t="s">
        <v>16</v>
      </c>
      <c r="I72" s="112" t="s">
        <v>697</v>
      </c>
      <c r="J72" s="114">
        <v>198767.21</v>
      </c>
      <c r="K72" s="114">
        <v>198767.21</v>
      </c>
      <c r="L72" s="114">
        <v>198767.21</v>
      </c>
      <c r="M72" s="112" t="s">
        <v>278</v>
      </c>
      <c r="N72" s="112" t="s">
        <v>278</v>
      </c>
      <c r="O72" s="112" t="s">
        <v>712</v>
      </c>
      <c r="P72" s="112" t="s">
        <v>280</v>
      </c>
      <c r="Q72" s="112" t="s">
        <v>281</v>
      </c>
      <c r="R72" s="112" t="s">
        <v>282</v>
      </c>
      <c r="S72" s="112" t="s">
        <v>283</v>
      </c>
      <c r="T72" s="112" t="s">
        <v>366</v>
      </c>
      <c r="U72" s="112" t="s">
        <v>490</v>
      </c>
      <c r="V72" s="112">
        <v>101</v>
      </c>
      <c r="W72" s="112">
        <v>11010</v>
      </c>
      <c r="X72" s="112">
        <v>245011</v>
      </c>
      <c r="Y72" s="112">
        <v>9999</v>
      </c>
      <c r="Z72" s="112">
        <v>999</v>
      </c>
      <c r="AA72" s="112">
        <v>999</v>
      </c>
      <c r="AB72" s="112">
        <v>9999</v>
      </c>
      <c r="AC72" s="112">
        <v>9999</v>
      </c>
      <c r="AD72" s="112" t="s">
        <v>1</v>
      </c>
      <c r="AE72" s="112" t="s">
        <v>227</v>
      </c>
      <c r="AF72" s="112" t="s">
        <v>227</v>
      </c>
      <c r="AG72" s="112" t="s">
        <v>286</v>
      </c>
      <c r="AI72" s="112" t="s">
        <v>227</v>
      </c>
      <c r="AJ72" s="112">
        <v>45107</v>
      </c>
      <c r="AK72" s="112" t="s">
        <v>287</v>
      </c>
      <c r="AL72" s="112" t="s">
        <v>288</v>
      </c>
    </row>
    <row r="73" spans="1:38" s="112" customFormat="1" ht="11.25" customHeight="1" x14ac:dyDescent="0.2">
      <c r="A73" s="116">
        <v>10</v>
      </c>
      <c r="B73" s="112" t="s">
        <v>46</v>
      </c>
      <c r="E73" s="112" t="s">
        <v>35</v>
      </c>
      <c r="F73" s="112" t="s">
        <v>713</v>
      </c>
      <c r="G73" s="112" t="s">
        <v>714</v>
      </c>
      <c r="H73" s="112" t="s">
        <v>16</v>
      </c>
      <c r="I73" s="112" t="s">
        <v>697</v>
      </c>
      <c r="J73" s="114">
        <v>171249.44</v>
      </c>
      <c r="K73" s="114">
        <v>171249.44</v>
      </c>
      <c r="L73" s="114">
        <v>171249.44</v>
      </c>
      <c r="M73" s="112" t="s">
        <v>278</v>
      </c>
      <c r="N73" s="112" t="s">
        <v>278</v>
      </c>
      <c r="O73" s="112" t="s">
        <v>715</v>
      </c>
      <c r="P73" s="112" t="s">
        <v>280</v>
      </c>
      <c r="Q73" s="112" t="s">
        <v>281</v>
      </c>
      <c r="R73" s="112" t="s">
        <v>282</v>
      </c>
      <c r="S73" s="112" t="s">
        <v>283</v>
      </c>
      <c r="T73" s="112" t="s">
        <v>366</v>
      </c>
      <c r="U73" s="112" t="s">
        <v>490</v>
      </c>
      <c r="V73" s="112">
        <v>101</v>
      </c>
      <c r="W73" s="112">
        <v>11010</v>
      </c>
      <c r="X73" s="112">
        <v>245011</v>
      </c>
      <c r="Y73" s="112">
        <v>9999</v>
      </c>
      <c r="Z73" s="112">
        <v>999</v>
      </c>
      <c r="AA73" s="112">
        <v>999</v>
      </c>
      <c r="AB73" s="112">
        <v>9999</v>
      </c>
      <c r="AC73" s="112">
        <v>9999</v>
      </c>
      <c r="AD73" s="112" t="s">
        <v>1</v>
      </c>
      <c r="AE73" s="112" t="s">
        <v>227</v>
      </c>
      <c r="AF73" s="112" t="s">
        <v>227</v>
      </c>
      <c r="AG73" s="112" t="s">
        <v>286</v>
      </c>
      <c r="AI73" s="112" t="s">
        <v>227</v>
      </c>
      <c r="AJ73" s="112">
        <v>45107</v>
      </c>
      <c r="AK73" s="112" t="s">
        <v>287</v>
      </c>
      <c r="AL73" s="112" t="s">
        <v>288</v>
      </c>
    </row>
    <row r="74" spans="1:38" s="112" customFormat="1" ht="11.25" customHeight="1" x14ac:dyDescent="0.2">
      <c r="A74" s="116">
        <v>40</v>
      </c>
      <c r="B74" s="112" t="s">
        <v>47</v>
      </c>
      <c r="E74" s="112" t="s">
        <v>23</v>
      </c>
      <c r="F74" s="112" t="s">
        <v>716</v>
      </c>
      <c r="G74" s="112" t="s">
        <v>717</v>
      </c>
      <c r="H74" s="112" t="s">
        <v>27</v>
      </c>
      <c r="I74" s="147">
        <v>45069</v>
      </c>
      <c r="J74" s="114">
        <v>-130197.21</v>
      </c>
      <c r="K74" s="114">
        <v>-130197.21</v>
      </c>
      <c r="L74" s="114">
        <v>-130197.21</v>
      </c>
      <c r="M74" s="112" t="s">
        <v>278</v>
      </c>
      <c r="N74" s="112" t="s">
        <v>278</v>
      </c>
      <c r="O74" s="112" t="s">
        <v>718</v>
      </c>
      <c r="P74" s="112" t="s">
        <v>280</v>
      </c>
      <c r="Q74" s="112" t="s">
        <v>281</v>
      </c>
      <c r="R74" s="112" t="s">
        <v>282</v>
      </c>
      <c r="S74" s="112" t="s">
        <v>283</v>
      </c>
      <c r="T74" s="112" t="s">
        <v>313</v>
      </c>
      <c r="U74" s="112" t="s">
        <v>415</v>
      </c>
      <c r="V74" s="112">
        <v>101</v>
      </c>
      <c r="W74" s="112">
        <v>11003</v>
      </c>
      <c r="X74" s="112">
        <v>245011</v>
      </c>
      <c r="Y74" s="112">
        <v>9999</v>
      </c>
      <c r="Z74" s="112">
        <v>999</v>
      </c>
      <c r="AA74" s="112">
        <v>999</v>
      </c>
      <c r="AB74" s="112">
        <v>9999</v>
      </c>
      <c r="AC74" s="112">
        <v>9999</v>
      </c>
      <c r="AD74" s="112" t="s">
        <v>1</v>
      </c>
      <c r="AE74" s="112" t="s">
        <v>227</v>
      </c>
      <c r="AF74" s="112" t="s">
        <v>227</v>
      </c>
      <c r="AG74" s="112" t="s">
        <v>286</v>
      </c>
      <c r="AH74" s="112" t="s">
        <v>227</v>
      </c>
      <c r="AI74" s="112" t="s">
        <v>227</v>
      </c>
      <c r="AJ74" s="133">
        <v>45077</v>
      </c>
      <c r="AK74" s="112" t="s">
        <v>287</v>
      </c>
      <c r="AL74" s="112" t="s">
        <v>288</v>
      </c>
    </row>
    <row r="75" spans="1:38" s="112" customFormat="1" ht="11.25" customHeight="1" x14ac:dyDescent="0.2">
      <c r="A75" s="116">
        <v>24</v>
      </c>
      <c r="B75" s="112" t="s">
        <v>46</v>
      </c>
      <c r="E75" s="112" t="s">
        <v>23</v>
      </c>
      <c r="F75" s="112" t="s">
        <v>719</v>
      </c>
      <c r="G75" s="112" t="s">
        <v>720</v>
      </c>
      <c r="H75" s="112" t="s">
        <v>27</v>
      </c>
      <c r="I75" s="112" t="s">
        <v>697</v>
      </c>
      <c r="J75" s="114">
        <v>130197.21</v>
      </c>
      <c r="K75" s="114">
        <v>130197.21</v>
      </c>
      <c r="L75" s="114">
        <v>130197.21</v>
      </c>
      <c r="M75" s="112" t="s">
        <v>278</v>
      </c>
      <c r="N75" s="112" t="s">
        <v>278</v>
      </c>
      <c r="O75" s="112" t="s">
        <v>721</v>
      </c>
      <c r="P75" s="112" t="s">
        <v>280</v>
      </c>
      <c r="Q75" s="112" t="s">
        <v>281</v>
      </c>
      <c r="R75" s="112" t="s">
        <v>282</v>
      </c>
      <c r="S75" s="112" t="s">
        <v>283</v>
      </c>
      <c r="T75" s="112" t="s">
        <v>313</v>
      </c>
      <c r="U75" s="112" t="s">
        <v>415</v>
      </c>
      <c r="V75" s="112">
        <v>101</v>
      </c>
      <c r="W75" s="112">
        <v>11003</v>
      </c>
      <c r="X75" s="112">
        <v>245011</v>
      </c>
      <c r="Y75" s="112">
        <v>9999</v>
      </c>
      <c r="Z75" s="112">
        <v>999</v>
      </c>
      <c r="AA75" s="112">
        <v>999</v>
      </c>
      <c r="AB75" s="112">
        <v>9999</v>
      </c>
      <c r="AC75" s="112">
        <v>9999</v>
      </c>
      <c r="AD75" s="112" t="s">
        <v>1</v>
      </c>
      <c r="AE75" s="112" t="s">
        <v>227</v>
      </c>
      <c r="AF75" s="112" t="s">
        <v>227</v>
      </c>
      <c r="AG75" s="112" t="s">
        <v>286</v>
      </c>
      <c r="AI75" s="112" t="s">
        <v>227</v>
      </c>
      <c r="AJ75" s="112">
        <v>45093</v>
      </c>
      <c r="AK75" s="112" t="s">
        <v>287</v>
      </c>
      <c r="AL75" s="112" t="s">
        <v>288</v>
      </c>
    </row>
    <row r="76" spans="1:38" s="112" customFormat="1" ht="11.25" customHeight="1" x14ac:dyDescent="0.2">
      <c r="A76" s="116">
        <v>20</v>
      </c>
      <c r="B76" s="112" t="s">
        <v>46</v>
      </c>
      <c r="E76" s="112" t="s">
        <v>65</v>
      </c>
      <c r="F76" s="112" t="s">
        <v>722</v>
      </c>
      <c r="G76" s="112" t="s">
        <v>722</v>
      </c>
      <c r="H76" s="112" t="s">
        <v>646</v>
      </c>
      <c r="I76" s="112" t="s">
        <v>697</v>
      </c>
      <c r="J76" s="114">
        <v>-1556155</v>
      </c>
      <c r="K76" s="114">
        <v>-1556155</v>
      </c>
      <c r="L76" s="114">
        <v>-1556155</v>
      </c>
      <c r="M76" s="112" t="s">
        <v>278</v>
      </c>
      <c r="N76" s="112" t="s">
        <v>278</v>
      </c>
      <c r="O76" s="112" t="s">
        <v>723</v>
      </c>
      <c r="P76" s="112" t="s">
        <v>723</v>
      </c>
      <c r="Q76" s="112" t="s">
        <v>281</v>
      </c>
      <c r="R76" s="112" t="s">
        <v>282</v>
      </c>
      <c r="S76" s="112" t="s">
        <v>283</v>
      </c>
      <c r="T76" s="112" t="s">
        <v>65</v>
      </c>
      <c r="U76" s="112" t="s">
        <v>540</v>
      </c>
      <c r="V76" s="112">
        <v>101</v>
      </c>
      <c r="W76" s="112">
        <v>11016</v>
      </c>
      <c r="X76" s="112">
        <v>245011</v>
      </c>
      <c r="Y76" s="112">
        <v>9999</v>
      </c>
      <c r="Z76" s="112">
        <v>999</v>
      </c>
      <c r="AA76" s="112">
        <v>999</v>
      </c>
      <c r="AB76" s="112">
        <v>9999</v>
      </c>
      <c r="AC76" s="112">
        <v>9999</v>
      </c>
      <c r="AD76" s="112" t="s">
        <v>1</v>
      </c>
      <c r="AE76" s="112" t="s">
        <v>227</v>
      </c>
      <c r="AF76" s="112" t="s">
        <v>227</v>
      </c>
      <c r="AG76" s="112" t="s">
        <v>286</v>
      </c>
      <c r="AI76" s="112" t="s">
        <v>227</v>
      </c>
      <c r="AJ76" s="112">
        <v>45097</v>
      </c>
      <c r="AK76" s="112" t="s">
        <v>328</v>
      </c>
      <c r="AL76" s="112" t="s">
        <v>288</v>
      </c>
    </row>
    <row r="77" spans="1:38" s="112" customFormat="1" ht="11.25" customHeight="1" x14ac:dyDescent="0.2">
      <c r="A77" s="116">
        <v>20</v>
      </c>
      <c r="B77" s="112" t="s">
        <v>46</v>
      </c>
      <c r="E77" s="112" t="s">
        <v>65</v>
      </c>
      <c r="F77" s="112" t="s">
        <v>724</v>
      </c>
      <c r="G77" s="112" t="s">
        <v>725</v>
      </c>
      <c r="H77" s="112" t="s">
        <v>27</v>
      </c>
      <c r="I77" s="112" t="s">
        <v>697</v>
      </c>
      <c r="J77" s="114">
        <v>1553790.76</v>
      </c>
      <c r="K77" s="114">
        <v>1553790.76</v>
      </c>
      <c r="L77" s="114">
        <v>1553790.76</v>
      </c>
      <c r="M77" s="112" t="s">
        <v>278</v>
      </c>
      <c r="N77" s="112" t="s">
        <v>278</v>
      </c>
      <c r="O77" s="112" t="s">
        <v>726</v>
      </c>
      <c r="P77" s="112" t="s">
        <v>280</v>
      </c>
      <c r="Q77" s="112" t="s">
        <v>281</v>
      </c>
      <c r="R77" s="112" t="s">
        <v>282</v>
      </c>
      <c r="S77" s="112" t="s">
        <v>283</v>
      </c>
      <c r="T77" s="112" t="s">
        <v>65</v>
      </c>
      <c r="U77" s="112" t="s">
        <v>540</v>
      </c>
      <c r="V77" s="112">
        <v>101</v>
      </c>
      <c r="W77" s="112">
        <v>11016</v>
      </c>
      <c r="X77" s="112">
        <v>245011</v>
      </c>
      <c r="Y77" s="112">
        <v>9999</v>
      </c>
      <c r="Z77" s="112">
        <v>999</v>
      </c>
      <c r="AA77" s="112">
        <v>999</v>
      </c>
      <c r="AB77" s="112">
        <v>9999</v>
      </c>
      <c r="AC77" s="112">
        <v>9999</v>
      </c>
      <c r="AD77" s="112" t="s">
        <v>1</v>
      </c>
      <c r="AE77" s="112" t="s">
        <v>227</v>
      </c>
      <c r="AF77" s="112" t="s">
        <v>227</v>
      </c>
      <c r="AG77" s="112" t="s">
        <v>286</v>
      </c>
      <c r="AI77" s="112" t="s">
        <v>227</v>
      </c>
      <c r="AJ77" s="112">
        <v>45097</v>
      </c>
      <c r="AK77" s="112" t="s">
        <v>287</v>
      </c>
      <c r="AL77" s="112" t="s">
        <v>288</v>
      </c>
    </row>
    <row r="78" spans="1:38" s="112" customFormat="1" ht="11.25" customHeight="1" x14ac:dyDescent="0.2">
      <c r="A78" s="116">
        <v>10</v>
      </c>
      <c r="B78" s="112" t="s">
        <v>46</v>
      </c>
      <c r="E78" s="112" t="s">
        <v>65</v>
      </c>
      <c r="F78" s="112" t="s">
        <v>727</v>
      </c>
      <c r="G78" s="112" t="s">
        <v>728</v>
      </c>
      <c r="H78" s="112" t="s">
        <v>27</v>
      </c>
      <c r="I78" s="112" t="s">
        <v>697</v>
      </c>
      <c r="J78" s="114">
        <v>2364.2399999999998</v>
      </c>
      <c r="K78" s="114">
        <v>2364.2399999999998</v>
      </c>
      <c r="L78" s="114">
        <v>2364.2399999999998</v>
      </c>
      <c r="M78" s="112" t="s">
        <v>278</v>
      </c>
      <c r="N78" s="112" t="s">
        <v>278</v>
      </c>
      <c r="O78" s="112" t="s">
        <v>729</v>
      </c>
      <c r="P78" s="112" t="s">
        <v>280</v>
      </c>
      <c r="Q78" s="112" t="s">
        <v>281</v>
      </c>
      <c r="R78" s="112" t="s">
        <v>282</v>
      </c>
      <c r="S78" s="112" t="s">
        <v>283</v>
      </c>
      <c r="T78" s="112" t="s">
        <v>65</v>
      </c>
      <c r="U78" s="112" t="s">
        <v>540</v>
      </c>
      <c r="V78" s="112">
        <v>101</v>
      </c>
      <c r="W78" s="112">
        <v>11016</v>
      </c>
      <c r="X78" s="112">
        <v>245011</v>
      </c>
      <c r="Y78" s="112">
        <v>9999</v>
      </c>
      <c r="Z78" s="112">
        <v>999</v>
      </c>
      <c r="AA78" s="112">
        <v>999</v>
      </c>
      <c r="AB78" s="112">
        <v>9999</v>
      </c>
      <c r="AC78" s="112">
        <v>9999</v>
      </c>
      <c r="AD78" s="112" t="s">
        <v>1</v>
      </c>
      <c r="AE78" s="112" t="s">
        <v>227</v>
      </c>
      <c r="AF78" s="112" t="s">
        <v>227</v>
      </c>
      <c r="AG78" s="112" t="s">
        <v>286</v>
      </c>
      <c r="AI78" s="112" t="s">
        <v>227</v>
      </c>
      <c r="AJ78" s="112">
        <v>45107</v>
      </c>
      <c r="AK78" s="112" t="s">
        <v>287</v>
      </c>
      <c r="AL78" s="112" t="s">
        <v>288</v>
      </c>
    </row>
    <row r="79" spans="1:38" s="112" customFormat="1" ht="11.25" customHeight="1" x14ac:dyDescent="0.2">
      <c r="A79" s="116">
        <v>101</v>
      </c>
      <c r="B79" s="112" t="s">
        <v>49</v>
      </c>
      <c r="D79" s="112" t="s">
        <v>110</v>
      </c>
      <c r="E79" s="124" t="s">
        <v>39</v>
      </c>
      <c r="F79" s="124" t="s">
        <v>730</v>
      </c>
      <c r="G79" s="124" t="s">
        <v>731</v>
      </c>
      <c r="H79" s="124" t="s">
        <v>225</v>
      </c>
      <c r="I79" s="124" t="s">
        <v>579</v>
      </c>
      <c r="J79" s="126">
        <v>9054.6200000000008</v>
      </c>
      <c r="K79" s="126">
        <v>9054.6200000000008</v>
      </c>
      <c r="L79" s="126">
        <v>9054.6200000000008</v>
      </c>
      <c r="M79" s="124" t="s">
        <v>278</v>
      </c>
      <c r="N79" s="124" t="s">
        <v>278</v>
      </c>
      <c r="O79" s="124" t="s">
        <v>732</v>
      </c>
      <c r="P79" s="124" t="s">
        <v>280</v>
      </c>
      <c r="Q79" s="124" t="s">
        <v>281</v>
      </c>
      <c r="R79" s="124" t="s">
        <v>282</v>
      </c>
      <c r="S79" s="124" t="s">
        <v>283</v>
      </c>
      <c r="T79" s="124" t="s">
        <v>366</v>
      </c>
      <c r="U79" s="124" t="s">
        <v>733</v>
      </c>
      <c r="V79" s="127">
        <v>101</v>
      </c>
      <c r="W79" s="127">
        <v>12013</v>
      </c>
      <c r="X79" s="127">
        <v>245011</v>
      </c>
      <c r="Y79" s="127">
        <v>9999</v>
      </c>
      <c r="Z79" s="127">
        <v>999</v>
      </c>
      <c r="AA79" s="127">
        <v>999</v>
      </c>
      <c r="AB79" s="127">
        <v>9999</v>
      </c>
      <c r="AC79" s="127">
        <v>9999</v>
      </c>
      <c r="AD79" s="124" t="s">
        <v>1</v>
      </c>
      <c r="AE79" s="124" t="s">
        <v>227</v>
      </c>
      <c r="AF79" s="124" t="s">
        <v>227</v>
      </c>
      <c r="AG79" s="124" t="s">
        <v>286</v>
      </c>
      <c r="AH79" s="128"/>
      <c r="AI79" s="124" t="s">
        <v>227</v>
      </c>
      <c r="AJ79" s="129">
        <v>45016</v>
      </c>
      <c r="AK79" s="124" t="s">
        <v>287</v>
      </c>
      <c r="AL79" s="124" t="s">
        <v>288</v>
      </c>
    </row>
    <row r="80" spans="1:38" s="112" customFormat="1" ht="11.25" customHeight="1" x14ac:dyDescent="0.2">
      <c r="A80" s="116">
        <v>25</v>
      </c>
      <c r="B80" s="112" t="s">
        <v>46</v>
      </c>
      <c r="E80" s="112" t="s">
        <v>39</v>
      </c>
      <c r="F80" s="112" t="s">
        <v>734</v>
      </c>
      <c r="G80" s="112" t="s">
        <v>735</v>
      </c>
      <c r="H80" s="112" t="s">
        <v>225</v>
      </c>
      <c r="I80" s="112" t="s">
        <v>697</v>
      </c>
      <c r="J80" s="114">
        <v>-9054.6200000000008</v>
      </c>
      <c r="K80" s="114">
        <v>-9054.6200000000008</v>
      </c>
      <c r="L80" s="114">
        <v>-9054.6200000000008</v>
      </c>
      <c r="M80" s="112" t="s">
        <v>278</v>
      </c>
      <c r="N80" s="112" t="s">
        <v>278</v>
      </c>
      <c r="O80" s="112" t="s">
        <v>736</v>
      </c>
      <c r="P80" s="112" t="s">
        <v>280</v>
      </c>
      <c r="Q80" s="112" t="s">
        <v>281</v>
      </c>
      <c r="R80" s="112" t="s">
        <v>282</v>
      </c>
      <c r="S80" s="112" t="s">
        <v>283</v>
      </c>
      <c r="T80" s="112" t="s">
        <v>366</v>
      </c>
      <c r="U80" s="112" t="s">
        <v>733</v>
      </c>
      <c r="V80" s="112">
        <v>101</v>
      </c>
      <c r="W80" s="112">
        <v>12013</v>
      </c>
      <c r="X80" s="112">
        <v>245011</v>
      </c>
      <c r="Y80" s="112">
        <v>9999</v>
      </c>
      <c r="Z80" s="112">
        <v>999</v>
      </c>
      <c r="AA80" s="112">
        <v>999</v>
      </c>
      <c r="AB80" s="112">
        <v>9999</v>
      </c>
      <c r="AC80" s="112">
        <v>9999</v>
      </c>
      <c r="AD80" s="112" t="s">
        <v>1</v>
      </c>
      <c r="AE80" s="112" t="s">
        <v>227</v>
      </c>
      <c r="AF80" s="112" t="s">
        <v>227</v>
      </c>
      <c r="AG80" s="112" t="s">
        <v>286</v>
      </c>
      <c r="AI80" s="112" t="s">
        <v>227</v>
      </c>
      <c r="AJ80" s="112">
        <v>45092</v>
      </c>
      <c r="AK80" s="112" t="s">
        <v>287</v>
      </c>
      <c r="AL80" s="112" t="s">
        <v>288</v>
      </c>
    </row>
    <row r="81" spans="1:38" s="112" customFormat="1" ht="11.25" customHeight="1" x14ac:dyDescent="0.2">
      <c r="A81" s="116">
        <v>101</v>
      </c>
      <c r="B81" s="112" t="s">
        <v>49</v>
      </c>
      <c r="D81" s="112" t="s">
        <v>113</v>
      </c>
      <c r="E81" s="124" t="s">
        <v>89</v>
      </c>
      <c r="F81" s="124" t="s">
        <v>737</v>
      </c>
      <c r="G81" s="124" t="s">
        <v>738</v>
      </c>
      <c r="H81" s="124" t="s">
        <v>739</v>
      </c>
      <c r="I81" s="124" t="s">
        <v>579</v>
      </c>
      <c r="J81" s="126">
        <v>73709.27</v>
      </c>
      <c r="K81" s="126">
        <v>73709.27</v>
      </c>
      <c r="L81" s="126">
        <v>73709.27</v>
      </c>
      <c r="M81" s="124" t="s">
        <v>278</v>
      </c>
      <c r="N81" s="124" t="s">
        <v>278</v>
      </c>
      <c r="O81" s="124" t="s">
        <v>740</v>
      </c>
      <c r="P81" s="124" t="s">
        <v>280</v>
      </c>
      <c r="Q81" s="124" t="s">
        <v>281</v>
      </c>
      <c r="R81" s="124" t="s">
        <v>282</v>
      </c>
      <c r="S81" s="124" t="s">
        <v>283</v>
      </c>
      <c r="T81" s="124" t="s">
        <v>313</v>
      </c>
      <c r="U81" s="124" t="s">
        <v>741</v>
      </c>
      <c r="V81" s="127">
        <v>101</v>
      </c>
      <c r="W81" s="127">
        <v>11024</v>
      </c>
      <c r="X81" s="127">
        <v>245011</v>
      </c>
      <c r="Y81" s="127">
        <v>9999</v>
      </c>
      <c r="Z81" s="127">
        <v>999</v>
      </c>
      <c r="AA81" s="127">
        <v>999</v>
      </c>
      <c r="AB81" s="127">
        <v>9999</v>
      </c>
      <c r="AC81" s="127">
        <v>9999</v>
      </c>
      <c r="AD81" s="124" t="s">
        <v>1</v>
      </c>
      <c r="AE81" s="124" t="s">
        <v>227</v>
      </c>
      <c r="AF81" s="124" t="s">
        <v>227</v>
      </c>
      <c r="AG81" s="124" t="s">
        <v>286</v>
      </c>
      <c r="AH81" s="128"/>
      <c r="AI81" s="124" t="s">
        <v>227</v>
      </c>
      <c r="AJ81" s="129">
        <v>45016</v>
      </c>
      <c r="AK81" s="124" t="s">
        <v>287</v>
      </c>
      <c r="AL81" s="124" t="s">
        <v>288</v>
      </c>
    </row>
    <row r="82" spans="1:38" s="112" customFormat="1" ht="11.25" customHeight="1" x14ac:dyDescent="0.2">
      <c r="A82" s="116">
        <v>71</v>
      </c>
      <c r="B82" s="112" t="s">
        <v>48</v>
      </c>
      <c r="D82" s="112" t="s">
        <v>113</v>
      </c>
      <c r="E82" s="124" t="s">
        <v>89</v>
      </c>
      <c r="F82" s="124" t="s">
        <v>742</v>
      </c>
      <c r="G82" s="124" t="s">
        <v>743</v>
      </c>
      <c r="H82" s="124" t="s">
        <v>739</v>
      </c>
      <c r="I82" s="125" t="s">
        <v>618</v>
      </c>
      <c r="J82" s="126">
        <v>1251945.22</v>
      </c>
      <c r="K82" s="126">
        <v>1251945.22</v>
      </c>
      <c r="L82" s="126">
        <v>1251945.22</v>
      </c>
      <c r="M82" s="124" t="s">
        <v>278</v>
      </c>
      <c r="N82" s="124" t="s">
        <v>278</v>
      </c>
      <c r="O82" s="124" t="s">
        <v>744</v>
      </c>
      <c r="P82" s="124" t="s">
        <v>280</v>
      </c>
      <c r="Q82" s="124" t="s">
        <v>281</v>
      </c>
      <c r="R82" s="124" t="s">
        <v>282</v>
      </c>
      <c r="S82" s="124" t="s">
        <v>283</v>
      </c>
      <c r="T82" s="124" t="s">
        <v>313</v>
      </c>
      <c r="U82" s="124" t="s">
        <v>741</v>
      </c>
      <c r="V82" s="127">
        <v>101</v>
      </c>
      <c r="W82" s="127">
        <v>11024</v>
      </c>
      <c r="X82" s="127">
        <v>245011</v>
      </c>
      <c r="Y82" s="127">
        <v>9999</v>
      </c>
      <c r="Z82" s="127">
        <v>999</v>
      </c>
      <c r="AA82" s="127">
        <v>999</v>
      </c>
      <c r="AB82" s="127">
        <v>9999</v>
      </c>
      <c r="AC82" s="127">
        <v>9999</v>
      </c>
      <c r="AD82" s="124" t="s">
        <v>1</v>
      </c>
      <c r="AE82" s="124" t="s">
        <v>227</v>
      </c>
      <c r="AF82" s="124" t="s">
        <v>227</v>
      </c>
      <c r="AG82" s="124" t="s">
        <v>286</v>
      </c>
      <c r="AH82" s="128" t="s">
        <v>227</v>
      </c>
      <c r="AI82" s="124" t="s">
        <v>227</v>
      </c>
      <c r="AJ82" s="129">
        <v>45046</v>
      </c>
      <c r="AK82" s="124" t="s">
        <v>287</v>
      </c>
      <c r="AL82" s="124" t="s">
        <v>288</v>
      </c>
    </row>
    <row r="83" spans="1:38" s="112" customFormat="1" ht="11.25" customHeight="1" x14ac:dyDescent="0.2">
      <c r="A83" s="116">
        <v>71</v>
      </c>
      <c r="B83" s="112" t="s">
        <v>48</v>
      </c>
      <c r="D83" s="112" t="s">
        <v>113</v>
      </c>
      <c r="E83" s="124" t="s">
        <v>89</v>
      </c>
      <c r="F83" s="124" t="s">
        <v>745</v>
      </c>
      <c r="G83" s="124" t="s">
        <v>746</v>
      </c>
      <c r="H83" s="124" t="s">
        <v>739</v>
      </c>
      <c r="I83" s="125" t="s">
        <v>618</v>
      </c>
      <c r="J83" s="126">
        <v>228136.27</v>
      </c>
      <c r="K83" s="126">
        <v>228136.27</v>
      </c>
      <c r="L83" s="126">
        <v>228136.27</v>
      </c>
      <c r="M83" s="124" t="s">
        <v>278</v>
      </c>
      <c r="N83" s="124" t="s">
        <v>278</v>
      </c>
      <c r="O83" s="124" t="s">
        <v>747</v>
      </c>
      <c r="P83" s="124" t="s">
        <v>280</v>
      </c>
      <c r="Q83" s="124" t="s">
        <v>281</v>
      </c>
      <c r="R83" s="124" t="s">
        <v>282</v>
      </c>
      <c r="S83" s="124" t="s">
        <v>283</v>
      </c>
      <c r="T83" s="124" t="s">
        <v>313</v>
      </c>
      <c r="U83" s="124" t="s">
        <v>741</v>
      </c>
      <c r="V83" s="127">
        <v>101</v>
      </c>
      <c r="W83" s="127">
        <v>11024</v>
      </c>
      <c r="X83" s="127">
        <v>245011</v>
      </c>
      <c r="Y83" s="127">
        <v>9999</v>
      </c>
      <c r="Z83" s="127">
        <v>999</v>
      </c>
      <c r="AA83" s="127">
        <v>999</v>
      </c>
      <c r="AB83" s="127">
        <v>9999</v>
      </c>
      <c r="AC83" s="127">
        <v>9999</v>
      </c>
      <c r="AD83" s="124" t="s">
        <v>1</v>
      </c>
      <c r="AE83" s="124" t="s">
        <v>227</v>
      </c>
      <c r="AF83" s="124" t="s">
        <v>227</v>
      </c>
      <c r="AG83" s="124" t="s">
        <v>286</v>
      </c>
      <c r="AH83" s="128" t="s">
        <v>227</v>
      </c>
      <c r="AI83" s="124" t="s">
        <v>227</v>
      </c>
      <c r="AJ83" s="129">
        <v>45046</v>
      </c>
      <c r="AK83" s="124" t="s">
        <v>287</v>
      </c>
      <c r="AL83" s="124" t="s">
        <v>288</v>
      </c>
    </row>
    <row r="84" spans="1:38" s="112" customFormat="1" ht="11.25" customHeight="1" x14ac:dyDescent="0.2">
      <c r="A84" s="116">
        <v>27</v>
      </c>
      <c r="B84" s="112" t="s">
        <v>46</v>
      </c>
      <c r="E84" s="112" t="s">
        <v>89</v>
      </c>
      <c r="F84" s="112" t="s">
        <v>748</v>
      </c>
      <c r="G84" s="112" t="s">
        <v>749</v>
      </c>
      <c r="H84" s="112" t="s">
        <v>739</v>
      </c>
      <c r="I84" s="112" t="s">
        <v>697</v>
      </c>
      <c r="J84" s="114">
        <v>-228136.27</v>
      </c>
      <c r="K84" s="114">
        <v>-228136.27</v>
      </c>
      <c r="L84" s="114">
        <v>-228136.27</v>
      </c>
      <c r="M84" s="112" t="s">
        <v>278</v>
      </c>
      <c r="N84" s="112" t="s">
        <v>278</v>
      </c>
      <c r="O84" s="112" t="s">
        <v>750</v>
      </c>
      <c r="P84" s="112" t="s">
        <v>280</v>
      </c>
      <c r="Q84" s="112" t="s">
        <v>281</v>
      </c>
      <c r="R84" s="112" t="s">
        <v>282</v>
      </c>
      <c r="S84" s="112" t="s">
        <v>283</v>
      </c>
      <c r="T84" s="112" t="s">
        <v>313</v>
      </c>
      <c r="U84" s="112" t="s">
        <v>741</v>
      </c>
      <c r="V84" s="112">
        <v>101</v>
      </c>
      <c r="W84" s="112">
        <v>11024</v>
      </c>
      <c r="X84" s="112">
        <v>245011</v>
      </c>
      <c r="Y84" s="112">
        <v>9999</v>
      </c>
      <c r="Z84" s="112">
        <v>999</v>
      </c>
      <c r="AA84" s="112">
        <v>999</v>
      </c>
      <c r="AB84" s="112">
        <v>9999</v>
      </c>
      <c r="AC84" s="112">
        <v>9999</v>
      </c>
      <c r="AD84" s="112" t="s">
        <v>1</v>
      </c>
      <c r="AE84" s="112" t="s">
        <v>227</v>
      </c>
      <c r="AF84" s="112" t="s">
        <v>227</v>
      </c>
      <c r="AG84" s="112" t="s">
        <v>286</v>
      </c>
      <c r="AI84" s="112" t="s">
        <v>227</v>
      </c>
      <c r="AJ84" s="112">
        <v>45090</v>
      </c>
      <c r="AK84" s="112" t="s">
        <v>287</v>
      </c>
      <c r="AL84" s="112" t="s">
        <v>288</v>
      </c>
    </row>
    <row r="85" spans="1:38" s="112" customFormat="1" ht="11.25" customHeight="1" x14ac:dyDescent="0.2">
      <c r="A85" s="116">
        <v>27</v>
      </c>
      <c r="B85" s="112" t="s">
        <v>46</v>
      </c>
      <c r="E85" s="112" t="s">
        <v>89</v>
      </c>
      <c r="F85" s="112" t="s">
        <v>751</v>
      </c>
      <c r="G85" s="112" t="s">
        <v>752</v>
      </c>
      <c r="H85" s="112" t="s">
        <v>739</v>
      </c>
      <c r="I85" s="112" t="s">
        <v>697</v>
      </c>
      <c r="J85" s="114">
        <v>-73709.27</v>
      </c>
      <c r="K85" s="114">
        <v>-73709.27</v>
      </c>
      <c r="L85" s="114">
        <v>-73709.27</v>
      </c>
      <c r="M85" s="112" t="s">
        <v>278</v>
      </c>
      <c r="N85" s="112" t="s">
        <v>278</v>
      </c>
      <c r="O85" s="112" t="s">
        <v>753</v>
      </c>
      <c r="P85" s="112" t="s">
        <v>280</v>
      </c>
      <c r="Q85" s="112" t="s">
        <v>281</v>
      </c>
      <c r="R85" s="112" t="s">
        <v>282</v>
      </c>
      <c r="S85" s="112" t="s">
        <v>283</v>
      </c>
      <c r="T85" s="112" t="s">
        <v>313</v>
      </c>
      <c r="U85" s="112" t="s">
        <v>741</v>
      </c>
      <c r="V85" s="112">
        <v>101</v>
      </c>
      <c r="W85" s="112">
        <v>11024</v>
      </c>
      <c r="X85" s="112">
        <v>245011</v>
      </c>
      <c r="Y85" s="112">
        <v>9999</v>
      </c>
      <c r="Z85" s="112">
        <v>999</v>
      </c>
      <c r="AA85" s="112">
        <v>999</v>
      </c>
      <c r="AB85" s="112">
        <v>9999</v>
      </c>
      <c r="AC85" s="112">
        <v>9999</v>
      </c>
      <c r="AD85" s="112" t="s">
        <v>1</v>
      </c>
      <c r="AE85" s="112" t="s">
        <v>227</v>
      </c>
      <c r="AF85" s="112" t="s">
        <v>227</v>
      </c>
      <c r="AG85" s="112" t="s">
        <v>286</v>
      </c>
      <c r="AI85" s="112" t="s">
        <v>227</v>
      </c>
      <c r="AJ85" s="112">
        <v>45090</v>
      </c>
      <c r="AK85" s="112" t="s">
        <v>287</v>
      </c>
      <c r="AL85" s="112" t="s">
        <v>288</v>
      </c>
    </row>
    <row r="86" spans="1:38" s="112" customFormat="1" ht="11.25" customHeight="1" x14ac:dyDescent="0.2">
      <c r="A86" s="116">
        <v>27</v>
      </c>
      <c r="B86" s="112" t="s">
        <v>46</v>
      </c>
      <c r="E86" s="112" t="s">
        <v>89</v>
      </c>
      <c r="F86" s="112" t="s">
        <v>754</v>
      </c>
      <c r="G86" s="112" t="s">
        <v>755</v>
      </c>
      <c r="H86" s="112" t="s">
        <v>739</v>
      </c>
      <c r="I86" s="112" t="s">
        <v>697</v>
      </c>
      <c r="J86" s="114">
        <v>-1251945.22</v>
      </c>
      <c r="K86" s="114">
        <v>-1251945.22</v>
      </c>
      <c r="L86" s="114">
        <v>-1251945.22</v>
      </c>
      <c r="M86" s="112" t="s">
        <v>278</v>
      </c>
      <c r="N86" s="112" t="s">
        <v>278</v>
      </c>
      <c r="O86" s="112" t="s">
        <v>756</v>
      </c>
      <c r="P86" s="112" t="s">
        <v>280</v>
      </c>
      <c r="Q86" s="112" t="s">
        <v>281</v>
      </c>
      <c r="R86" s="112" t="s">
        <v>282</v>
      </c>
      <c r="S86" s="112" t="s">
        <v>283</v>
      </c>
      <c r="T86" s="112" t="s">
        <v>313</v>
      </c>
      <c r="U86" s="112" t="s">
        <v>741</v>
      </c>
      <c r="V86" s="112">
        <v>101</v>
      </c>
      <c r="W86" s="112">
        <v>11024</v>
      </c>
      <c r="X86" s="112">
        <v>245011</v>
      </c>
      <c r="Y86" s="112">
        <v>9999</v>
      </c>
      <c r="Z86" s="112">
        <v>999</v>
      </c>
      <c r="AA86" s="112">
        <v>999</v>
      </c>
      <c r="AB86" s="112">
        <v>9999</v>
      </c>
      <c r="AC86" s="112">
        <v>9999</v>
      </c>
      <c r="AD86" s="112" t="s">
        <v>1</v>
      </c>
      <c r="AE86" s="112" t="s">
        <v>227</v>
      </c>
      <c r="AF86" s="112" t="s">
        <v>227</v>
      </c>
      <c r="AG86" s="112" t="s">
        <v>286</v>
      </c>
      <c r="AI86" s="112" t="s">
        <v>227</v>
      </c>
      <c r="AJ86" s="112">
        <v>45090</v>
      </c>
      <c r="AK86" s="112" t="s">
        <v>287</v>
      </c>
      <c r="AL86" s="112" t="s">
        <v>288</v>
      </c>
    </row>
    <row r="87" spans="1:38" s="112" customFormat="1" ht="11.25" customHeight="1" x14ac:dyDescent="0.2">
      <c r="A87" s="116">
        <v>467</v>
      </c>
      <c r="B87" s="112" t="s">
        <v>54</v>
      </c>
      <c r="D87" s="112" t="s">
        <v>88</v>
      </c>
      <c r="E87" s="112" t="s">
        <v>71</v>
      </c>
      <c r="F87" s="112" t="s">
        <v>757</v>
      </c>
      <c r="G87" s="112" t="s">
        <v>758</v>
      </c>
      <c r="H87" s="112" t="s">
        <v>9</v>
      </c>
      <c r="I87" s="112" t="s">
        <v>759</v>
      </c>
      <c r="J87" s="114">
        <v>200826</v>
      </c>
      <c r="K87" s="114">
        <v>200826</v>
      </c>
      <c r="L87" s="114">
        <v>200826</v>
      </c>
      <c r="M87" s="112" t="s">
        <v>278</v>
      </c>
      <c r="N87" s="112" t="s">
        <v>278</v>
      </c>
      <c r="O87" s="112" t="s">
        <v>760</v>
      </c>
      <c r="P87" s="112" t="s">
        <v>280</v>
      </c>
      <c r="Q87" s="112" t="s">
        <v>281</v>
      </c>
      <c r="R87" s="112" t="s">
        <v>282</v>
      </c>
      <c r="S87" s="112" t="s">
        <v>283</v>
      </c>
      <c r="T87" s="112" t="s">
        <v>313</v>
      </c>
      <c r="U87" s="112" t="s">
        <v>443</v>
      </c>
      <c r="V87" s="112">
        <v>101</v>
      </c>
      <c r="W87" s="112">
        <v>11023</v>
      </c>
      <c r="X87" s="112">
        <v>245011</v>
      </c>
      <c r="Y87" s="112">
        <v>9999</v>
      </c>
      <c r="Z87" s="112">
        <v>999</v>
      </c>
      <c r="AA87" s="112">
        <v>999</v>
      </c>
      <c r="AB87" s="112">
        <v>9999</v>
      </c>
      <c r="AC87" s="112">
        <v>9999</v>
      </c>
      <c r="AD87" s="112" t="s">
        <v>1</v>
      </c>
      <c r="AE87" s="112" t="s">
        <v>227</v>
      </c>
      <c r="AF87" s="112" t="s">
        <v>227</v>
      </c>
      <c r="AG87" s="112" t="s">
        <v>286</v>
      </c>
      <c r="AI87" s="112" t="s">
        <v>227</v>
      </c>
      <c r="AJ87" s="112">
        <v>44681</v>
      </c>
      <c r="AK87" s="112" t="s">
        <v>287</v>
      </c>
      <c r="AL87" s="112" t="s">
        <v>288</v>
      </c>
    </row>
    <row r="88" spans="1:38" s="112" customFormat="1" ht="11.25" customHeight="1" x14ac:dyDescent="0.2">
      <c r="A88" s="116">
        <v>132</v>
      </c>
      <c r="B88" s="112" t="s">
        <v>50</v>
      </c>
      <c r="D88" s="112" t="s">
        <v>761</v>
      </c>
      <c r="E88" s="112" t="s">
        <v>75</v>
      </c>
      <c r="F88" s="112" t="s">
        <v>762</v>
      </c>
      <c r="G88" s="112" t="s">
        <v>763</v>
      </c>
      <c r="H88" s="112" t="s">
        <v>27</v>
      </c>
      <c r="I88" s="112" t="s">
        <v>579</v>
      </c>
      <c r="J88" s="114">
        <v>-45396.3</v>
      </c>
      <c r="K88" s="114">
        <v>-45396.3</v>
      </c>
      <c r="L88" s="114">
        <v>-45396.3</v>
      </c>
      <c r="M88" s="112" t="s">
        <v>278</v>
      </c>
      <c r="N88" s="112" t="s">
        <v>278</v>
      </c>
      <c r="O88" s="112" t="s">
        <v>611</v>
      </c>
      <c r="P88" s="112" t="s">
        <v>280</v>
      </c>
      <c r="Q88" s="112" t="s">
        <v>281</v>
      </c>
      <c r="R88" s="112" t="s">
        <v>282</v>
      </c>
      <c r="S88" s="112" t="s">
        <v>294</v>
      </c>
      <c r="T88" s="112" t="s">
        <v>295</v>
      </c>
      <c r="U88" s="112" t="s">
        <v>474</v>
      </c>
      <c r="V88" s="112">
        <v>101</v>
      </c>
      <c r="W88" s="112">
        <v>13006</v>
      </c>
      <c r="X88" s="112">
        <v>245011</v>
      </c>
      <c r="Y88" s="112">
        <v>9999</v>
      </c>
      <c r="Z88" s="112">
        <v>999</v>
      </c>
      <c r="AA88" s="112">
        <v>999</v>
      </c>
      <c r="AB88" s="112">
        <v>9999</v>
      </c>
      <c r="AC88" s="112">
        <v>9999</v>
      </c>
      <c r="AD88" s="112" t="s">
        <v>1</v>
      </c>
      <c r="AE88" s="112" t="s">
        <v>227</v>
      </c>
      <c r="AF88" s="112" t="s">
        <v>227</v>
      </c>
      <c r="AG88" s="112" t="s">
        <v>286</v>
      </c>
      <c r="AI88" s="112" t="s">
        <v>227</v>
      </c>
      <c r="AJ88" s="112">
        <v>45016</v>
      </c>
      <c r="AK88" s="112" t="s">
        <v>287</v>
      </c>
      <c r="AL88" s="112" t="s">
        <v>288</v>
      </c>
    </row>
    <row r="89" spans="1:38" s="112" customFormat="1" ht="11.25" customHeight="1" x14ac:dyDescent="0.2">
      <c r="A89" s="116">
        <v>102</v>
      </c>
      <c r="B89" s="112" t="s">
        <v>49</v>
      </c>
      <c r="D89" s="112" t="s">
        <v>117</v>
      </c>
      <c r="E89" s="112" t="s">
        <v>8</v>
      </c>
      <c r="F89" s="112" t="s">
        <v>764</v>
      </c>
      <c r="G89" s="112" t="s">
        <v>765</v>
      </c>
      <c r="H89" s="112" t="s">
        <v>27</v>
      </c>
      <c r="I89" s="112" t="s">
        <v>618</v>
      </c>
      <c r="J89" s="114">
        <v>-37685.19</v>
      </c>
      <c r="K89" s="114">
        <v>-37685.19</v>
      </c>
      <c r="L89" s="114">
        <v>-37685.19</v>
      </c>
      <c r="M89" s="112" t="s">
        <v>278</v>
      </c>
      <c r="N89" s="112" t="s">
        <v>278</v>
      </c>
      <c r="O89" s="112" t="s">
        <v>766</v>
      </c>
      <c r="P89" s="112" t="s">
        <v>280</v>
      </c>
      <c r="Q89" s="112" t="s">
        <v>281</v>
      </c>
      <c r="R89" s="112" t="s">
        <v>282</v>
      </c>
      <c r="S89" s="112" t="s">
        <v>294</v>
      </c>
      <c r="T89" s="112" t="s">
        <v>295</v>
      </c>
      <c r="U89" s="112" t="s">
        <v>296</v>
      </c>
      <c r="V89" s="112">
        <v>101</v>
      </c>
      <c r="W89" s="112">
        <v>13008</v>
      </c>
      <c r="X89" s="112">
        <v>245011</v>
      </c>
      <c r="Y89" s="112">
        <v>9999</v>
      </c>
      <c r="Z89" s="112">
        <v>999</v>
      </c>
      <c r="AA89" s="112">
        <v>999</v>
      </c>
      <c r="AB89" s="112">
        <v>9999</v>
      </c>
      <c r="AC89" s="112">
        <v>9999</v>
      </c>
      <c r="AD89" s="112" t="s">
        <v>1</v>
      </c>
      <c r="AE89" s="112" t="s">
        <v>227</v>
      </c>
      <c r="AF89" s="112" t="s">
        <v>227</v>
      </c>
      <c r="AG89" s="112" t="s">
        <v>286</v>
      </c>
      <c r="AH89" s="112" t="s">
        <v>227</v>
      </c>
      <c r="AI89" s="112" t="s">
        <v>227</v>
      </c>
      <c r="AJ89" s="112">
        <v>45046</v>
      </c>
      <c r="AK89" s="112" t="s">
        <v>287</v>
      </c>
      <c r="AL89" s="112" t="s">
        <v>288</v>
      </c>
    </row>
    <row r="90" spans="1:38" s="112" customFormat="1" ht="11.25" customHeight="1" x14ac:dyDescent="0.2">
      <c r="A90" s="116">
        <v>41</v>
      </c>
      <c r="B90" s="112" t="s">
        <v>47</v>
      </c>
      <c r="D90" s="112" t="s">
        <v>767</v>
      </c>
      <c r="E90" s="112" t="s">
        <v>35</v>
      </c>
      <c r="F90" s="112" t="s">
        <v>768</v>
      </c>
      <c r="G90" s="112" t="s">
        <v>769</v>
      </c>
      <c r="H90" s="112" t="s">
        <v>27</v>
      </c>
      <c r="I90" s="112" t="s">
        <v>697</v>
      </c>
      <c r="J90" s="114">
        <v>-14985</v>
      </c>
      <c r="K90" s="114">
        <v>-14985</v>
      </c>
      <c r="L90" s="114">
        <v>-14985</v>
      </c>
      <c r="M90" s="112" t="s">
        <v>278</v>
      </c>
      <c r="N90" s="112" t="s">
        <v>278</v>
      </c>
      <c r="O90" s="112" t="s">
        <v>770</v>
      </c>
      <c r="P90" s="112" t="s">
        <v>280</v>
      </c>
      <c r="Q90" s="112" t="s">
        <v>281</v>
      </c>
      <c r="R90" s="112" t="s">
        <v>282</v>
      </c>
      <c r="S90" s="112" t="s">
        <v>283</v>
      </c>
      <c r="T90" s="112" t="s">
        <v>366</v>
      </c>
      <c r="U90" s="112" t="s">
        <v>490</v>
      </c>
      <c r="V90" s="112">
        <v>101</v>
      </c>
      <c r="W90" s="112">
        <v>11010</v>
      </c>
      <c r="X90" s="112">
        <v>245011</v>
      </c>
      <c r="Y90" s="112">
        <v>9999</v>
      </c>
      <c r="Z90" s="112">
        <v>999</v>
      </c>
      <c r="AA90" s="112">
        <v>999</v>
      </c>
      <c r="AB90" s="112">
        <v>9999</v>
      </c>
      <c r="AC90" s="112">
        <v>9999</v>
      </c>
      <c r="AD90" s="112" t="s">
        <v>1</v>
      </c>
      <c r="AE90" s="112" t="s">
        <v>227</v>
      </c>
      <c r="AF90" s="112" t="s">
        <v>227</v>
      </c>
      <c r="AG90" s="112" t="s">
        <v>286</v>
      </c>
      <c r="AI90" s="112" t="s">
        <v>227</v>
      </c>
      <c r="AJ90" s="112">
        <v>45107</v>
      </c>
      <c r="AK90" s="112" t="s">
        <v>287</v>
      </c>
      <c r="AL90" s="112" t="s">
        <v>288</v>
      </c>
    </row>
    <row r="91" spans="1:38" s="112" customFormat="1" ht="11.25" customHeight="1" x14ac:dyDescent="0.2">
      <c r="A91" s="116">
        <v>41</v>
      </c>
      <c r="B91" s="112" t="s">
        <v>47</v>
      </c>
      <c r="D91" s="112" t="s">
        <v>767</v>
      </c>
      <c r="E91" s="112" t="s">
        <v>8</v>
      </c>
      <c r="F91" s="112" t="s">
        <v>771</v>
      </c>
      <c r="G91" s="112" t="s">
        <v>771</v>
      </c>
      <c r="H91" s="112" t="s">
        <v>27</v>
      </c>
      <c r="I91" s="112" t="s">
        <v>697</v>
      </c>
      <c r="J91" s="114">
        <v>671.7</v>
      </c>
      <c r="K91" s="114">
        <v>671.7</v>
      </c>
      <c r="L91" s="114">
        <v>671.7</v>
      </c>
      <c r="M91" s="112" t="s">
        <v>278</v>
      </c>
      <c r="N91" s="112" t="s">
        <v>278</v>
      </c>
      <c r="O91" s="112" t="s">
        <v>772</v>
      </c>
      <c r="P91" s="112" t="s">
        <v>772</v>
      </c>
      <c r="Q91" s="112" t="s">
        <v>281</v>
      </c>
      <c r="R91" s="112" t="s">
        <v>282</v>
      </c>
      <c r="S91" s="112" t="s">
        <v>294</v>
      </c>
      <c r="T91" s="112" t="s">
        <v>295</v>
      </c>
      <c r="U91" s="112" t="s">
        <v>773</v>
      </c>
      <c r="V91" s="112">
        <v>101</v>
      </c>
      <c r="W91" s="112">
        <v>13008</v>
      </c>
      <c r="X91" s="112">
        <v>245011</v>
      </c>
      <c r="Y91" s="112">
        <v>9999</v>
      </c>
      <c r="Z91" s="112">
        <v>950</v>
      </c>
      <c r="AA91" s="112">
        <v>999</v>
      </c>
      <c r="AB91" s="112">
        <v>9999</v>
      </c>
      <c r="AC91" s="112">
        <v>9999</v>
      </c>
      <c r="AD91" s="112" t="s">
        <v>1</v>
      </c>
      <c r="AE91" s="112" t="s">
        <v>774</v>
      </c>
      <c r="AF91" s="112" t="s">
        <v>227</v>
      </c>
      <c r="AG91" s="112" t="s">
        <v>286</v>
      </c>
      <c r="AI91" s="112" t="s">
        <v>227</v>
      </c>
      <c r="AJ91" s="112">
        <v>45107</v>
      </c>
      <c r="AK91" s="112" t="s">
        <v>328</v>
      </c>
      <c r="AL91" s="112" t="s">
        <v>288</v>
      </c>
    </row>
    <row r="92" spans="1:38" s="112" customFormat="1" ht="11.25" customHeight="1" x14ac:dyDescent="0.2">
      <c r="A92" s="116">
        <v>41</v>
      </c>
      <c r="B92" s="112" t="s">
        <v>47</v>
      </c>
      <c r="E92" s="112" t="s">
        <v>149</v>
      </c>
      <c r="F92" s="112" t="s">
        <v>775</v>
      </c>
      <c r="G92" s="112" t="s">
        <v>776</v>
      </c>
      <c r="H92" s="112" t="s">
        <v>27</v>
      </c>
      <c r="I92" s="112" t="s">
        <v>697</v>
      </c>
      <c r="J92" s="114">
        <v>-125000</v>
      </c>
      <c r="K92" s="114">
        <v>-125000</v>
      </c>
      <c r="L92" s="114">
        <v>-125000</v>
      </c>
      <c r="M92" s="112" t="s">
        <v>278</v>
      </c>
      <c r="N92" s="112" t="s">
        <v>278</v>
      </c>
      <c r="O92" s="112" t="s">
        <v>777</v>
      </c>
      <c r="P92" s="112" t="s">
        <v>280</v>
      </c>
      <c r="Q92" s="112" t="s">
        <v>281</v>
      </c>
      <c r="R92" s="112" t="s">
        <v>282</v>
      </c>
      <c r="S92" s="112" t="s">
        <v>294</v>
      </c>
      <c r="T92" s="112" t="s">
        <v>295</v>
      </c>
      <c r="U92" s="112" t="s">
        <v>778</v>
      </c>
      <c r="V92" s="112">
        <v>101</v>
      </c>
      <c r="W92" s="112">
        <v>13017</v>
      </c>
      <c r="X92" s="112">
        <v>245011</v>
      </c>
      <c r="Y92" s="112">
        <v>9999</v>
      </c>
      <c r="Z92" s="112">
        <v>999</v>
      </c>
      <c r="AA92" s="112">
        <v>999</v>
      </c>
      <c r="AB92" s="112">
        <v>9999</v>
      </c>
      <c r="AC92" s="112">
        <v>9999</v>
      </c>
      <c r="AD92" s="112" t="s">
        <v>1</v>
      </c>
      <c r="AE92" s="112" t="s">
        <v>227</v>
      </c>
      <c r="AF92" s="112" t="s">
        <v>227</v>
      </c>
      <c r="AG92" s="112" t="s">
        <v>286</v>
      </c>
      <c r="AI92" s="112" t="s">
        <v>227</v>
      </c>
      <c r="AJ92" s="112">
        <v>45107</v>
      </c>
      <c r="AK92" s="112" t="s">
        <v>287</v>
      </c>
      <c r="AL92" s="112" t="s">
        <v>288</v>
      </c>
    </row>
    <row r="93" spans="1:38" s="112" customFormat="1" ht="11.25" customHeight="1" x14ac:dyDescent="0.2">
      <c r="A93" s="116">
        <v>23</v>
      </c>
      <c r="B93" s="112" t="s">
        <v>46</v>
      </c>
      <c r="E93" s="112" t="s">
        <v>149</v>
      </c>
      <c r="F93" s="112" t="s">
        <v>779</v>
      </c>
      <c r="G93" s="112" t="s">
        <v>780</v>
      </c>
      <c r="H93" s="112" t="s">
        <v>27</v>
      </c>
      <c r="I93" s="112" t="s">
        <v>781</v>
      </c>
      <c r="J93" s="114">
        <v>125000</v>
      </c>
      <c r="K93" s="114">
        <v>125000</v>
      </c>
      <c r="L93" s="114">
        <v>125000</v>
      </c>
      <c r="M93" s="112" t="s">
        <v>278</v>
      </c>
      <c r="N93" s="112" t="s">
        <v>278</v>
      </c>
      <c r="O93" s="112" t="s">
        <v>782</v>
      </c>
      <c r="P93" s="112" t="s">
        <v>280</v>
      </c>
      <c r="Q93" s="112" t="s">
        <v>281</v>
      </c>
      <c r="R93" s="112" t="s">
        <v>282</v>
      </c>
      <c r="S93" s="112" t="s">
        <v>294</v>
      </c>
      <c r="T93" s="112" t="s">
        <v>295</v>
      </c>
      <c r="U93" s="112" t="s">
        <v>778</v>
      </c>
      <c r="V93" s="112">
        <v>101</v>
      </c>
      <c r="W93" s="112">
        <v>13017</v>
      </c>
      <c r="X93" s="112">
        <v>245011</v>
      </c>
      <c r="Y93" s="112">
        <v>9999</v>
      </c>
      <c r="Z93" s="112">
        <v>999</v>
      </c>
      <c r="AA93" s="112">
        <v>999</v>
      </c>
      <c r="AB93" s="112">
        <v>9999</v>
      </c>
      <c r="AC93" s="112">
        <v>9999</v>
      </c>
      <c r="AD93" s="112" t="s">
        <v>1</v>
      </c>
      <c r="AE93" s="112" t="s">
        <v>227</v>
      </c>
      <c r="AF93" s="112" t="s">
        <v>227</v>
      </c>
      <c r="AG93" s="112" t="s">
        <v>286</v>
      </c>
      <c r="AI93" s="112" t="s">
        <v>227</v>
      </c>
      <c r="AJ93" s="112">
        <v>45125</v>
      </c>
      <c r="AK93" s="112" t="s">
        <v>287</v>
      </c>
      <c r="AL93" s="112" t="s">
        <v>288</v>
      </c>
    </row>
    <row r="94" spans="1:38" s="112" customFormat="1" ht="11.25" customHeight="1" x14ac:dyDescent="0.2">
      <c r="A94" s="116">
        <v>30</v>
      </c>
      <c r="B94" s="112" t="s">
        <v>46</v>
      </c>
      <c r="E94" s="112" t="s">
        <v>75</v>
      </c>
      <c r="F94" s="112" t="s">
        <v>783</v>
      </c>
      <c r="G94" s="112" t="s">
        <v>784</v>
      </c>
      <c r="H94" s="112" t="s">
        <v>27</v>
      </c>
      <c r="I94" s="112" t="s">
        <v>781</v>
      </c>
      <c r="J94" s="114">
        <v>45396.3</v>
      </c>
      <c r="K94" s="114">
        <v>45396.3</v>
      </c>
      <c r="L94" s="114">
        <v>45396.3</v>
      </c>
      <c r="M94" s="112" t="s">
        <v>278</v>
      </c>
      <c r="N94" s="112" t="s">
        <v>278</v>
      </c>
      <c r="O94" s="112" t="s">
        <v>785</v>
      </c>
      <c r="P94" s="112" t="s">
        <v>280</v>
      </c>
      <c r="Q94" s="112" t="s">
        <v>281</v>
      </c>
      <c r="R94" s="112" t="s">
        <v>282</v>
      </c>
      <c r="S94" s="112" t="s">
        <v>294</v>
      </c>
      <c r="T94" s="112" t="s">
        <v>295</v>
      </c>
      <c r="U94" s="112" t="s">
        <v>474</v>
      </c>
      <c r="V94" s="112">
        <v>101</v>
      </c>
      <c r="W94" s="112">
        <v>13006</v>
      </c>
      <c r="X94" s="112">
        <v>245011</v>
      </c>
      <c r="Y94" s="112">
        <v>9999</v>
      </c>
      <c r="Z94" s="112">
        <v>999</v>
      </c>
      <c r="AA94" s="112">
        <v>999</v>
      </c>
      <c r="AB94" s="112">
        <v>9999</v>
      </c>
      <c r="AC94" s="112">
        <v>9999</v>
      </c>
      <c r="AD94" s="112" t="s">
        <v>1</v>
      </c>
      <c r="AE94" s="112" t="s">
        <v>227</v>
      </c>
      <c r="AF94" s="112" t="s">
        <v>227</v>
      </c>
      <c r="AG94" s="112" t="s">
        <v>286</v>
      </c>
      <c r="AI94" s="112" t="s">
        <v>227</v>
      </c>
      <c r="AJ94" s="112">
        <v>45118</v>
      </c>
      <c r="AK94" s="112" t="s">
        <v>287</v>
      </c>
      <c r="AL94" s="112" t="s">
        <v>288</v>
      </c>
    </row>
    <row r="95" spans="1:38" s="112" customFormat="1" ht="11.25" customHeight="1" x14ac:dyDescent="0.2">
      <c r="A95" s="116">
        <v>30</v>
      </c>
      <c r="B95" s="112" t="s">
        <v>46</v>
      </c>
      <c r="E95" s="112" t="s">
        <v>71</v>
      </c>
      <c r="F95" s="112" t="s">
        <v>786</v>
      </c>
      <c r="G95" s="112" t="s">
        <v>787</v>
      </c>
      <c r="H95" s="112" t="s">
        <v>9</v>
      </c>
      <c r="I95" s="112" t="s">
        <v>781</v>
      </c>
      <c r="J95" s="114">
        <v>-200826</v>
      </c>
      <c r="K95" s="114">
        <v>-200826</v>
      </c>
      <c r="L95" s="114">
        <v>-200826</v>
      </c>
      <c r="M95" s="112" t="s">
        <v>278</v>
      </c>
      <c r="N95" s="112" t="s">
        <v>278</v>
      </c>
      <c r="O95" s="112" t="s">
        <v>788</v>
      </c>
      <c r="P95" s="112" t="s">
        <v>280</v>
      </c>
      <c r="Q95" s="112" t="s">
        <v>281</v>
      </c>
      <c r="R95" s="112" t="s">
        <v>282</v>
      </c>
      <c r="S95" s="112" t="s">
        <v>283</v>
      </c>
      <c r="T95" s="112" t="s">
        <v>313</v>
      </c>
      <c r="U95" s="112" t="s">
        <v>443</v>
      </c>
      <c r="V95" s="112">
        <v>101</v>
      </c>
      <c r="W95" s="112">
        <v>11023</v>
      </c>
      <c r="X95" s="112">
        <v>245011</v>
      </c>
      <c r="Y95" s="112">
        <v>9999</v>
      </c>
      <c r="Z95" s="112">
        <v>999</v>
      </c>
      <c r="AA95" s="112">
        <v>999</v>
      </c>
      <c r="AB95" s="112">
        <v>9999</v>
      </c>
      <c r="AC95" s="112">
        <v>9999</v>
      </c>
      <c r="AD95" s="112" t="s">
        <v>1</v>
      </c>
      <c r="AE95" s="112" t="s">
        <v>227</v>
      </c>
      <c r="AF95" s="112" t="s">
        <v>227</v>
      </c>
      <c r="AG95" s="112" t="s">
        <v>286</v>
      </c>
      <c r="AI95" s="112" t="s">
        <v>227</v>
      </c>
      <c r="AJ95" s="112">
        <v>45118</v>
      </c>
      <c r="AK95" s="112" t="s">
        <v>287</v>
      </c>
      <c r="AL95" s="112" t="s">
        <v>288</v>
      </c>
    </row>
    <row r="96" spans="1:38" s="112" customFormat="1" ht="11.25" customHeight="1" x14ac:dyDescent="0.2">
      <c r="A96" s="116">
        <v>31</v>
      </c>
      <c r="B96" s="112" t="s">
        <v>47</v>
      </c>
      <c r="E96" s="112" t="s">
        <v>8</v>
      </c>
      <c r="F96" s="112" t="s">
        <v>789</v>
      </c>
      <c r="G96" s="112" t="s">
        <v>790</v>
      </c>
      <c r="H96" s="112" t="s">
        <v>27</v>
      </c>
      <c r="I96" s="112" t="s">
        <v>781</v>
      </c>
      <c r="J96" s="114">
        <v>-671.7</v>
      </c>
      <c r="K96" s="114">
        <v>-671.7</v>
      </c>
      <c r="L96" s="114">
        <v>-671.7</v>
      </c>
      <c r="M96" s="112" t="s">
        <v>278</v>
      </c>
      <c r="N96" s="112" t="s">
        <v>278</v>
      </c>
      <c r="O96" s="112" t="s">
        <v>791</v>
      </c>
      <c r="P96" s="112" t="s">
        <v>772</v>
      </c>
      <c r="Q96" s="112" t="s">
        <v>281</v>
      </c>
      <c r="R96" s="112" t="s">
        <v>282</v>
      </c>
      <c r="S96" s="112" t="s">
        <v>294</v>
      </c>
      <c r="T96" s="112" t="s">
        <v>295</v>
      </c>
      <c r="U96" s="112" t="s">
        <v>773</v>
      </c>
      <c r="V96" s="112">
        <v>101</v>
      </c>
      <c r="W96" s="112">
        <v>13008</v>
      </c>
      <c r="X96" s="112">
        <v>245011</v>
      </c>
      <c r="Y96" s="112">
        <v>9999</v>
      </c>
      <c r="Z96" s="112">
        <v>950</v>
      </c>
      <c r="AA96" s="112">
        <v>999</v>
      </c>
      <c r="AB96" s="112">
        <v>9999</v>
      </c>
      <c r="AC96" s="112">
        <v>9999</v>
      </c>
      <c r="AD96" s="112" t="s">
        <v>1</v>
      </c>
      <c r="AE96" s="112" t="s">
        <v>774</v>
      </c>
      <c r="AF96" s="112" t="s">
        <v>227</v>
      </c>
      <c r="AG96" s="112" t="s">
        <v>286</v>
      </c>
      <c r="AI96" s="112" t="s">
        <v>227</v>
      </c>
      <c r="AJ96" s="112">
        <v>45117</v>
      </c>
      <c r="AK96" s="112" t="s">
        <v>328</v>
      </c>
      <c r="AL96" s="112" t="s">
        <v>288</v>
      </c>
    </row>
    <row r="97" spans="1:38" s="112" customFormat="1" ht="11.25" customHeight="1" x14ac:dyDescent="0.2">
      <c r="A97" s="116">
        <v>31</v>
      </c>
      <c r="B97" s="112" t="s">
        <v>47</v>
      </c>
      <c r="E97" s="112" t="s">
        <v>35</v>
      </c>
      <c r="F97" s="112" t="s">
        <v>792</v>
      </c>
      <c r="G97" s="112" t="s">
        <v>793</v>
      </c>
      <c r="H97" s="112" t="s">
        <v>27</v>
      </c>
      <c r="I97" s="112" t="s">
        <v>781</v>
      </c>
      <c r="J97" s="114">
        <v>14985</v>
      </c>
      <c r="K97" s="114">
        <v>14985</v>
      </c>
      <c r="L97" s="114">
        <v>14985</v>
      </c>
      <c r="M97" s="112" t="s">
        <v>278</v>
      </c>
      <c r="N97" s="112" t="s">
        <v>278</v>
      </c>
      <c r="O97" s="112" t="s">
        <v>794</v>
      </c>
      <c r="P97" s="112" t="s">
        <v>280</v>
      </c>
      <c r="Q97" s="112" t="s">
        <v>281</v>
      </c>
      <c r="R97" s="112" t="s">
        <v>282</v>
      </c>
      <c r="S97" s="112" t="s">
        <v>283</v>
      </c>
      <c r="T97" s="112" t="s">
        <v>366</v>
      </c>
      <c r="U97" s="112" t="s">
        <v>490</v>
      </c>
      <c r="V97" s="112">
        <v>101</v>
      </c>
      <c r="W97" s="112">
        <v>11010</v>
      </c>
      <c r="X97" s="112">
        <v>245011</v>
      </c>
      <c r="Y97" s="112">
        <v>9999</v>
      </c>
      <c r="Z97" s="112">
        <v>999</v>
      </c>
      <c r="AA97" s="112">
        <v>999</v>
      </c>
      <c r="AB97" s="112">
        <v>9999</v>
      </c>
      <c r="AC97" s="112">
        <v>9999</v>
      </c>
      <c r="AD97" s="112" t="s">
        <v>1</v>
      </c>
      <c r="AE97" s="112" t="s">
        <v>227</v>
      </c>
      <c r="AF97" s="112" t="s">
        <v>227</v>
      </c>
      <c r="AG97" s="112" t="s">
        <v>286</v>
      </c>
      <c r="AI97" s="112" t="s">
        <v>227</v>
      </c>
      <c r="AJ97" s="112">
        <v>45117</v>
      </c>
      <c r="AK97" s="112" t="s">
        <v>287</v>
      </c>
      <c r="AL97" s="112" t="s">
        <v>288</v>
      </c>
    </row>
    <row r="98" spans="1:38" s="112" customFormat="1" ht="11.25" customHeight="1" x14ac:dyDescent="0.2">
      <c r="A98" s="116">
        <v>10</v>
      </c>
      <c r="B98" s="112" t="s">
        <v>46</v>
      </c>
      <c r="E98" s="112" t="s">
        <v>8</v>
      </c>
      <c r="F98" s="112" t="s">
        <v>795</v>
      </c>
      <c r="G98" s="112" t="s">
        <v>796</v>
      </c>
      <c r="H98" s="112" t="s">
        <v>27</v>
      </c>
      <c r="I98" s="112" t="s">
        <v>781</v>
      </c>
      <c r="J98" s="114">
        <v>37685.19</v>
      </c>
      <c r="K98" s="114">
        <v>37685.19</v>
      </c>
      <c r="L98" s="114">
        <v>37685.19</v>
      </c>
      <c r="M98" s="112" t="s">
        <v>278</v>
      </c>
      <c r="N98" s="112" t="s">
        <v>278</v>
      </c>
      <c r="O98" s="112" t="s">
        <v>797</v>
      </c>
      <c r="P98" s="112" t="s">
        <v>280</v>
      </c>
      <c r="Q98" s="112" t="s">
        <v>281</v>
      </c>
      <c r="R98" s="112" t="s">
        <v>282</v>
      </c>
      <c r="S98" s="112" t="s">
        <v>294</v>
      </c>
      <c r="T98" s="112" t="s">
        <v>295</v>
      </c>
      <c r="U98" s="112" t="s">
        <v>296</v>
      </c>
      <c r="V98" s="112">
        <v>101</v>
      </c>
      <c r="W98" s="112">
        <v>13008</v>
      </c>
      <c r="X98" s="112">
        <v>245011</v>
      </c>
      <c r="Y98" s="112">
        <v>9999</v>
      </c>
      <c r="Z98" s="112">
        <v>999</v>
      </c>
      <c r="AA98" s="112">
        <v>999</v>
      </c>
      <c r="AB98" s="112">
        <v>9999</v>
      </c>
      <c r="AC98" s="112">
        <v>9999</v>
      </c>
      <c r="AD98" s="112" t="s">
        <v>1</v>
      </c>
      <c r="AE98" s="112" t="s">
        <v>227</v>
      </c>
      <c r="AF98" s="112" t="s">
        <v>227</v>
      </c>
      <c r="AG98" s="112" t="s">
        <v>286</v>
      </c>
      <c r="AI98" s="112" t="s">
        <v>227</v>
      </c>
      <c r="AJ98" s="112">
        <v>45138</v>
      </c>
      <c r="AK98" s="112" t="s">
        <v>287</v>
      </c>
      <c r="AL98" s="112" t="s">
        <v>288</v>
      </c>
    </row>
    <row r="99" spans="1:38" s="112" customFormat="1" ht="11.25" customHeight="1" x14ac:dyDescent="0.2">
      <c r="A99" s="116">
        <v>196</v>
      </c>
      <c r="B99" s="112" t="s">
        <v>559</v>
      </c>
      <c r="D99" s="112" t="s">
        <v>798</v>
      </c>
      <c r="E99" s="112" t="s">
        <v>32</v>
      </c>
      <c r="F99" s="112" t="s">
        <v>799</v>
      </c>
      <c r="G99" s="112" t="s">
        <v>800</v>
      </c>
      <c r="H99" s="112" t="s">
        <v>221</v>
      </c>
      <c r="I99" s="112" t="s">
        <v>508</v>
      </c>
      <c r="J99" s="114">
        <v>369435.6</v>
      </c>
      <c r="K99" s="114">
        <v>369435.6</v>
      </c>
      <c r="L99" s="114">
        <v>369435.6</v>
      </c>
      <c r="M99" s="112" t="s">
        <v>278</v>
      </c>
      <c r="N99" s="112" t="s">
        <v>278</v>
      </c>
      <c r="O99" s="112" t="s">
        <v>801</v>
      </c>
      <c r="P99" s="112" t="s">
        <v>280</v>
      </c>
      <c r="Q99" s="112" t="s">
        <v>281</v>
      </c>
      <c r="R99" s="112" t="s">
        <v>282</v>
      </c>
      <c r="S99" s="112" t="s">
        <v>283</v>
      </c>
      <c r="T99" s="112" t="s">
        <v>313</v>
      </c>
      <c r="U99" s="112" t="s">
        <v>381</v>
      </c>
      <c r="V99" s="112">
        <v>101</v>
      </c>
      <c r="W99" s="112">
        <v>12015</v>
      </c>
      <c r="X99" s="112">
        <v>245011</v>
      </c>
      <c r="Y99" s="112">
        <v>9999</v>
      </c>
      <c r="Z99" s="112">
        <v>999</v>
      </c>
      <c r="AA99" s="112">
        <v>999</v>
      </c>
      <c r="AB99" s="112">
        <v>9999</v>
      </c>
      <c r="AC99" s="112">
        <v>9999</v>
      </c>
      <c r="AD99" s="112" t="s">
        <v>1</v>
      </c>
      <c r="AE99" s="112" t="s">
        <v>227</v>
      </c>
      <c r="AF99" s="112" t="s">
        <v>227</v>
      </c>
      <c r="AG99" s="112" t="s">
        <v>286</v>
      </c>
      <c r="AI99" s="112" t="s">
        <v>227</v>
      </c>
      <c r="AJ99" s="112">
        <v>44985</v>
      </c>
      <c r="AK99" s="112" t="s">
        <v>287</v>
      </c>
      <c r="AL99" s="112" t="s">
        <v>288</v>
      </c>
    </row>
    <row r="100" spans="1:38" s="112" customFormat="1" ht="11.25" customHeight="1" x14ac:dyDescent="0.2">
      <c r="A100" s="116">
        <v>196</v>
      </c>
      <c r="B100" s="112" t="s">
        <v>559</v>
      </c>
      <c r="D100" s="112" t="s">
        <v>798</v>
      </c>
      <c r="E100" s="112" t="s">
        <v>32</v>
      </c>
      <c r="F100" s="112" t="s">
        <v>802</v>
      </c>
      <c r="G100" s="112" t="s">
        <v>803</v>
      </c>
      <c r="H100" s="112" t="s">
        <v>221</v>
      </c>
      <c r="I100" s="112" t="s">
        <v>508</v>
      </c>
      <c r="J100" s="114">
        <v>179262</v>
      </c>
      <c r="K100" s="114">
        <v>179262</v>
      </c>
      <c r="L100" s="114">
        <v>179262</v>
      </c>
      <c r="M100" s="112" t="s">
        <v>278</v>
      </c>
      <c r="N100" s="112" t="s">
        <v>278</v>
      </c>
      <c r="O100" s="112" t="s">
        <v>804</v>
      </c>
      <c r="P100" s="112" t="s">
        <v>280</v>
      </c>
      <c r="Q100" s="112" t="s">
        <v>281</v>
      </c>
      <c r="R100" s="112" t="s">
        <v>282</v>
      </c>
      <c r="S100" s="112" t="s">
        <v>283</v>
      </c>
      <c r="T100" s="112" t="s">
        <v>313</v>
      </c>
      <c r="U100" s="112" t="s">
        <v>381</v>
      </c>
      <c r="V100" s="112">
        <v>101</v>
      </c>
      <c r="W100" s="112">
        <v>12015</v>
      </c>
      <c r="X100" s="112">
        <v>245011</v>
      </c>
      <c r="Y100" s="112">
        <v>9999</v>
      </c>
      <c r="Z100" s="112">
        <v>999</v>
      </c>
      <c r="AA100" s="112">
        <v>999</v>
      </c>
      <c r="AB100" s="112">
        <v>9999</v>
      </c>
      <c r="AC100" s="112">
        <v>9999</v>
      </c>
      <c r="AD100" s="112" t="s">
        <v>1</v>
      </c>
      <c r="AE100" s="112" t="s">
        <v>227</v>
      </c>
      <c r="AF100" s="112" t="s">
        <v>227</v>
      </c>
      <c r="AG100" s="112" t="s">
        <v>286</v>
      </c>
      <c r="AI100" s="112" t="s">
        <v>227</v>
      </c>
      <c r="AJ100" s="112">
        <v>44985</v>
      </c>
      <c r="AK100" s="112" t="s">
        <v>287</v>
      </c>
      <c r="AL100" s="112" t="s">
        <v>288</v>
      </c>
    </row>
    <row r="101" spans="1:38" s="112" customFormat="1" ht="11.25" customHeight="1" x14ac:dyDescent="0.2">
      <c r="A101" s="116">
        <v>196</v>
      </c>
      <c r="B101" s="112" t="s">
        <v>559</v>
      </c>
      <c r="D101" s="112" t="s">
        <v>798</v>
      </c>
      <c r="E101" s="112" t="s">
        <v>32</v>
      </c>
      <c r="F101" s="112" t="s">
        <v>802</v>
      </c>
      <c r="G101" s="112" t="s">
        <v>803</v>
      </c>
      <c r="H101" s="112" t="s">
        <v>221</v>
      </c>
      <c r="I101" s="112" t="s">
        <v>508</v>
      </c>
      <c r="J101" s="114">
        <v>-213440</v>
      </c>
      <c r="K101" s="114">
        <v>-213440</v>
      </c>
      <c r="L101" s="114">
        <v>-213440</v>
      </c>
      <c r="M101" s="112" t="s">
        <v>278</v>
      </c>
      <c r="N101" s="112" t="s">
        <v>278</v>
      </c>
      <c r="O101" s="112" t="s">
        <v>804</v>
      </c>
      <c r="P101" s="112" t="s">
        <v>280</v>
      </c>
      <c r="Q101" s="112" t="s">
        <v>281</v>
      </c>
      <c r="R101" s="112" t="s">
        <v>282</v>
      </c>
      <c r="S101" s="112" t="s">
        <v>283</v>
      </c>
      <c r="T101" s="112" t="s">
        <v>313</v>
      </c>
      <c r="U101" s="112" t="s">
        <v>381</v>
      </c>
      <c r="V101" s="112">
        <v>101</v>
      </c>
      <c r="W101" s="112">
        <v>12015</v>
      </c>
      <c r="X101" s="112">
        <v>245011</v>
      </c>
      <c r="Y101" s="112">
        <v>9999</v>
      </c>
      <c r="Z101" s="112">
        <v>999</v>
      </c>
      <c r="AA101" s="112">
        <v>999</v>
      </c>
      <c r="AB101" s="112">
        <v>9999</v>
      </c>
      <c r="AC101" s="112">
        <v>9999</v>
      </c>
      <c r="AD101" s="112" t="s">
        <v>1</v>
      </c>
      <c r="AE101" s="112" t="s">
        <v>227</v>
      </c>
      <c r="AF101" s="112" t="s">
        <v>227</v>
      </c>
      <c r="AG101" s="112" t="s">
        <v>286</v>
      </c>
      <c r="AI101" s="112" t="s">
        <v>227</v>
      </c>
      <c r="AJ101" s="112">
        <v>44985</v>
      </c>
      <c r="AK101" s="112" t="s">
        <v>287</v>
      </c>
      <c r="AL101" s="112" t="s">
        <v>288</v>
      </c>
    </row>
    <row r="102" spans="1:38" s="112" customFormat="1" ht="11.25" customHeight="1" x14ac:dyDescent="0.2">
      <c r="A102" s="116">
        <v>43</v>
      </c>
      <c r="B102" s="112" t="s">
        <v>47</v>
      </c>
      <c r="D102" s="112" t="s">
        <v>805</v>
      </c>
      <c r="E102" s="112" t="s">
        <v>57</v>
      </c>
      <c r="F102" s="112" t="s">
        <v>806</v>
      </c>
      <c r="G102" s="112" t="s">
        <v>807</v>
      </c>
      <c r="H102" s="112" t="s">
        <v>27</v>
      </c>
      <c r="I102" s="112" t="s">
        <v>781</v>
      </c>
      <c r="J102" s="114">
        <v>-10925000</v>
      </c>
      <c r="K102" s="114">
        <v>-10925000</v>
      </c>
      <c r="L102" s="114">
        <v>-10925000</v>
      </c>
      <c r="M102" s="112" t="s">
        <v>278</v>
      </c>
      <c r="N102" s="112" t="s">
        <v>278</v>
      </c>
      <c r="O102" s="112" t="s">
        <v>808</v>
      </c>
      <c r="P102" s="112" t="s">
        <v>280</v>
      </c>
      <c r="Q102" s="112" t="s">
        <v>281</v>
      </c>
      <c r="R102" s="112" t="s">
        <v>282</v>
      </c>
      <c r="S102" s="112" t="s">
        <v>283</v>
      </c>
      <c r="T102" s="112" t="s">
        <v>366</v>
      </c>
      <c r="U102" s="112" t="s">
        <v>461</v>
      </c>
      <c r="V102" s="112">
        <v>101</v>
      </c>
      <c r="W102" s="112">
        <v>12014</v>
      </c>
      <c r="X102" s="112">
        <v>245011</v>
      </c>
      <c r="Y102" s="112">
        <v>9999</v>
      </c>
      <c r="Z102" s="112">
        <v>999</v>
      </c>
      <c r="AA102" s="112">
        <v>999</v>
      </c>
      <c r="AB102" s="112">
        <v>9999</v>
      </c>
      <c r="AC102" s="112">
        <v>9999</v>
      </c>
      <c r="AD102" s="112" t="s">
        <v>1</v>
      </c>
      <c r="AE102" s="112" t="s">
        <v>227</v>
      </c>
      <c r="AF102" s="112" t="s">
        <v>227</v>
      </c>
      <c r="AG102" s="112" t="s">
        <v>286</v>
      </c>
      <c r="AI102" s="112" t="s">
        <v>227</v>
      </c>
      <c r="AJ102" s="112">
        <v>45138</v>
      </c>
      <c r="AK102" s="112" t="s">
        <v>287</v>
      </c>
      <c r="AL102" s="112" t="s">
        <v>288</v>
      </c>
    </row>
    <row r="103" spans="1:38" s="112" customFormat="1" ht="11.25" customHeight="1" x14ac:dyDescent="0.2">
      <c r="A103" s="116">
        <v>43</v>
      </c>
      <c r="B103" s="112" t="s">
        <v>47</v>
      </c>
      <c r="D103" s="112" t="s">
        <v>805</v>
      </c>
      <c r="E103" s="112" t="s">
        <v>39</v>
      </c>
      <c r="F103" s="112" t="s">
        <v>809</v>
      </c>
      <c r="G103" s="112" t="s">
        <v>809</v>
      </c>
      <c r="H103" s="112" t="s">
        <v>223</v>
      </c>
      <c r="I103" s="112" t="s">
        <v>781</v>
      </c>
      <c r="J103" s="114">
        <v>104266.87</v>
      </c>
      <c r="K103" s="114">
        <v>104266.87</v>
      </c>
      <c r="L103" s="114">
        <v>104266.87</v>
      </c>
      <c r="M103" s="112" t="s">
        <v>278</v>
      </c>
      <c r="N103" s="112" t="s">
        <v>278</v>
      </c>
      <c r="O103" s="112" t="s">
        <v>810</v>
      </c>
      <c r="P103" s="112" t="s">
        <v>810</v>
      </c>
      <c r="Q103" s="112" t="s">
        <v>281</v>
      </c>
      <c r="R103" s="112" t="s">
        <v>282</v>
      </c>
      <c r="S103" s="112" t="s">
        <v>283</v>
      </c>
      <c r="T103" s="112" t="s">
        <v>366</v>
      </c>
      <c r="U103" s="112" t="s">
        <v>733</v>
      </c>
      <c r="V103" s="112">
        <v>101</v>
      </c>
      <c r="W103" s="112">
        <v>12013</v>
      </c>
      <c r="X103" s="112">
        <v>245011</v>
      </c>
      <c r="Y103" s="112">
        <v>9999</v>
      </c>
      <c r="Z103" s="112">
        <v>999</v>
      </c>
      <c r="AA103" s="112">
        <v>999</v>
      </c>
      <c r="AB103" s="112">
        <v>9999</v>
      </c>
      <c r="AC103" s="112">
        <v>9999</v>
      </c>
      <c r="AD103" s="112" t="s">
        <v>1</v>
      </c>
      <c r="AE103" s="112" t="s">
        <v>227</v>
      </c>
      <c r="AF103" s="112" t="s">
        <v>227</v>
      </c>
      <c r="AG103" s="112" t="s">
        <v>286</v>
      </c>
      <c r="AI103" s="112" t="s">
        <v>227</v>
      </c>
      <c r="AJ103" s="112">
        <v>45138</v>
      </c>
      <c r="AK103" s="112" t="s">
        <v>328</v>
      </c>
      <c r="AL103" s="112" t="s">
        <v>288</v>
      </c>
    </row>
    <row r="104" spans="1:38" s="112" customFormat="1" ht="11.25" customHeight="1" x14ac:dyDescent="0.2">
      <c r="A104" s="116">
        <v>43</v>
      </c>
      <c r="B104" s="112" t="s">
        <v>47</v>
      </c>
      <c r="D104" s="112" t="s">
        <v>805</v>
      </c>
      <c r="E104" s="112" t="s">
        <v>71</v>
      </c>
      <c r="F104" s="112" t="s">
        <v>811</v>
      </c>
      <c r="G104" s="112" t="s">
        <v>812</v>
      </c>
      <c r="H104" s="112" t="s">
        <v>16</v>
      </c>
      <c r="I104" s="112" t="s">
        <v>781</v>
      </c>
      <c r="J104" s="114">
        <v>-77500</v>
      </c>
      <c r="K104" s="114">
        <v>-77500</v>
      </c>
      <c r="L104" s="114">
        <v>-77500</v>
      </c>
      <c r="M104" s="112" t="s">
        <v>278</v>
      </c>
      <c r="N104" s="112" t="s">
        <v>278</v>
      </c>
      <c r="O104" s="112" t="s">
        <v>813</v>
      </c>
      <c r="P104" s="112" t="s">
        <v>280</v>
      </c>
      <c r="Q104" s="112" t="s">
        <v>281</v>
      </c>
      <c r="R104" s="112" t="s">
        <v>282</v>
      </c>
      <c r="S104" s="112" t="s">
        <v>283</v>
      </c>
      <c r="T104" s="112" t="s">
        <v>313</v>
      </c>
      <c r="U104" s="112" t="s">
        <v>443</v>
      </c>
      <c r="V104" s="112">
        <v>101</v>
      </c>
      <c r="W104" s="112">
        <v>11023</v>
      </c>
      <c r="X104" s="112">
        <v>245011</v>
      </c>
      <c r="Y104" s="112">
        <v>9999</v>
      </c>
      <c r="Z104" s="112">
        <v>999</v>
      </c>
      <c r="AA104" s="112">
        <v>999</v>
      </c>
      <c r="AB104" s="112">
        <v>9999</v>
      </c>
      <c r="AC104" s="112">
        <v>9999</v>
      </c>
      <c r="AD104" s="112" t="s">
        <v>1</v>
      </c>
      <c r="AE104" s="112" t="s">
        <v>227</v>
      </c>
      <c r="AF104" s="112" t="s">
        <v>227</v>
      </c>
      <c r="AG104" s="112" t="s">
        <v>286</v>
      </c>
      <c r="AI104" s="112" t="s">
        <v>227</v>
      </c>
      <c r="AJ104" s="112">
        <v>45138</v>
      </c>
      <c r="AK104" s="112" t="s">
        <v>287</v>
      </c>
      <c r="AL104" s="112" t="s">
        <v>288</v>
      </c>
    </row>
    <row r="105" spans="1:38" s="112" customFormat="1" ht="11.25" customHeight="1" x14ac:dyDescent="0.2">
      <c r="A105" s="116">
        <v>43</v>
      </c>
      <c r="B105" s="112" t="s">
        <v>47</v>
      </c>
      <c r="D105" s="112" t="s">
        <v>805</v>
      </c>
      <c r="E105" s="112" t="s">
        <v>68</v>
      </c>
      <c r="F105" s="112" t="s">
        <v>814</v>
      </c>
      <c r="G105" s="112" t="s">
        <v>815</v>
      </c>
      <c r="H105" s="112" t="s">
        <v>222</v>
      </c>
      <c r="I105" s="112" t="s">
        <v>781</v>
      </c>
      <c r="J105" s="114">
        <v>558594.32999999996</v>
      </c>
      <c r="K105" s="114">
        <v>558594.32999999996</v>
      </c>
      <c r="L105" s="114">
        <v>558594.32999999996</v>
      </c>
      <c r="M105" s="112" t="s">
        <v>278</v>
      </c>
      <c r="N105" s="112" t="s">
        <v>278</v>
      </c>
      <c r="O105" s="112" t="s">
        <v>816</v>
      </c>
      <c r="P105" s="112" t="s">
        <v>280</v>
      </c>
      <c r="Q105" s="112" t="s">
        <v>281</v>
      </c>
      <c r="R105" s="112" t="s">
        <v>282</v>
      </c>
      <c r="S105" s="112" t="s">
        <v>283</v>
      </c>
      <c r="T105" s="112" t="s">
        <v>313</v>
      </c>
      <c r="U105" s="112" t="s">
        <v>547</v>
      </c>
      <c r="V105" s="112">
        <v>101</v>
      </c>
      <c r="W105" s="112">
        <v>12022</v>
      </c>
      <c r="X105" s="112">
        <v>245011</v>
      </c>
      <c r="Y105" s="112">
        <v>9999</v>
      </c>
      <c r="Z105" s="112">
        <v>999</v>
      </c>
      <c r="AA105" s="112">
        <v>999</v>
      </c>
      <c r="AB105" s="112">
        <v>9999</v>
      </c>
      <c r="AC105" s="112">
        <v>9999</v>
      </c>
      <c r="AD105" s="112" t="s">
        <v>1</v>
      </c>
      <c r="AE105" s="112" t="s">
        <v>227</v>
      </c>
      <c r="AF105" s="112" t="s">
        <v>227</v>
      </c>
      <c r="AG105" s="112" t="s">
        <v>286</v>
      </c>
      <c r="AI105" s="112" t="s">
        <v>227</v>
      </c>
      <c r="AJ105" s="112">
        <v>45138</v>
      </c>
      <c r="AK105" s="112" t="s">
        <v>287</v>
      </c>
      <c r="AL105" s="112" t="s">
        <v>288</v>
      </c>
    </row>
    <row r="106" spans="1:38" s="112" customFormat="1" ht="11.25" customHeight="1" x14ac:dyDescent="0.2">
      <c r="A106" s="116">
        <v>29</v>
      </c>
      <c r="B106" s="112" t="s">
        <v>46</v>
      </c>
      <c r="E106" s="112" t="s">
        <v>39</v>
      </c>
      <c r="F106" s="112" t="s">
        <v>817</v>
      </c>
      <c r="G106" s="112" t="s">
        <v>818</v>
      </c>
      <c r="H106" s="112" t="s">
        <v>223</v>
      </c>
      <c r="I106" s="112" t="s">
        <v>819</v>
      </c>
      <c r="J106" s="114">
        <v>-104266.87</v>
      </c>
      <c r="K106" s="114">
        <v>-104266.87</v>
      </c>
      <c r="L106" s="114">
        <v>-104266.87</v>
      </c>
      <c r="M106" s="112" t="s">
        <v>278</v>
      </c>
      <c r="N106" s="112" t="s">
        <v>278</v>
      </c>
      <c r="O106" s="112" t="s">
        <v>820</v>
      </c>
      <c r="P106" s="112" t="s">
        <v>810</v>
      </c>
      <c r="Q106" s="112" t="s">
        <v>281</v>
      </c>
      <c r="R106" s="112" t="s">
        <v>282</v>
      </c>
      <c r="S106" s="112" t="s">
        <v>283</v>
      </c>
      <c r="T106" s="112" t="s">
        <v>366</v>
      </c>
      <c r="U106" s="112" t="s">
        <v>733</v>
      </c>
      <c r="V106" s="112">
        <v>101</v>
      </c>
      <c r="W106" s="112">
        <v>12013</v>
      </c>
      <c r="X106" s="112">
        <v>245011</v>
      </c>
      <c r="Y106" s="112">
        <v>9999</v>
      </c>
      <c r="Z106" s="112">
        <v>999</v>
      </c>
      <c r="AA106" s="112">
        <v>999</v>
      </c>
      <c r="AB106" s="112">
        <v>9999</v>
      </c>
      <c r="AC106" s="112">
        <v>9999</v>
      </c>
      <c r="AD106" s="112" t="s">
        <v>1</v>
      </c>
      <c r="AE106" s="112" t="s">
        <v>227</v>
      </c>
      <c r="AF106" s="112" t="s">
        <v>227</v>
      </c>
      <c r="AG106" s="112" t="s">
        <v>286</v>
      </c>
      <c r="AI106" s="112" t="s">
        <v>227</v>
      </c>
      <c r="AJ106" s="112">
        <v>45152</v>
      </c>
      <c r="AK106" s="112" t="s">
        <v>328</v>
      </c>
      <c r="AL106" s="112" t="s">
        <v>288</v>
      </c>
    </row>
    <row r="107" spans="1:38" s="112" customFormat="1" ht="11.25" customHeight="1" x14ac:dyDescent="0.2">
      <c r="A107" s="116">
        <v>36</v>
      </c>
      <c r="B107" s="112" t="s">
        <v>47</v>
      </c>
      <c r="E107" s="112" t="s">
        <v>57</v>
      </c>
      <c r="F107" s="112" t="s">
        <v>821</v>
      </c>
      <c r="G107" s="112" t="s">
        <v>822</v>
      </c>
      <c r="H107" s="112" t="s">
        <v>27</v>
      </c>
      <c r="I107" s="112" t="s">
        <v>819</v>
      </c>
      <c r="J107" s="114">
        <v>10925000</v>
      </c>
      <c r="K107" s="114">
        <v>10925000</v>
      </c>
      <c r="L107" s="114">
        <v>10925000</v>
      </c>
      <c r="M107" s="112" t="s">
        <v>278</v>
      </c>
      <c r="N107" s="112" t="s">
        <v>278</v>
      </c>
      <c r="O107" s="112" t="s">
        <v>823</v>
      </c>
      <c r="P107" s="112" t="s">
        <v>280</v>
      </c>
      <c r="Q107" s="112" t="s">
        <v>281</v>
      </c>
      <c r="R107" s="112" t="s">
        <v>282</v>
      </c>
      <c r="S107" s="112" t="s">
        <v>283</v>
      </c>
      <c r="T107" s="112" t="s">
        <v>366</v>
      </c>
      <c r="U107" s="112" t="s">
        <v>461</v>
      </c>
      <c r="V107" s="112">
        <v>101</v>
      </c>
      <c r="W107" s="112">
        <v>12014</v>
      </c>
      <c r="X107" s="112">
        <v>245011</v>
      </c>
      <c r="Y107" s="112">
        <v>9999</v>
      </c>
      <c r="Z107" s="112">
        <v>999</v>
      </c>
      <c r="AA107" s="112">
        <v>999</v>
      </c>
      <c r="AB107" s="112">
        <v>9999</v>
      </c>
      <c r="AC107" s="112">
        <v>9999</v>
      </c>
      <c r="AD107" s="112" t="s">
        <v>1</v>
      </c>
      <c r="AE107" s="112" t="s">
        <v>227</v>
      </c>
      <c r="AF107" s="112" t="s">
        <v>227</v>
      </c>
      <c r="AG107" s="112" t="s">
        <v>286</v>
      </c>
      <c r="AI107" s="112" t="s">
        <v>227</v>
      </c>
      <c r="AJ107" s="112">
        <v>45145</v>
      </c>
      <c r="AK107" s="112" t="s">
        <v>287</v>
      </c>
      <c r="AL107" s="112" t="s">
        <v>288</v>
      </c>
    </row>
    <row r="108" spans="1:38" s="112" customFormat="1" ht="11.25" customHeight="1" x14ac:dyDescent="0.2">
      <c r="A108" s="116">
        <v>13</v>
      </c>
      <c r="B108" s="112" t="s">
        <v>46</v>
      </c>
      <c r="E108" s="112" t="s">
        <v>32</v>
      </c>
      <c r="F108" s="112" t="s">
        <v>824</v>
      </c>
      <c r="G108" s="112" t="s">
        <v>825</v>
      </c>
      <c r="H108" s="112" t="s">
        <v>221</v>
      </c>
      <c r="I108" s="112" t="s">
        <v>819</v>
      </c>
      <c r="J108" s="114">
        <v>-179262</v>
      </c>
      <c r="K108" s="114">
        <v>-179262</v>
      </c>
      <c r="L108" s="114">
        <v>-179262</v>
      </c>
      <c r="M108" s="112" t="s">
        <v>278</v>
      </c>
      <c r="N108" s="112" t="s">
        <v>278</v>
      </c>
      <c r="O108" s="112" t="s">
        <v>826</v>
      </c>
      <c r="P108" s="112" t="s">
        <v>280</v>
      </c>
      <c r="Q108" s="112" t="s">
        <v>281</v>
      </c>
      <c r="R108" s="112" t="s">
        <v>282</v>
      </c>
      <c r="S108" s="112" t="s">
        <v>283</v>
      </c>
      <c r="T108" s="112" t="s">
        <v>313</v>
      </c>
      <c r="U108" s="112" t="s">
        <v>381</v>
      </c>
      <c r="V108" s="112">
        <v>101</v>
      </c>
      <c r="W108" s="112">
        <v>12015</v>
      </c>
      <c r="X108" s="112">
        <v>245011</v>
      </c>
      <c r="Y108" s="112">
        <v>9999</v>
      </c>
      <c r="Z108" s="112">
        <v>999</v>
      </c>
      <c r="AA108" s="112">
        <v>999</v>
      </c>
      <c r="AB108" s="112">
        <v>9999</v>
      </c>
      <c r="AC108" s="112">
        <v>9999</v>
      </c>
      <c r="AD108" s="112" t="s">
        <v>1</v>
      </c>
      <c r="AE108" s="112" t="s">
        <v>227</v>
      </c>
      <c r="AF108" s="112" t="s">
        <v>227</v>
      </c>
      <c r="AG108" s="112" t="s">
        <v>286</v>
      </c>
      <c r="AI108" s="112" t="s">
        <v>227</v>
      </c>
      <c r="AJ108" s="112">
        <v>45168</v>
      </c>
      <c r="AK108" s="112" t="s">
        <v>287</v>
      </c>
      <c r="AL108" s="112" t="s">
        <v>288</v>
      </c>
    </row>
    <row r="109" spans="1:38" s="112" customFormat="1" ht="11.25" customHeight="1" x14ac:dyDescent="0.2">
      <c r="A109" s="116">
        <v>13</v>
      </c>
      <c r="B109" s="112" t="s">
        <v>46</v>
      </c>
      <c r="E109" s="112" t="s">
        <v>32</v>
      </c>
      <c r="F109" s="112" t="s">
        <v>827</v>
      </c>
      <c r="G109" s="112" t="s">
        <v>828</v>
      </c>
      <c r="H109" s="112" t="s">
        <v>221</v>
      </c>
      <c r="I109" s="112" t="s">
        <v>819</v>
      </c>
      <c r="J109" s="114">
        <v>-369435.6</v>
      </c>
      <c r="K109" s="114">
        <v>-369435.6</v>
      </c>
      <c r="L109" s="114">
        <v>-369435.6</v>
      </c>
      <c r="M109" s="112" t="s">
        <v>278</v>
      </c>
      <c r="N109" s="112" t="s">
        <v>278</v>
      </c>
      <c r="O109" s="112" t="s">
        <v>829</v>
      </c>
      <c r="P109" s="112" t="s">
        <v>280</v>
      </c>
      <c r="Q109" s="112" t="s">
        <v>281</v>
      </c>
      <c r="R109" s="112" t="s">
        <v>282</v>
      </c>
      <c r="S109" s="112" t="s">
        <v>283</v>
      </c>
      <c r="T109" s="112" t="s">
        <v>313</v>
      </c>
      <c r="U109" s="112" t="s">
        <v>381</v>
      </c>
      <c r="V109" s="112">
        <v>101</v>
      </c>
      <c r="W109" s="112">
        <v>12015</v>
      </c>
      <c r="X109" s="112">
        <v>245011</v>
      </c>
      <c r="Y109" s="112">
        <v>9999</v>
      </c>
      <c r="Z109" s="112">
        <v>999</v>
      </c>
      <c r="AA109" s="112">
        <v>999</v>
      </c>
      <c r="AB109" s="112">
        <v>9999</v>
      </c>
      <c r="AC109" s="112">
        <v>9999</v>
      </c>
      <c r="AD109" s="112" t="s">
        <v>1</v>
      </c>
      <c r="AE109" s="112" t="s">
        <v>227</v>
      </c>
      <c r="AF109" s="112" t="s">
        <v>227</v>
      </c>
      <c r="AG109" s="112" t="s">
        <v>286</v>
      </c>
      <c r="AI109" s="112" t="s">
        <v>227</v>
      </c>
      <c r="AJ109" s="112">
        <v>45168</v>
      </c>
      <c r="AK109" s="112" t="s">
        <v>287</v>
      </c>
      <c r="AL109" s="112" t="s">
        <v>288</v>
      </c>
    </row>
    <row r="110" spans="1:38" s="112" customFormat="1" ht="11.25" customHeight="1" x14ac:dyDescent="0.2">
      <c r="A110" s="116">
        <v>13</v>
      </c>
      <c r="B110" s="112" t="s">
        <v>46</v>
      </c>
      <c r="E110" s="112" t="s">
        <v>32</v>
      </c>
      <c r="F110" s="112" t="s">
        <v>824</v>
      </c>
      <c r="G110" s="112" t="s">
        <v>825</v>
      </c>
      <c r="H110" s="112" t="s">
        <v>221</v>
      </c>
      <c r="I110" s="112" t="s">
        <v>819</v>
      </c>
      <c r="J110" s="114">
        <v>213440</v>
      </c>
      <c r="K110" s="114">
        <v>213440</v>
      </c>
      <c r="L110" s="114">
        <v>213440</v>
      </c>
      <c r="M110" s="112" t="s">
        <v>278</v>
      </c>
      <c r="N110" s="112" t="s">
        <v>278</v>
      </c>
      <c r="O110" s="112" t="s">
        <v>826</v>
      </c>
      <c r="P110" s="112" t="s">
        <v>280</v>
      </c>
      <c r="Q110" s="112" t="s">
        <v>281</v>
      </c>
      <c r="R110" s="112" t="s">
        <v>282</v>
      </c>
      <c r="S110" s="112" t="s">
        <v>283</v>
      </c>
      <c r="T110" s="112" t="s">
        <v>313</v>
      </c>
      <c r="U110" s="112" t="s">
        <v>381</v>
      </c>
      <c r="V110" s="112">
        <v>101</v>
      </c>
      <c r="W110" s="112">
        <v>12015</v>
      </c>
      <c r="X110" s="112">
        <v>245011</v>
      </c>
      <c r="Y110" s="112">
        <v>9999</v>
      </c>
      <c r="Z110" s="112">
        <v>999</v>
      </c>
      <c r="AA110" s="112">
        <v>999</v>
      </c>
      <c r="AB110" s="112">
        <v>9999</v>
      </c>
      <c r="AC110" s="112">
        <v>9999</v>
      </c>
      <c r="AD110" s="112" t="s">
        <v>1</v>
      </c>
      <c r="AE110" s="112" t="s">
        <v>227</v>
      </c>
      <c r="AF110" s="112" t="s">
        <v>227</v>
      </c>
      <c r="AG110" s="112" t="s">
        <v>286</v>
      </c>
      <c r="AI110" s="112" t="s">
        <v>227</v>
      </c>
      <c r="AJ110" s="112">
        <v>45168</v>
      </c>
      <c r="AK110" s="112" t="s">
        <v>287</v>
      </c>
      <c r="AL110" s="112" t="s">
        <v>288</v>
      </c>
    </row>
    <row r="111" spans="1:38" s="112" customFormat="1" ht="11.25" customHeight="1" x14ac:dyDescent="0.2">
      <c r="A111" s="116">
        <v>36</v>
      </c>
      <c r="B111" s="112" t="s">
        <v>47</v>
      </c>
      <c r="E111" s="112" t="s">
        <v>68</v>
      </c>
      <c r="F111" s="112" t="s">
        <v>830</v>
      </c>
      <c r="G111" s="112" t="s">
        <v>831</v>
      </c>
      <c r="H111" s="112" t="s">
        <v>222</v>
      </c>
      <c r="I111" s="112" t="s">
        <v>819</v>
      </c>
      <c r="J111" s="114">
        <v>-558594.32999999996</v>
      </c>
      <c r="K111" s="114">
        <v>-558594.32999999996</v>
      </c>
      <c r="L111" s="114">
        <v>-558594.32999999996</v>
      </c>
      <c r="M111" s="112" t="s">
        <v>278</v>
      </c>
      <c r="N111" s="112" t="s">
        <v>278</v>
      </c>
      <c r="O111" s="112" t="s">
        <v>832</v>
      </c>
      <c r="P111" s="112" t="s">
        <v>280</v>
      </c>
      <c r="Q111" s="112" t="s">
        <v>281</v>
      </c>
      <c r="R111" s="112" t="s">
        <v>282</v>
      </c>
      <c r="S111" s="112" t="s">
        <v>283</v>
      </c>
      <c r="T111" s="112" t="s">
        <v>313</v>
      </c>
      <c r="U111" s="112" t="s">
        <v>547</v>
      </c>
      <c r="V111" s="112">
        <v>101</v>
      </c>
      <c r="W111" s="112">
        <v>12022</v>
      </c>
      <c r="X111" s="112">
        <v>245011</v>
      </c>
      <c r="Y111" s="112">
        <v>9999</v>
      </c>
      <c r="Z111" s="112">
        <v>999</v>
      </c>
      <c r="AA111" s="112">
        <v>999</v>
      </c>
      <c r="AB111" s="112">
        <v>9999</v>
      </c>
      <c r="AC111" s="112">
        <v>9999</v>
      </c>
      <c r="AD111" s="112" t="s">
        <v>1</v>
      </c>
      <c r="AE111" s="112" t="s">
        <v>227</v>
      </c>
      <c r="AF111" s="112" t="s">
        <v>227</v>
      </c>
      <c r="AG111" s="112" t="s">
        <v>286</v>
      </c>
      <c r="AI111" s="112" t="s">
        <v>227</v>
      </c>
      <c r="AJ111" s="112">
        <v>45145</v>
      </c>
      <c r="AK111" s="112" t="s">
        <v>287</v>
      </c>
      <c r="AL111" s="112" t="s">
        <v>288</v>
      </c>
    </row>
    <row r="112" spans="1:38" s="112" customFormat="1" ht="11.25" customHeight="1" x14ac:dyDescent="0.2">
      <c r="A112" s="116">
        <v>36</v>
      </c>
      <c r="B112" s="112" t="s">
        <v>47</v>
      </c>
      <c r="E112" s="112" t="s">
        <v>71</v>
      </c>
      <c r="F112" s="112" t="s">
        <v>833</v>
      </c>
      <c r="G112" s="112" t="s">
        <v>834</v>
      </c>
      <c r="H112" s="112" t="s">
        <v>16</v>
      </c>
      <c r="I112" s="112" t="s">
        <v>819</v>
      </c>
      <c r="J112" s="114">
        <v>77500</v>
      </c>
      <c r="K112" s="114">
        <v>77500</v>
      </c>
      <c r="L112" s="114">
        <v>77500</v>
      </c>
      <c r="M112" s="112" t="s">
        <v>278</v>
      </c>
      <c r="N112" s="112" t="s">
        <v>278</v>
      </c>
      <c r="O112" s="112" t="s">
        <v>835</v>
      </c>
      <c r="P112" s="112" t="s">
        <v>280</v>
      </c>
      <c r="Q112" s="112" t="s">
        <v>281</v>
      </c>
      <c r="R112" s="112" t="s">
        <v>282</v>
      </c>
      <c r="S112" s="112" t="s">
        <v>283</v>
      </c>
      <c r="T112" s="112" t="s">
        <v>313</v>
      </c>
      <c r="U112" s="112" t="s">
        <v>443</v>
      </c>
      <c r="V112" s="112">
        <v>101</v>
      </c>
      <c r="W112" s="112">
        <v>11023</v>
      </c>
      <c r="X112" s="112">
        <v>245011</v>
      </c>
      <c r="Y112" s="112">
        <v>9999</v>
      </c>
      <c r="Z112" s="112">
        <v>999</v>
      </c>
      <c r="AA112" s="112">
        <v>999</v>
      </c>
      <c r="AB112" s="112">
        <v>9999</v>
      </c>
      <c r="AC112" s="112">
        <v>9999</v>
      </c>
      <c r="AD112" s="112" t="s">
        <v>1</v>
      </c>
      <c r="AE112" s="112" t="s">
        <v>227</v>
      </c>
      <c r="AF112" s="112" t="s">
        <v>227</v>
      </c>
      <c r="AG112" s="112" t="s">
        <v>286</v>
      </c>
      <c r="AI112" s="112" t="s">
        <v>227</v>
      </c>
      <c r="AJ112" s="112">
        <v>45145</v>
      </c>
      <c r="AK112" s="112" t="s">
        <v>287</v>
      </c>
      <c r="AL112" s="112" t="s">
        <v>288</v>
      </c>
    </row>
    <row r="113" spans="1:38" s="112" customFormat="1" ht="11.25" customHeight="1" x14ac:dyDescent="0.2">
      <c r="A113" s="116">
        <v>40</v>
      </c>
      <c r="B113" s="112" t="s">
        <v>47</v>
      </c>
      <c r="D113" s="112" t="s">
        <v>129</v>
      </c>
      <c r="E113" s="112" t="s">
        <v>128</v>
      </c>
      <c r="F113" s="112" t="s">
        <v>836</v>
      </c>
      <c r="G113" s="112" t="s">
        <v>837</v>
      </c>
      <c r="H113" s="112" t="s">
        <v>16</v>
      </c>
      <c r="I113" s="112" t="s">
        <v>819</v>
      </c>
      <c r="J113" s="114">
        <v>-1065122.54</v>
      </c>
      <c r="K113" s="114">
        <v>-1065122.54</v>
      </c>
      <c r="L113" s="114">
        <v>-1065122.54</v>
      </c>
      <c r="M113" s="112" t="s">
        <v>278</v>
      </c>
      <c r="N113" s="112" t="s">
        <v>278</v>
      </c>
      <c r="O113" s="112" t="s">
        <v>838</v>
      </c>
      <c r="P113" s="112" t="s">
        <v>280</v>
      </c>
      <c r="Q113" s="112" t="s">
        <v>281</v>
      </c>
      <c r="R113" s="112" t="s">
        <v>282</v>
      </c>
      <c r="S113" s="112" t="s">
        <v>283</v>
      </c>
      <c r="T113" s="112" t="s">
        <v>313</v>
      </c>
      <c r="U113" s="112" t="s">
        <v>314</v>
      </c>
      <c r="V113" s="112">
        <v>101</v>
      </c>
      <c r="W113" s="112">
        <v>11002</v>
      </c>
      <c r="X113" s="112">
        <v>245011</v>
      </c>
      <c r="Y113" s="112">
        <v>9999</v>
      </c>
      <c r="Z113" s="112">
        <v>999</v>
      </c>
      <c r="AA113" s="112">
        <v>999</v>
      </c>
      <c r="AB113" s="112">
        <v>9999</v>
      </c>
      <c r="AC113" s="112">
        <v>9999</v>
      </c>
      <c r="AD113" s="112" t="s">
        <v>1</v>
      </c>
      <c r="AE113" s="112" t="s">
        <v>227</v>
      </c>
      <c r="AF113" s="112" t="s">
        <v>227</v>
      </c>
      <c r="AG113" s="112" t="s">
        <v>286</v>
      </c>
      <c r="AI113" s="112" t="s">
        <v>227</v>
      </c>
      <c r="AJ113" s="112">
        <v>45169</v>
      </c>
      <c r="AK113" s="112" t="s">
        <v>287</v>
      </c>
      <c r="AL113" s="112" t="s">
        <v>288</v>
      </c>
    </row>
    <row r="114" spans="1:38" s="112" customFormat="1" ht="11.25" customHeight="1" x14ac:dyDescent="0.2">
      <c r="A114" s="116">
        <v>40</v>
      </c>
      <c r="B114" s="112" t="s">
        <v>47</v>
      </c>
      <c r="D114" s="112" t="s">
        <v>839</v>
      </c>
      <c r="E114" s="112" t="s">
        <v>35</v>
      </c>
      <c r="F114" s="112" t="s">
        <v>840</v>
      </c>
      <c r="G114" s="112" t="s">
        <v>841</v>
      </c>
      <c r="H114" s="112" t="s">
        <v>19</v>
      </c>
      <c r="I114" s="112" t="s">
        <v>819</v>
      </c>
      <c r="J114" s="114">
        <v>2089250</v>
      </c>
      <c r="K114" s="114">
        <v>2089250</v>
      </c>
      <c r="L114" s="114">
        <v>2089250</v>
      </c>
      <c r="M114" s="112" t="s">
        <v>278</v>
      </c>
      <c r="N114" s="112" t="s">
        <v>278</v>
      </c>
      <c r="O114" s="112" t="s">
        <v>842</v>
      </c>
      <c r="P114" s="112" t="s">
        <v>280</v>
      </c>
      <c r="Q114" s="112" t="s">
        <v>281</v>
      </c>
      <c r="R114" s="112" t="s">
        <v>282</v>
      </c>
      <c r="S114" s="112" t="s">
        <v>283</v>
      </c>
      <c r="T114" s="112" t="s">
        <v>366</v>
      </c>
      <c r="U114" s="112" t="s">
        <v>490</v>
      </c>
      <c r="V114" s="112">
        <v>101</v>
      </c>
      <c r="W114" s="112">
        <v>11010</v>
      </c>
      <c r="X114" s="112">
        <v>245011</v>
      </c>
      <c r="Y114" s="112">
        <v>9999</v>
      </c>
      <c r="Z114" s="112">
        <v>999</v>
      </c>
      <c r="AA114" s="112">
        <v>999</v>
      </c>
      <c r="AB114" s="112">
        <v>9999</v>
      </c>
      <c r="AC114" s="112">
        <v>9999</v>
      </c>
      <c r="AD114" s="112" t="s">
        <v>1</v>
      </c>
      <c r="AE114" s="112" t="s">
        <v>227</v>
      </c>
      <c r="AF114" s="112" t="s">
        <v>227</v>
      </c>
      <c r="AG114" s="112" t="s">
        <v>286</v>
      </c>
      <c r="AI114" s="112" t="s">
        <v>227</v>
      </c>
      <c r="AJ114" s="112">
        <v>45169</v>
      </c>
      <c r="AK114" s="112" t="s">
        <v>287</v>
      </c>
      <c r="AL114" s="112" t="s">
        <v>288</v>
      </c>
    </row>
    <row r="115" spans="1:38" s="112" customFormat="1" ht="11.25" customHeight="1" x14ac:dyDescent="0.2">
      <c r="A115" s="116">
        <v>10</v>
      </c>
      <c r="B115" s="112" t="s">
        <v>46</v>
      </c>
      <c r="E115" s="112" t="s">
        <v>35</v>
      </c>
      <c r="F115" s="112" t="s">
        <v>843</v>
      </c>
      <c r="G115" s="112" t="s">
        <v>844</v>
      </c>
      <c r="H115" s="112" t="s">
        <v>27</v>
      </c>
      <c r="I115" s="112" t="s">
        <v>845</v>
      </c>
      <c r="J115" s="114">
        <v>1154022.3400000001</v>
      </c>
      <c r="K115" s="114">
        <v>1154022.3400000001</v>
      </c>
      <c r="L115" s="114">
        <v>1154022.3400000001</v>
      </c>
      <c r="M115" s="112" t="s">
        <v>278</v>
      </c>
      <c r="N115" s="112" t="s">
        <v>278</v>
      </c>
      <c r="O115" s="112" t="s">
        <v>846</v>
      </c>
      <c r="P115" s="112" t="s">
        <v>280</v>
      </c>
      <c r="Q115" s="112" t="s">
        <v>281</v>
      </c>
      <c r="R115" s="112" t="s">
        <v>282</v>
      </c>
      <c r="S115" s="112" t="s">
        <v>283</v>
      </c>
      <c r="T115" s="112" t="s">
        <v>366</v>
      </c>
      <c r="U115" s="112" t="s">
        <v>490</v>
      </c>
      <c r="V115" s="112">
        <v>101</v>
      </c>
      <c r="W115" s="112">
        <v>11010</v>
      </c>
      <c r="X115" s="112">
        <v>245011</v>
      </c>
      <c r="Y115" s="112">
        <v>9999</v>
      </c>
      <c r="Z115" s="112">
        <v>999</v>
      </c>
      <c r="AA115" s="112">
        <v>999</v>
      </c>
      <c r="AB115" s="112">
        <v>9999</v>
      </c>
      <c r="AC115" s="112">
        <v>9999</v>
      </c>
      <c r="AD115" s="112" t="s">
        <v>1</v>
      </c>
      <c r="AE115" s="112" t="s">
        <v>227</v>
      </c>
      <c r="AF115" s="112" t="s">
        <v>227</v>
      </c>
      <c r="AG115" s="112" t="s">
        <v>286</v>
      </c>
      <c r="AI115" s="112" t="s">
        <v>227</v>
      </c>
      <c r="AJ115" s="112">
        <v>45199</v>
      </c>
      <c r="AK115" s="112" t="s">
        <v>287</v>
      </c>
      <c r="AL115" s="112" t="s">
        <v>288</v>
      </c>
    </row>
    <row r="116" spans="1:38" s="112" customFormat="1" ht="11.25" customHeight="1" x14ac:dyDescent="0.2">
      <c r="A116" s="116">
        <v>10</v>
      </c>
      <c r="B116" s="112" t="s">
        <v>46</v>
      </c>
      <c r="E116" s="112" t="s">
        <v>35</v>
      </c>
      <c r="F116" s="112" t="s">
        <v>847</v>
      </c>
      <c r="G116" s="112" t="s">
        <v>848</v>
      </c>
      <c r="H116" s="112" t="s">
        <v>27</v>
      </c>
      <c r="I116" s="112" t="s">
        <v>845</v>
      </c>
      <c r="J116" s="114">
        <v>-1154022.3400000001</v>
      </c>
      <c r="K116" s="114">
        <v>-1154022.3400000001</v>
      </c>
      <c r="L116" s="114">
        <v>-1154022.3400000001</v>
      </c>
      <c r="M116" s="112" t="s">
        <v>278</v>
      </c>
      <c r="N116" s="112" t="s">
        <v>278</v>
      </c>
      <c r="O116" s="112" t="s">
        <v>849</v>
      </c>
      <c r="P116" s="112" t="s">
        <v>280</v>
      </c>
      <c r="Q116" s="112" t="s">
        <v>281</v>
      </c>
      <c r="R116" s="112" t="s">
        <v>282</v>
      </c>
      <c r="S116" s="112" t="s">
        <v>283</v>
      </c>
      <c r="T116" s="112" t="s">
        <v>366</v>
      </c>
      <c r="U116" s="112" t="s">
        <v>490</v>
      </c>
      <c r="V116" s="112">
        <v>101</v>
      </c>
      <c r="W116" s="112">
        <v>11010</v>
      </c>
      <c r="X116" s="112">
        <v>245011</v>
      </c>
      <c r="Y116" s="112">
        <v>9999</v>
      </c>
      <c r="Z116" s="112">
        <v>999</v>
      </c>
      <c r="AA116" s="112">
        <v>999</v>
      </c>
      <c r="AB116" s="112">
        <v>9999</v>
      </c>
      <c r="AC116" s="112">
        <v>9999</v>
      </c>
      <c r="AD116" s="112" t="s">
        <v>1</v>
      </c>
      <c r="AE116" s="112" t="s">
        <v>227</v>
      </c>
      <c r="AF116" s="112" t="s">
        <v>227</v>
      </c>
      <c r="AG116" s="112" t="s">
        <v>286</v>
      </c>
      <c r="AI116" s="112" t="s">
        <v>227</v>
      </c>
      <c r="AJ116" s="112">
        <v>45199</v>
      </c>
      <c r="AK116" s="112" t="s">
        <v>287</v>
      </c>
      <c r="AL116" s="112" t="s">
        <v>288</v>
      </c>
    </row>
    <row r="117" spans="1:38" s="112" customFormat="1" ht="11.25" customHeight="1" x14ac:dyDescent="0.2">
      <c r="A117" s="116">
        <v>18</v>
      </c>
      <c r="B117" s="112" t="s">
        <v>46</v>
      </c>
      <c r="E117" s="112" t="s">
        <v>35</v>
      </c>
      <c r="F117" s="112" t="s">
        <v>850</v>
      </c>
      <c r="G117" s="112" t="s">
        <v>851</v>
      </c>
      <c r="H117" s="112" t="s">
        <v>19</v>
      </c>
      <c r="I117" s="112" t="s">
        <v>845</v>
      </c>
      <c r="J117" s="114">
        <v>-2089250</v>
      </c>
      <c r="K117" s="114">
        <v>-2089250</v>
      </c>
      <c r="L117" s="114">
        <v>-2089250</v>
      </c>
      <c r="M117" s="112" t="s">
        <v>278</v>
      </c>
      <c r="N117" s="112" t="s">
        <v>278</v>
      </c>
      <c r="O117" s="112" t="s">
        <v>852</v>
      </c>
      <c r="P117" s="112" t="s">
        <v>280</v>
      </c>
      <c r="Q117" s="112" t="s">
        <v>281</v>
      </c>
      <c r="R117" s="112" t="s">
        <v>282</v>
      </c>
      <c r="S117" s="112" t="s">
        <v>283</v>
      </c>
      <c r="T117" s="112" t="s">
        <v>366</v>
      </c>
      <c r="U117" s="112" t="s">
        <v>490</v>
      </c>
      <c r="V117" s="112">
        <v>101</v>
      </c>
      <c r="W117" s="112">
        <v>11010</v>
      </c>
      <c r="X117" s="112">
        <v>245011</v>
      </c>
      <c r="Y117" s="112">
        <v>9999</v>
      </c>
      <c r="Z117" s="112">
        <v>999</v>
      </c>
      <c r="AA117" s="112">
        <v>999</v>
      </c>
      <c r="AB117" s="112">
        <v>9999</v>
      </c>
      <c r="AC117" s="112">
        <v>9999</v>
      </c>
      <c r="AD117" s="112" t="s">
        <v>1</v>
      </c>
      <c r="AE117" s="112" t="s">
        <v>227</v>
      </c>
      <c r="AF117" s="112" t="s">
        <v>227</v>
      </c>
      <c r="AG117" s="112" t="s">
        <v>286</v>
      </c>
      <c r="AI117" s="112" t="s">
        <v>227</v>
      </c>
      <c r="AJ117" s="112">
        <v>45191</v>
      </c>
      <c r="AK117" s="112" t="s">
        <v>287</v>
      </c>
      <c r="AL117" s="112" t="s">
        <v>288</v>
      </c>
    </row>
    <row r="118" spans="1:38" s="112" customFormat="1" ht="11.25" customHeight="1" x14ac:dyDescent="0.2">
      <c r="A118" s="116">
        <v>21</v>
      </c>
      <c r="B118" s="112" t="s">
        <v>46</v>
      </c>
      <c r="E118" s="112" t="s">
        <v>128</v>
      </c>
      <c r="F118" s="112" t="s">
        <v>853</v>
      </c>
      <c r="G118" s="112" t="s">
        <v>854</v>
      </c>
      <c r="H118" s="112" t="s">
        <v>16</v>
      </c>
      <c r="I118" s="112" t="s">
        <v>845</v>
      </c>
      <c r="J118" s="114">
        <v>1065122.54</v>
      </c>
      <c r="K118" s="114">
        <v>1065122.54</v>
      </c>
      <c r="L118" s="114">
        <v>1065122.54</v>
      </c>
      <c r="M118" s="112" t="s">
        <v>278</v>
      </c>
      <c r="N118" s="112" t="s">
        <v>278</v>
      </c>
      <c r="O118" s="112" t="s">
        <v>855</v>
      </c>
      <c r="P118" s="112" t="s">
        <v>280</v>
      </c>
      <c r="Q118" s="112" t="s">
        <v>281</v>
      </c>
      <c r="R118" s="112" t="s">
        <v>282</v>
      </c>
      <c r="S118" s="112" t="s">
        <v>283</v>
      </c>
      <c r="T118" s="112" t="s">
        <v>313</v>
      </c>
      <c r="U118" s="112" t="s">
        <v>314</v>
      </c>
      <c r="V118" s="112">
        <v>101</v>
      </c>
      <c r="W118" s="112">
        <v>11002</v>
      </c>
      <c r="X118" s="112">
        <v>245011</v>
      </c>
      <c r="Y118" s="112">
        <v>9999</v>
      </c>
      <c r="Z118" s="112">
        <v>999</v>
      </c>
      <c r="AA118" s="112">
        <v>999</v>
      </c>
      <c r="AB118" s="112">
        <v>9999</v>
      </c>
      <c r="AC118" s="112">
        <v>9999</v>
      </c>
      <c r="AD118" s="112" t="s">
        <v>1</v>
      </c>
      <c r="AE118" s="112" t="s">
        <v>227</v>
      </c>
      <c r="AF118" s="112" t="s">
        <v>227</v>
      </c>
      <c r="AG118" s="112" t="s">
        <v>286</v>
      </c>
      <c r="AI118" s="112" t="s">
        <v>227</v>
      </c>
      <c r="AJ118" s="112">
        <v>45188</v>
      </c>
      <c r="AK118" s="112" t="s">
        <v>287</v>
      </c>
      <c r="AL118" s="112" t="s">
        <v>288</v>
      </c>
    </row>
    <row r="119" spans="1:38" s="112" customFormat="1" ht="11.25" customHeight="1" x14ac:dyDescent="0.2">
      <c r="A119" s="116">
        <v>647</v>
      </c>
      <c r="B119" s="112" t="s">
        <v>54</v>
      </c>
      <c r="D119" s="112" t="s">
        <v>856</v>
      </c>
      <c r="E119" s="112" t="s">
        <v>73</v>
      </c>
      <c r="F119" s="112" t="s">
        <v>857</v>
      </c>
      <c r="G119" s="112" t="s">
        <v>858</v>
      </c>
      <c r="H119" s="112" t="s">
        <v>9</v>
      </c>
      <c r="I119" s="112" t="s">
        <v>859</v>
      </c>
      <c r="J119" s="114">
        <v>-126500</v>
      </c>
      <c r="K119" s="114">
        <v>-126500</v>
      </c>
      <c r="L119" s="114">
        <v>-126500</v>
      </c>
      <c r="M119" s="112" t="s">
        <v>278</v>
      </c>
      <c r="N119" s="112" t="s">
        <v>278</v>
      </c>
      <c r="O119" s="112" t="s">
        <v>860</v>
      </c>
      <c r="P119" s="112" t="s">
        <v>280</v>
      </c>
      <c r="Q119" s="112" t="s">
        <v>281</v>
      </c>
      <c r="R119" s="112" t="s">
        <v>282</v>
      </c>
      <c r="S119" s="112" t="s">
        <v>283</v>
      </c>
      <c r="T119" s="112" t="s">
        <v>366</v>
      </c>
      <c r="U119" s="112" t="s">
        <v>602</v>
      </c>
      <c r="V119" s="112">
        <v>101</v>
      </c>
      <c r="W119" s="112">
        <v>12021</v>
      </c>
      <c r="X119" s="112">
        <v>245011</v>
      </c>
      <c r="Y119" s="112">
        <v>9999</v>
      </c>
      <c r="Z119" s="112">
        <v>999</v>
      </c>
      <c r="AA119" s="112">
        <v>999</v>
      </c>
      <c r="AB119" s="112">
        <v>9999</v>
      </c>
      <c r="AC119" s="112">
        <v>9999</v>
      </c>
      <c r="AD119" s="112" t="s">
        <v>1</v>
      </c>
      <c r="AE119" s="112" t="s">
        <v>227</v>
      </c>
      <c r="AF119" s="112" t="s">
        <v>227</v>
      </c>
      <c r="AG119" s="112" t="s">
        <v>286</v>
      </c>
      <c r="AI119" s="112" t="s">
        <v>227</v>
      </c>
      <c r="AJ119" s="112">
        <v>44592</v>
      </c>
      <c r="AK119" s="112" t="s">
        <v>287</v>
      </c>
      <c r="AL119" s="112" t="s">
        <v>288</v>
      </c>
    </row>
    <row r="120" spans="1:38" s="112" customFormat="1" ht="11.25" customHeight="1" x14ac:dyDescent="0.2">
      <c r="A120" s="116">
        <v>588</v>
      </c>
      <c r="B120" s="112" t="s">
        <v>54</v>
      </c>
      <c r="D120" s="112" t="s">
        <v>856</v>
      </c>
      <c r="E120" s="112" t="s">
        <v>73</v>
      </c>
      <c r="F120" s="112" t="s">
        <v>861</v>
      </c>
      <c r="G120" s="112" t="s">
        <v>862</v>
      </c>
      <c r="H120" s="112" t="s">
        <v>9</v>
      </c>
      <c r="I120" s="112" t="s">
        <v>863</v>
      </c>
      <c r="J120" s="114">
        <v>133855</v>
      </c>
      <c r="K120" s="114">
        <v>133855</v>
      </c>
      <c r="L120" s="114">
        <v>133855</v>
      </c>
      <c r="M120" s="112" t="s">
        <v>278</v>
      </c>
      <c r="N120" s="112" t="s">
        <v>278</v>
      </c>
      <c r="O120" s="112" t="s">
        <v>860</v>
      </c>
      <c r="P120" s="112" t="s">
        <v>280</v>
      </c>
      <c r="Q120" s="112" t="s">
        <v>281</v>
      </c>
      <c r="R120" s="112" t="s">
        <v>282</v>
      </c>
      <c r="S120" s="112" t="s">
        <v>283</v>
      </c>
      <c r="T120" s="112" t="s">
        <v>366</v>
      </c>
      <c r="U120" s="112" t="s">
        <v>602</v>
      </c>
      <c r="V120" s="112">
        <v>101</v>
      </c>
      <c r="W120" s="112">
        <v>12021</v>
      </c>
      <c r="X120" s="112">
        <v>245011</v>
      </c>
      <c r="Y120" s="112">
        <v>9999</v>
      </c>
      <c r="Z120" s="112">
        <v>999</v>
      </c>
      <c r="AA120" s="112">
        <v>999</v>
      </c>
      <c r="AB120" s="112">
        <v>9999</v>
      </c>
      <c r="AC120" s="112">
        <v>9999</v>
      </c>
      <c r="AD120" s="112" t="s">
        <v>1</v>
      </c>
      <c r="AE120" s="112" t="s">
        <v>227</v>
      </c>
      <c r="AF120" s="112" t="s">
        <v>227</v>
      </c>
      <c r="AG120" s="112" t="s">
        <v>286</v>
      </c>
      <c r="AI120" s="112" t="s">
        <v>227</v>
      </c>
      <c r="AJ120" s="112">
        <v>44651</v>
      </c>
      <c r="AK120" s="112" t="s">
        <v>287</v>
      </c>
      <c r="AL120" s="112" t="s">
        <v>288</v>
      </c>
    </row>
    <row r="121" spans="1:38" s="112" customFormat="1" ht="11.25" customHeight="1" x14ac:dyDescent="0.2">
      <c r="A121" s="116">
        <v>223</v>
      </c>
      <c r="B121" s="112" t="s">
        <v>864</v>
      </c>
      <c r="D121" s="112" t="s">
        <v>865</v>
      </c>
      <c r="E121" s="112" t="s">
        <v>77</v>
      </c>
      <c r="F121" s="112" t="s">
        <v>866</v>
      </c>
      <c r="G121" s="112" t="s">
        <v>867</v>
      </c>
      <c r="H121" s="112" t="s">
        <v>19</v>
      </c>
      <c r="I121" s="112" t="s">
        <v>579</v>
      </c>
      <c r="J121" s="114">
        <v>29762.6</v>
      </c>
      <c r="K121" s="114">
        <v>29762.6</v>
      </c>
      <c r="L121" s="114">
        <v>29762.6</v>
      </c>
      <c r="M121" s="112" t="s">
        <v>278</v>
      </c>
      <c r="N121" s="112" t="s">
        <v>278</v>
      </c>
      <c r="O121" s="112" t="s">
        <v>868</v>
      </c>
      <c r="P121" s="112" t="s">
        <v>280</v>
      </c>
      <c r="Q121" s="112" t="s">
        <v>281</v>
      </c>
      <c r="R121" s="112" t="s">
        <v>282</v>
      </c>
      <c r="S121" s="112" t="s">
        <v>283</v>
      </c>
      <c r="T121" s="112" t="s">
        <v>313</v>
      </c>
      <c r="U121" s="112" t="s">
        <v>594</v>
      </c>
      <c r="V121" s="112">
        <v>101</v>
      </c>
      <c r="W121" s="112">
        <v>11001</v>
      </c>
      <c r="X121" s="112">
        <v>245011</v>
      </c>
      <c r="Y121" s="112">
        <v>9999</v>
      </c>
      <c r="Z121" s="112">
        <v>999</v>
      </c>
      <c r="AA121" s="112">
        <v>999</v>
      </c>
      <c r="AB121" s="112">
        <v>9999</v>
      </c>
      <c r="AC121" s="112">
        <v>9999</v>
      </c>
      <c r="AD121" s="112" t="s">
        <v>1</v>
      </c>
      <c r="AE121" s="112" t="s">
        <v>227</v>
      </c>
      <c r="AF121" s="112" t="s">
        <v>227</v>
      </c>
      <c r="AG121" s="112" t="s">
        <v>286</v>
      </c>
      <c r="AI121" s="112" t="s">
        <v>227</v>
      </c>
      <c r="AJ121" s="112">
        <v>45016</v>
      </c>
      <c r="AK121" s="112" t="s">
        <v>287</v>
      </c>
      <c r="AL121" s="112" t="s">
        <v>288</v>
      </c>
    </row>
    <row r="122" spans="1:38" s="112" customFormat="1" ht="11.25" customHeight="1" x14ac:dyDescent="0.2">
      <c r="A122" s="116">
        <v>70</v>
      </c>
      <c r="B122" s="112" t="s">
        <v>48</v>
      </c>
      <c r="D122" s="112" t="s">
        <v>132</v>
      </c>
      <c r="E122" s="112" t="s">
        <v>77</v>
      </c>
      <c r="F122" s="112" t="s">
        <v>869</v>
      </c>
      <c r="G122" s="112" t="s">
        <v>870</v>
      </c>
      <c r="H122" s="112" t="s">
        <v>871</v>
      </c>
      <c r="I122" s="112" t="s">
        <v>819</v>
      </c>
      <c r="J122" s="114">
        <v>-25000</v>
      </c>
      <c r="K122" s="114">
        <v>-25000</v>
      </c>
      <c r="L122" s="114">
        <v>-25000</v>
      </c>
      <c r="M122" s="112" t="s">
        <v>278</v>
      </c>
      <c r="N122" s="112" t="s">
        <v>278</v>
      </c>
      <c r="O122" s="112" t="s">
        <v>872</v>
      </c>
      <c r="P122" s="112" t="s">
        <v>280</v>
      </c>
      <c r="Q122" s="112" t="s">
        <v>281</v>
      </c>
      <c r="R122" s="112" t="s">
        <v>282</v>
      </c>
      <c r="S122" s="112" t="s">
        <v>283</v>
      </c>
      <c r="T122" s="112" t="s">
        <v>313</v>
      </c>
      <c r="U122" s="112" t="s">
        <v>594</v>
      </c>
      <c r="V122" s="112">
        <v>101</v>
      </c>
      <c r="W122" s="112">
        <v>11001</v>
      </c>
      <c r="X122" s="112">
        <v>245011</v>
      </c>
      <c r="Y122" s="112">
        <v>9999</v>
      </c>
      <c r="Z122" s="112">
        <v>999</v>
      </c>
      <c r="AA122" s="112">
        <v>999</v>
      </c>
      <c r="AB122" s="112">
        <v>9999</v>
      </c>
      <c r="AC122" s="112">
        <v>9999</v>
      </c>
      <c r="AD122" s="112" t="s">
        <v>1</v>
      </c>
      <c r="AE122" s="112" t="s">
        <v>227</v>
      </c>
      <c r="AF122" s="112" t="s">
        <v>227</v>
      </c>
      <c r="AG122" s="112" t="s">
        <v>286</v>
      </c>
      <c r="AI122" s="112" t="s">
        <v>227</v>
      </c>
      <c r="AJ122" s="112">
        <v>45169</v>
      </c>
      <c r="AK122" s="112" t="s">
        <v>287</v>
      </c>
      <c r="AL122" s="112" t="s">
        <v>288</v>
      </c>
    </row>
    <row r="123" spans="1:38" s="112" customFormat="1" ht="11.25" customHeight="1" x14ac:dyDescent="0.2">
      <c r="A123" s="116">
        <v>40</v>
      </c>
      <c r="B123" s="112" t="s">
        <v>47</v>
      </c>
      <c r="D123" s="112" t="s">
        <v>133</v>
      </c>
      <c r="E123" s="112" t="s">
        <v>68</v>
      </c>
      <c r="F123" s="112" t="s">
        <v>873</v>
      </c>
      <c r="G123" s="112" t="s">
        <v>874</v>
      </c>
      <c r="H123" s="112" t="s">
        <v>222</v>
      </c>
      <c r="I123" s="112" t="s">
        <v>845</v>
      </c>
      <c r="J123" s="114">
        <v>-1154022.3400000001</v>
      </c>
      <c r="K123" s="114">
        <v>-1154022.3400000001</v>
      </c>
      <c r="L123" s="114">
        <v>-1154022.3400000001</v>
      </c>
      <c r="M123" s="112" t="s">
        <v>278</v>
      </c>
      <c r="N123" s="112" t="s">
        <v>278</v>
      </c>
      <c r="O123" s="112" t="s">
        <v>849</v>
      </c>
      <c r="P123" s="112" t="s">
        <v>280</v>
      </c>
      <c r="Q123" s="112" t="s">
        <v>281</v>
      </c>
      <c r="R123" s="112" t="s">
        <v>282</v>
      </c>
      <c r="S123" s="112" t="s">
        <v>283</v>
      </c>
      <c r="T123" s="112" t="s">
        <v>313</v>
      </c>
      <c r="U123" s="112" t="s">
        <v>547</v>
      </c>
      <c r="V123" s="112">
        <v>101</v>
      </c>
      <c r="W123" s="112">
        <v>12022</v>
      </c>
      <c r="X123" s="112">
        <v>245011</v>
      </c>
      <c r="Y123" s="112">
        <v>9999</v>
      </c>
      <c r="Z123" s="112">
        <v>999</v>
      </c>
      <c r="AA123" s="112">
        <v>999</v>
      </c>
      <c r="AB123" s="112">
        <v>9999</v>
      </c>
      <c r="AC123" s="112">
        <v>9999</v>
      </c>
      <c r="AD123" s="112" t="s">
        <v>1</v>
      </c>
      <c r="AE123" s="112" t="s">
        <v>227</v>
      </c>
      <c r="AF123" s="112" t="s">
        <v>227</v>
      </c>
      <c r="AG123" s="112" t="s">
        <v>286</v>
      </c>
      <c r="AI123" s="112" t="s">
        <v>227</v>
      </c>
      <c r="AJ123" s="112">
        <v>45199</v>
      </c>
      <c r="AK123" s="112" t="s">
        <v>287</v>
      </c>
      <c r="AL123" s="112" t="s">
        <v>288</v>
      </c>
    </row>
    <row r="124" spans="1:38" s="112" customFormat="1" ht="11.25" customHeight="1" x14ac:dyDescent="0.2">
      <c r="A124" s="116">
        <v>40</v>
      </c>
      <c r="B124" s="112" t="s">
        <v>47</v>
      </c>
      <c r="D124" s="112" t="s">
        <v>135</v>
      </c>
      <c r="E124" s="112" t="s">
        <v>57</v>
      </c>
      <c r="F124" s="112" t="s">
        <v>875</v>
      </c>
      <c r="G124" s="112" t="s">
        <v>876</v>
      </c>
      <c r="H124" s="112" t="s">
        <v>16</v>
      </c>
      <c r="I124" s="112" t="s">
        <v>845</v>
      </c>
      <c r="J124" s="114">
        <v>168863.66</v>
      </c>
      <c r="K124" s="114">
        <v>168863.66</v>
      </c>
      <c r="L124" s="114">
        <v>168863.66</v>
      </c>
      <c r="M124" s="112" t="s">
        <v>278</v>
      </c>
      <c r="N124" s="112" t="s">
        <v>278</v>
      </c>
      <c r="O124" s="112" t="s">
        <v>877</v>
      </c>
      <c r="P124" s="112" t="s">
        <v>280</v>
      </c>
      <c r="Q124" s="112" t="s">
        <v>281</v>
      </c>
      <c r="R124" s="112" t="s">
        <v>282</v>
      </c>
      <c r="S124" s="112" t="s">
        <v>283</v>
      </c>
      <c r="T124" s="112" t="s">
        <v>366</v>
      </c>
      <c r="U124" s="112" t="s">
        <v>461</v>
      </c>
      <c r="V124" s="112">
        <v>101</v>
      </c>
      <c r="W124" s="112">
        <v>12014</v>
      </c>
      <c r="X124" s="112">
        <v>245011</v>
      </c>
      <c r="Y124" s="112">
        <v>9999</v>
      </c>
      <c r="Z124" s="112">
        <v>999</v>
      </c>
      <c r="AA124" s="112">
        <v>999</v>
      </c>
      <c r="AB124" s="112">
        <v>9999</v>
      </c>
      <c r="AC124" s="112">
        <v>9999</v>
      </c>
      <c r="AD124" s="112" t="s">
        <v>1</v>
      </c>
      <c r="AE124" s="112" t="s">
        <v>227</v>
      </c>
      <c r="AF124" s="112" t="s">
        <v>227</v>
      </c>
      <c r="AG124" s="112" t="s">
        <v>286</v>
      </c>
      <c r="AI124" s="112" t="s">
        <v>227</v>
      </c>
      <c r="AJ124" s="112">
        <v>45199</v>
      </c>
      <c r="AK124" s="112" t="s">
        <v>287</v>
      </c>
      <c r="AL124" s="112" t="s">
        <v>288</v>
      </c>
    </row>
    <row r="125" spans="1:38" s="112" customFormat="1" ht="11.25" customHeight="1" x14ac:dyDescent="0.2">
      <c r="A125" s="116">
        <v>21</v>
      </c>
      <c r="B125" s="112" t="s">
        <v>46</v>
      </c>
      <c r="E125" s="112" t="s">
        <v>73</v>
      </c>
      <c r="F125" s="112" t="s">
        <v>878</v>
      </c>
      <c r="G125" s="112" t="s">
        <v>879</v>
      </c>
      <c r="H125" s="112" t="s">
        <v>9</v>
      </c>
      <c r="I125" s="112" t="s">
        <v>880</v>
      </c>
      <c r="J125" s="114">
        <v>-133855</v>
      </c>
      <c r="K125" s="114">
        <v>-133855</v>
      </c>
      <c r="L125" s="114">
        <v>-133855</v>
      </c>
      <c r="M125" s="112" t="s">
        <v>278</v>
      </c>
      <c r="N125" s="112" t="s">
        <v>278</v>
      </c>
      <c r="O125" s="112" t="s">
        <v>881</v>
      </c>
      <c r="P125" s="112" t="s">
        <v>280</v>
      </c>
      <c r="Q125" s="112" t="s">
        <v>281</v>
      </c>
      <c r="R125" s="112" t="s">
        <v>282</v>
      </c>
      <c r="S125" s="112" t="s">
        <v>283</v>
      </c>
      <c r="T125" s="112" t="s">
        <v>366</v>
      </c>
      <c r="U125" s="112" t="s">
        <v>602</v>
      </c>
      <c r="V125" s="112">
        <v>101</v>
      </c>
      <c r="W125" s="112">
        <v>12021</v>
      </c>
      <c r="X125" s="112">
        <v>245011</v>
      </c>
      <c r="Y125" s="112">
        <v>9999</v>
      </c>
      <c r="Z125" s="112">
        <v>999</v>
      </c>
      <c r="AA125" s="112">
        <v>999</v>
      </c>
      <c r="AB125" s="112">
        <v>9999</v>
      </c>
      <c r="AC125" s="112">
        <v>9999</v>
      </c>
      <c r="AD125" s="112" t="s">
        <v>1</v>
      </c>
      <c r="AE125" s="112" t="s">
        <v>227</v>
      </c>
      <c r="AF125" s="112" t="s">
        <v>227</v>
      </c>
      <c r="AG125" s="112" t="s">
        <v>286</v>
      </c>
      <c r="AI125" s="112" t="s">
        <v>227</v>
      </c>
      <c r="AJ125" s="112">
        <v>45218</v>
      </c>
      <c r="AK125" s="112" t="s">
        <v>287</v>
      </c>
      <c r="AL125" s="112" t="s">
        <v>288</v>
      </c>
    </row>
    <row r="126" spans="1:38" s="112" customFormat="1" ht="11.25" customHeight="1" x14ac:dyDescent="0.2">
      <c r="A126" s="116">
        <v>30</v>
      </c>
      <c r="B126" s="112" t="s">
        <v>46</v>
      </c>
      <c r="E126" s="112" t="s">
        <v>68</v>
      </c>
      <c r="F126" s="112" t="s">
        <v>882</v>
      </c>
      <c r="G126" s="112" t="s">
        <v>883</v>
      </c>
      <c r="H126" s="112" t="s">
        <v>222</v>
      </c>
      <c r="I126" s="112" t="s">
        <v>880</v>
      </c>
      <c r="J126" s="114">
        <v>1154022.3400000001</v>
      </c>
      <c r="K126" s="114">
        <v>1154022.3400000001</v>
      </c>
      <c r="L126" s="114">
        <v>1154022.3400000001</v>
      </c>
      <c r="M126" s="112" t="s">
        <v>278</v>
      </c>
      <c r="N126" s="112" t="s">
        <v>278</v>
      </c>
      <c r="O126" s="112" t="s">
        <v>884</v>
      </c>
      <c r="P126" s="112" t="s">
        <v>280</v>
      </c>
      <c r="Q126" s="112" t="s">
        <v>281</v>
      </c>
      <c r="R126" s="112" t="s">
        <v>282</v>
      </c>
      <c r="S126" s="112" t="s">
        <v>283</v>
      </c>
      <c r="T126" s="112" t="s">
        <v>313</v>
      </c>
      <c r="U126" s="112" t="s">
        <v>547</v>
      </c>
      <c r="V126" s="112">
        <v>101</v>
      </c>
      <c r="W126" s="112">
        <v>12022</v>
      </c>
      <c r="X126" s="112">
        <v>245011</v>
      </c>
      <c r="Y126" s="112">
        <v>9999</v>
      </c>
      <c r="Z126" s="112">
        <v>999</v>
      </c>
      <c r="AA126" s="112">
        <v>999</v>
      </c>
      <c r="AB126" s="112">
        <v>9999</v>
      </c>
      <c r="AC126" s="112">
        <v>9999</v>
      </c>
      <c r="AD126" s="112" t="s">
        <v>1</v>
      </c>
      <c r="AE126" s="112" t="s">
        <v>227</v>
      </c>
      <c r="AF126" s="112" t="s">
        <v>227</v>
      </c>
      <c r="AG126" s="112" t="s">
        <v>286</v>
      </c>
      <c r="AI126" s="112" t="s">
        <v>227</v>
      </c>
      <c r="AJ126" s="112">
        <v>45209</v>
      </c>
      <c r="AK126" s="112" t="s">
        <v>287</v>
      </c>
      <c r="AL126" s="112" t="s">
        <v>288</v>
      </c>
    </row>
    <row r="127" spans="1:38" s="112" customFormat="1" ht="11.25" customHeight="1" x14ac:dyDescent="0.2">
      <c r="A127" s="116">
        <v>9</v>
      </c>
      <c r="B127" s="112" t="s">
        <v>46</v>
      </c>
      <c r="E127" s="112" t="s">
        <v>57</v>
      </c>
      <c r="F127" s="112" t="s">
        <v>885</v>
      </c>
      <c r="G127" s="112" t="s">
        <v>886</v>
      </c>
      <c r="H127" s="112" t="s">
        <v>16</v>
      </c>
      <c r="I127" s="112" t="s">
        <v>880</v>
      </c>
      <c r="J127" s="114">
        <v>-168863.66</v>
      </c>
      <c r="K127" s="114">
        <v>-168863.66</v>
      </c>
      <c r="L127" s="114">
        <v>-168863.66</v>
      </c>
      <c r="M127" s="112" t="s">
        <v>278</v>
      </c>
      <c r="N127" s="112" t="s">
        <v>278</v>
      </c>
      <c r="O127" s="112" t="s">
        <v>887</v>
      </c>
      <c r="P127" s="112" t="s">
        <v>280</v>
      </c>
      <c r="Q127" s="112" t="s">
        <v>281</v>
      </c>
      <c r="R127" s="112" t="s">
        <v>282</v>
      </c>
      <c r="S127" s="112" t="s">
        <v>283</v>
      </c>
      <c r="T127" s="112" t="s">
        <v>366</v>
      </c>
      <c r="U127" s="112" t="s">
        <v>461</v>
      </c>
      <c r="V127" s="112">
        <v>101</v>
      </c>
      <c r="W127" s="112">
        <v>12014</v>
      </c>
      <c r="X127" s="112">
        <v>245011</v>
      </c>
      <c r="Y127" s="112">
        <v>9999</v>
      </c>
      <c r="Z127" s="112">
        <v>999</v>
      </c>
      <c r="AA127" s="112">
        <v>999</v>
      </c>
      <c r="AB127" s="112">
        <v>9999</v>
      </c>
      <c r="AC127" s="112">
        <v>9999</v>
      </c>
      <c r="AD127" s="112" t="s">
        <v>1</v>
      </c>
      <c r="AE127" s="112" t="s">
        <v>227</v>
      </c>
      <c r="AF127" s="112" t="s">
        <v>227</v>
      </c>
      <c r="AG127" s="112" t="s">
        <v>286</v>
      </c>
      <c r="AI127" s="112" t="s">
        <v>227</v>
      </c>
      <c r="AJ127" s="112">
        <v>45230</v>
      </c>
      <c r="AK127" s="112" t="s">
        <v>287</v>
      </c>
      <c r="AL127" s="112" t="s">
        <v>288</v>
      </c>
    </row>
    <row r="128" spans="1:38" s="112" customFormat="1" ht="11.25" customHeight="1" x14ac:dyDescent="0.2">
      <c r="A128" s="116">
        <v>21</v>
      </c>
      <c r="B128" s="112" t="s">
        <v>46</v>
      </c>
      <c r="E128" s="112" t="s">
        <v>77</v>
      </c>
      <c r="F128" s="112" t="s">
        <v>888</v>
      </c>
      <c r="G128" s="112" t="s">
        <v>889</v>
      </c>
      <c r="H128" s="112" t="s">
        <v>19</v>
      </c>
      <c r="I128" s="112" t="s">
        <v>880</v>
      </c>
      <c r="J128" s="114">
        <v>-29762.6</v>
      </c>
      <c r="K128" s="114">
        <v>-29762.6</v>
      </c>
      <c r="L128" s="114">
        <v>-29762.6</v>
      </c>
      <c r="M128" s="112" t="s">
        <v>278</v>
      </c>
      <c r="N128" s="112" t="s">
        <v>278</v>
      </c>
      <c r="O128" s="112" t="s">
        <v>890</v>
      </c>
      <c r="P128" s="112" t="s">
        <v>280</v>
      </c>
      <c r="Q128" s="112" t="s">
        <v>281</v>
      </c>
      <c r="R128" s="112" t="s">
        <v>282</v>
      </c>
      <c r="S128" s="112" t="s">
        <v>283</v>
      </c>
      <c r="T128" s="112" t="s">
        <v>313</v>
      </c>
      <c r="U128" s="112" t="s">
        <v>594</v>
      </c>
      <c r="V128" s="112">
        <v>101</v>
      </c>
      <c r="W128" s="112">
        <v>11001</v>
      </c>
      <c r="X128" s="112">
        <v>245011</v>
      </c>
      <c r="Y128" s="112">
        <v>9999</v>
      </c>
      <c r="Z128" s="112">
        <v>999</v>
      </c>
      <c r="AA128" s="112">
        <v>999</v>
      </c>
      <c r="AB128" s="112">
        <v>9999</v>
      </c>
      <c r="AC128" s="112">
        <v>9999</v>
      </c>
      <c r="AD128" s="112" t="s">
        <v>1</v>
      </c>
      <c r="AE128" s="112" t="s">
        <v>227</v>
      </c>
      <c r="AF128" s="112" t="s">
        <v>227</v>
      </c>
      <c r="AG128" s="112" t="s">
        <v>286</v>
      </c>
      <c r="AI128" s="112" t="s">
        <v>227</v>
      </c>
      <c r="AJ128" s="112">
        <v>45218</v>
      </c>
      <c r="AK128" s="112" t="s">
        <v>287</v>
      </c>
      <c r="AL128" s="112" t="s">
        <v>288</v>
      </c>
    </row>
    <row r="129" spans="1:38" s="112" customFormat="1" ht="11.25" customHeight="1" x14ac:dyDescent="0.2">
      <c r="A129" s="116">
        <v>23</v>
      </c>
      <c r="B129" s="112" t="s">
        <v>46</v>
      </c>
      <c r="E129" s="112" t="s">
        <v>77</v>
      </c>
      <c r="F129" s="112" t="s">
        <v>891</v>
      </c>
      <c r="G129" s="112" t="s">
        <v>892</v>
      </c>
      <c r="H129" s="112" t="s">
        <v>871</v>
      </c>
      <c r="I129" s="112" t="s">
        <v>880</v>
      </c>
      <c r="J129" s="114">
        <v>25000</v>
      </c>
      <c r="K129" s="114">
        <v>25000</v>
      </c>
      <c r="L129" s="114">
        <v>25000</v>
      </c>
      <c r="M129" s="112" t="s">
        <v>278</v>
      </c>
      <c r="N129" s="112" t="s">
        <v>278</v>
      </c>
      <c r="O129" s="112" t="s">
        <v>893</v>
      </c>
      <c r="P129" s="112" t="s">
        <v>280</v>
      </c>
      <c r="Q129" s="112" t="s">
        <v>281</v>
      </c>
      <c r="R129" s="112" t="s">
        <v>282</v>
      </c>
      <c r="S129" s="112" t="s">
        <v>283</v>
      </c>
      <c r="T129" s="112" t="s">
        <v>313</v>
      </c>
      <c r="U129" s="112" t="s">
        <v>594</v>
      </c>
      <c r="V129" s="112">
        <v>101</v>
      </c>
      <c r="W129" s="112">
        <v>11001</v>
      </c>
      <c r="X129" s="112">
        <v>245011</v>
      </c>
      <c r="Y129" s="112">
        <v>9999</v>
      </c>
      <c r="Z129" s="112">
        <v>999</v>
      </c>
      <c r="AA129" s="112">
        <v>999</v>
      </c>
      <c r="AB129" s="112">
        <v>9999</v>
      </c>
      <c r="AC129" s="112">
        <v>9999</v>
      </c>
      <c r="AD129" s="112" t="s">
        <v>1</v>
      </c>
      <c r="AE129" s="112" t="s">
        <v>227</v>
      </c>
      <c r="AF129" s="112" t="s">
        <v>227</v>
      </c>
      <c r="AG129" s="112" t="s">
        <v>286</v>
      </c>
      <c r="AI129" s="112" t="s">
        <v>227</v>
      </c>
      <c r="AJ129" s="112">
        <v>45216</v>
      </c>
      <c r="AK129" s="112" t="s">
        <v>287</v>
      </c>
      <c r="AL129" s="112" t="s">
        <v>288</v>
      </c>
    </row>
    <row r="130" spans="1:38" s="112" customFormat="1" ht="11.25" customHeight="1" x14ac:dyDescent="0.2">
      <c r="A130" s="116">
        <v>21</v>
      </c>
      <c r="B130" s="112" t="s">
        <v>46</v>
      </c>
      <c r="E130" s="112" t="s">
        <v>73</v>
      </c>
      <c r="F130" s="112" t="s">
        <v>894</v>
      </c>
      <c r="G130" s="112" t="s">
        <v>895</v>
      </c>
      <c r="H130" s="112" t="s">
        <v>9</v>
      </c>
      <c r="I130" s="112" t="s">
        <v>880</v>
      </c>
      <c r="J130" s="114">
        <v>126500</v>
      </c>
      <c r="K130" s="114">
        <v>126500</v>
      </c>
      <c r="L130" s="114">
        <v>126500</v>
      </c>
      <c r="M130" s="112" t="s">
        <v>278</v>
      </c>
      <c r="N130" s="112" t="s">
        <v>278</v>
      </c>
      <c r="O130" s="112" t="s">
        <v>896</v>
      </c>
      <c r="P130" s="112" t="s">
        <v>280</v>
      </c>
      <c r="Q130" s="112" t="s">
        <v>281</v>
      </c>
      <c r="R130" s="112" t="s">
        <v>282</v>
      </c>
      <c r="S130" s="112" t="s">
        <v>283</v>
      </c>
      <c r="T130" s="112" t="s">
        <v>366</v>
      </c>
      <c r="U130" s="112" t="s">
        <v>602</v>
      </c>
      <c r="V130" s="112">
        <v>101</v>
      </c>
      <c r="W130" s="112">
        <v>12021</v>
      </c>
      <c r="X130" s="112">
        <v>245011</v>
      </c>
      <c r="Y130" s="112">
        <v>9999</v>
      </c>
      <c r="Z130" s="112">
        <v>999</v>
      </c>
      <c r="AA130" s="112">
        <v>999</v>
      </c>
      <c r="AB130" s="112">
        <v>9999</v>
      </c>
      <c r="AC130" s="112">
        <v>9999</v>
      </c>
      <c r="AD130" s="112" t="s">
        <v>1</v>
      </c>
      <c r="AE130" s="112" t="s">
        <v>227</v>
      </c>
      <c r="AF130" s="112" t="s">
        <v>227</v>
      </c>
      <c r="AG130" s="112" t="s">
        <v>286</v>
      </c>
      <c r="AI130" s="112" t="s">
        <v>227</v>
      </c>
      <c r="AJ130" s="112">
        <v>45218</v>
      </c>
      <c r="AK130" s="112" t="s">
        <v>287</v>
      </c>
      <c r="AL130" s="112" t="s">
        <v>288</v>
      </c>
    </row>
    <row r="131" spans="1:38" s="112" customFormat="1" ht="11.25" customHeight="1" x14ac:dyDescent="0.2">
      <c r="A131" s="116">
        <v>9</v>
      </c>
      <c r="B131" s="112" t="s">
        <v>46</v>
      </c>
      <c r="E131" s="112" t="s">
        <v>91</v>
      </c>
      <c r="F131" s="112" t="s">
        <v>897</v>
      </c>
      <c r="G131" s="112" t="s">
        <v>897</v>
      </c>
      <c r="H131" s="112" t="s">
        <v>12</v>
      </c>
      <c r="I131" s="112" t="s">
        <v>880</v>
      </c>
      <c r="J131" s="114">
        <v>1238.1400000000001</v>
      </c>
      <c r="K131" s="114">
        <v>1238.1400000000001</v>
      </c>
      <c r="L131" s="114">
        <v>1238.1400000000001</v>
      </c>
      <c r="M131" s="112" t="s">
        <v>278</v>
      </c>
      <c r="N131" s="112" t="s">
        <v>278</v>
      </c>
      <c r="O131" s="112" t="s">
        <v>898</v>
      </c>
      <c r="P131" s="112" t="s">
        <v>898</v>
      </c>
      <c r="Q131" s="112" t="s">
        <v>281</v>
      </c>
      <c r="R131" s="112" t="s">
        <v>282</v>
      </c>
      <c r="S131" s="112" t="s">
        <v>283</v>
      </c>
      <c r="T131" s="112" t="s">
        <v>313</v>
      </c>
      <c r="U131" s="112" t="s">
        <v>651</v>
      </c>
      <c r="V131" s="112">
        <v>101</v>
      </c>
      <c r="W131" s="112">
        <v>12016</v>
      </c>
      <c r="X131" s="112">
        <v>245011</v>
      </c>
      <c r="Y131" s="112">
        <v>9999</v>
      </c>
      <c r="Z131" s="112">
        <v>950</v>
      </c>
      <c r="AA131" s="112">
        <v>999</v>
      </c>
      <c r="AB131" s="112">
        <v>9999</v>
      </c>
      <c r="AC131" s="112">
        <v>9999</v>
      </c>
      <c r="AD131" s="112" t="s">
        <v>1</v>
      </c>
      <c r="AE131" s="112" t="s">
        <v>661</v>
      </c>
      <c r="AF131" s="112" t="s">
        <v>227</v>
      </c>
      <c r="AG131" s="112" t="s">
        <v>286</v>
      </c>
      <c r="AI131" s="112" t="s">
        <v>227</v>
      </c>
      <c r="AJ131" s="112">
        <v>45230</v>
      </c>
      <c r="AK131" s="112" t="s">
        <v>328</v>
      </c>
      <c r="AL131" s="112" t="s">
        <v>288</v>
      </c>
    </row>
    <row r="132" spans="1:38" s="112" customFormat="1" ht="11.25" customHeight="1" x14ac:dyDescent="0.2">
      <c r="A132" s="116">
        <v>24</v>
      </c>
      <c r="B132" s="112" t="s">
        <v>46</v>
      </c>
      <c r="E132" s="112" t="s">
        <v>91</v>
      </c>
      <c r="F132" s="112" t="s">
        <v>899</v>
      </c>
      <c r="G132" s="112" t="s">
        <v>900</v>
      </c>
      <c r="H132" s="112" t="s">
        <v>656</v>
      </c>
      <c r="I132" s="112" t="s">
        <v>880</v>
      </c>
      <c r="J132" s="114">
        <v>-1238.1400000000001</v>
      </c>
      <c r="K132" s="114">
        <v>-1238.1400000000001</v>
      </c>
      <c r="L132" s="114">
        <v>-1238.1400000000001</v>
      </c>
      <c r="M132" s="112" t="s">
        <v>278</v>
      </c>
      <c r="N132" s="112" t="s">
        <v>278</v>
      </c>
      <c r="O132" s="112" t="s">
        <v>901</v>
      </c>
      <c r="P132" s="112" t="s">
        <v>660</v>
      </c>
      <c r="Q132" s="112" t="s">
        <v>281</v>
      </c>
      <c r="R132" s="112" t="s">
        <v>282</v>
      </c>
      <c r="S132" s="112" t="s">
        <v>283</v>
      </c>
      <c r="T132" s="112" t="s">
        <v>313</v>
      </c>
      <c r="U132" s="112" t="s">
        <v>651</v>
      </c>
      <c r="V132" s="112">
        <v>101</v>
      </c>
      <c r="W132" s="112">
        <v>12016</v>
      </c>
      <c r="X132" s="112">
        <v>245011</v>
      </c>
      <c r="Y132" s="112">
        <v>9999</v>
      </c>
      <c r="Z132" s="112">
        <v>950</v>
      </c>
      <c r="AA132" s="112">
        <v>999</v>
      </c>
      <c r="AB132" s="112">
        <v>9999</v>
      </c>
      <c r="AC132" s="112">
        <v>9999</v>
      </c>
      <c r="AD132" s="112" t="s">
        <v>1</v>
      </c>
      <c r="AE132" s="112" t="s">
        <v>661</v>
      </c>
      <c r="AF132" s="112" t="s">
        <v>227</v>
      </c>
      <c r="AG132" s="112" t="s">
        <v>286</v>
      </c>
      <c r="AI132" s="112" t="s">
        <v>227</v>
      </c>
      <c r="AJ132" s="112">
        <v>45215</v>
      </c>
      <c r="AK132" s="112" t="s">
        <v>328</v>
      </c>
      <c r="AL132" s="112" t="s">
        <v>288</v>
      </c>
    </row>
    <row r="133" spans="1:38" x14ac:dyDescent="0.2">
      <c r="A133">
        <v>84</v>
      </c>
      <c r="B133" t="s">
        <v>48</v>
      </c>
      <c r="D133" t="s">
        <v>150</v>
      </c>
      <c r="E133" t="s">
        <v>77</v>
      </c>
      <c r="F133" t="s">
        <v>902</v>
      </c>
      <c r="G133" t="s">
        <v>903</v>
      </c>
      <c r="H133" t="s">
        <v>871</v>
      </c>
      <c r="I133" t="s">
        <v>845</v>
      </c>
      <c r="J133" s="91">
        <v>-30054.78</v>
      </c>
      <c r="K133" s="91">
        <v>-30054.78</v>
      </c>
      <c r="L133" s="91">
        <v>-30054.78</v>
      </c>
      <c r="M133" t="s">
        <v>278</v>
      </c>
      <c r="N133" t="s">
        <v>278</v>
      </c>
      <c r="O133" t="s">
        <v>904</v>
      </c>
      <c r="P133" t="s">
        <v>280</v>
      </c>
      <c r="Q133" t="s">
        <v>281</v>
      </c>
      <c r="R133" t="s">
        <v>282</v>
      </c>
      <c r="S133" t="s">
        <v>283</v>
      </c>
      <c r="T133" t="s">
        <v>313</v>
      </c>
      <c r="U133" t="s">
        <v>594</v>
      </c>
      <c r="V133">
        <v>101</v>
      </c>
      <c r="W133">
        <v>11001</v>
      </c>
      <c r="X133">
        <v>245011</v>
      </c>
      <c r="Y133">
        <v>9999</v>
      </c>
      <c r="Z133">
        <v>999</v>
      </c>
      <c r="AA133">
        <v>999</v>
      </c>
      <c r="AB133">
        <v>9999</v>
      </c>
      <c r="AC133">
        <v>9999</v>
      </c>
      <c r="AD133" t="s">
        <v>1</v>
      </c>
      <c r="AE133" t="s">
        <v>227</v>
      </c>
      <c r="AF133" t="s">
        <v>227</v>
      </c>
      <c r="AG133" t="s">
        <v>286</v>
      </c>
      <c r="AI133" t="s">
        <v>227</v>
      </c>
      <c r="AJ133">
        <v>45188</v>
      </c>
      <c r="AK133" t="s">
        <v>287</v>
      </c>
      <c r="AL133" t="s">
        <v>288</v>
      </c>
    </row>
    <row r="134" spans="1:38" x14ac:dyDescent="0.2">
      <c r="A134">
        <v>28</v>
      </c>
      <c r="B134" t="s">
        <v>46</v>
      </c>
      <c r="D134" t="s">
        <v>150</v>
      </c>
      <c r="E134" t="s">
        <v>77</v>
      </c>
      <c r="F134" t="s">
        <v>905</v>
      </c>
      <c r="G134" t="s">
        <v>906</v>
      </c>
      <c r="H134" t="s">
        <v>27</v>
      </c>
      <c r="I134" t="s">
        <v>907</v>
      </c>
      <c r="J134" s="91">
        <v>30054.78</v>
      </c>
      <c r="K134" s="91">
        <v>30054.78</v>
      </c>
      <c r="L134" s="91">
        <v>30054.78</v>
      </c>
      <c r="M134" t="s">
        <v>278</v>
      </c>
      <c r="N134" t="s">
        <v>278</v>
      </c>
      <c r="O134" t="s">
        <v>908</v>
      </c>
      <c r="P134" t="s">
        <v>280</v>
      </c>
      <c r="Q134" t="s">
        <v>281</v>
      </c>
      <c r="R134" t="s">
        <v>282</v>
      </c>
      <c r="S134" t="s">
        <v>283</v>
      </c>
      <c r="T134" t="s">
        <v>313</v>
      </c>
      <c r="U134" t="s">
        <v>594</v>
      </c>
      <c r="V134">
        <v>101</v>
      </c>
      <c r="W134">
        <v>11001</v>
      </c>
      <c r="X134">
        <v>245011</v>
      </c>
      <c r="Y134">
        <v>9999</v>
      </c>
      <c r="Z134">
        <v>999</v>
      </c>
      <c r="AA134">
        <v>999</v>
      </c>
      <c r="AB134">
        <v>9999</v>
      </c>
      <c r="AC134">
        <v>9999</v>
      </c>
      <c r="AD134" t="s">
        <v>1</v>
      </c>
      <c r="AE134" t="s">
        <v>227</v>
      </c>
      <c r="AF134" t="s">
        <v>227</v>
      </c>
      <c r="AG134" t="s">
        <v>286</v>
      </c>
      <c r="AI134" t="s">
        <v>227</v>
      </c>
      <c r="AJ134">
        <v>45244</v>
      </c>
      <c r="AK134" t="s">
        <v>287</v>
      </c>
      <c r="AL134" t="s">
        <v>288</v>
      </c>
    </row>
    <row r="135" spans="1:38" x14ac:dyDescent="0.2">
      <c r="A135">
        <v>42</v>
      </c>
      <c r="B135" t="s">
        <v>47</v>
      </c>
      <c r="D135" t="s">
        <v>151</v>
      </c>
      <c r="E135" t="s">
        <v>37</v>
      </c>
      <c r="F135" t="s">
        <v>909</v>
      </c>
      <c r="G135" t="s">
        <v>909</v>
      </c>
      <c r="H135" t="s">
        <v>17</v>
      </c>
      <c r="I135" t="s">
        <v>880</v>
      </c>
      <c r="J135" s="91">
        <v>187267.68</v>
      </c>
      <c r="K135" s="91">
        <v>187267.68</v>
      </c>
      <c r="L135" s="91">
        <v>187267.68</v>
      </c>
      <c r="M135" t="s">
        <v>278</v>
      </c>
      <c r="N135" t="s">
        <v>278</v>
      </c>
      <c r="O135" t="s">
        <v>910</v>
      </c>
      <c r="P135" t="s">
        <v>910</v>
      </c>
      <c r="Q135" t="s">
        <v>281</v>
      </c>
      <c r="R135" t="s">
        <v>282</v>
      </c>
      <c r="S135" t="s">
        <v>294</v>
      </c>
      <c r="T135" t="s">
        <v>305</v>
      </c>
      <c r="U135" t="s">
        <v>438</v>
      </c>
      <c r="V135">
        <v>101</v>
      </c>
      <c r="W135">
        <v>13001</v>
      </c>
      <c r="X135">
        <v>245011</v>
      </c>
      <c r="Y135">
        <v>9999</v>
      </c>
      <c r="Z135">
        <v>999</v>
      </c>
      <c r="AA135">
        <v>999</v>
      </c>
      <c r="AB135">
        <v>9999</v>
      </c>
      <c r="AC135">
        <v>9999</v>
      </c>
      <c r="AD135" t="s">
        <v>1</v>
      </c>
      <c r="AE135" t="s">
        <v>227</v>
      </c>
      <c r="AF135" t="s">
        <v>227</v>
      </c>
      <c r="AG135" t="s">
        <v>286</v>
      </c>
      <c r="AI135" t="s">
        <v>227</v>
      </c>
      <c r="AJ135">
        <v>45230</v>
      </c>
      <c r="AK135" t="s">
        <v>328</v>
      </c>
      <c r="AL135" t="s">
        <v>288</v>
      </c>
    </row>
    <row r="136" spans="1:38" x14ac:dyDescent="0.2">
      <c r="A136">
        <v>29</v>
      </c>
      <c r="B136" t="s">
        <v>46</v>
      </c>
      <c r="E136" t="s">
        <v>37</v>
      </c>
      <c r="F136" t="s">
        <v>911</v>
      </c>
      <c r="G136" t="s">
        <v>912</v>
      </c>
      <c r="H136" t="s">
        <v>17</v>
      </c>
      <c r="I136" t="s">
        <v>907</v>
      </c>
      <c r="J136" s="91">
        <v>-187267.68</v>
      </c>
      <c r="K136" s="91">
        <v>-187267.68</v>
      </c>
      <c r="L136" s="91">
        <v>-187267.68</v>
      </c>
      <c r="M136" t="s">
        <v>278</v>
      </c>
      <c r="N136" t="s">
        <v>278</v>
      </c>
      <c r="O136" t="s">
        <v>913</v>
      </c>
      <c r="P136" t="s">
        <v>910</v>
      </c>
      <c r="Q136" t="s">
        <v>281</v>
      </c>
      <c r="R136" t="s">
        <v>282</v>
      </c>
      <c r="S136" t="s">
        <v>294</v>
      </c>
      <c r="T136" t="s">
        <v>305</v>
      </c>
      <c r="U136" t="s">
        <v>438</v>
      </c>
      <c r="V136">
        <v>101</v>
      </c>
      <c r="W136">
        <v>13001</v>
      </c>
      <c r="X136">
        <v>245011</v>
      </c>
      <c r="Y136">
        <v>9999</v>
      </c>
      <c r="Z136">
        <v>999</v>
      </c>
      <c r="AA136">
        <v>999</v>
      </c>
      <c r="AB136">
        <v>9999</v>
      </c>
      <c r="AC136">
        <v>9999</v>
      </c>
      <c r="AD136" t="s">
        <v>1</v>
      </c>
      <c r="AE136" t="s">
        <v>227</v>
      </c>
      <c r="AF136" t="s">
        <v>227</v>
      </c>
      <c r="AG136" t="s">
        <v>286</v>
      </c>
      <c r="AI136" t="s">
        <v>227</v>
      </c>
      <c r="AJ136">
        <v>45243</v>
      </c>
      <c r="AK136" t="s">
        <v>328</v>
      </c>
      <c r="AL136" t="s">
        <v>288</v>
      </c>
    </row>
    <row r="137" spans="1:38" x14ac:dyDescent="0.2">
      <c r="A137">
        <v>165</v>
      </c>
      <c r="B137" t="s">
        <v>522</v>
      </c>
      <c r="D137" t="s">
        <v>151</v>
      </c>
      <c r="E137" t="s">
        <v>39</v>
      </c>
      <c r="F137" t="s">
        <v>914</v>
      </c>
      <c r="G137" t="s">
        <v>915</v>
      </c>
      <c r="H137" t="s">
        <v>16</v>
      </c>
      <c r="I137" t="s">
        <v>697</v>
      </c>
      <c r="J137" s="91">
        <v>24375</v>
      </c>
      <c r="K137" s="91">
        <v>24375</v>
      </c>
      <c r="L137" s="91">
        <v>24375</v>
      </c>
      <c r="M137" t="s">
        <v>278</v>
      </c>
      <c r="N137" t="s">
        <v>278</v>
      </c>
      <c r="O137" t="s">
        <v>916</v>
      </c>
      <c r="P137" t="s">
        <v>280</v>
      </c>
      <c r="Q137" t="s">
        <v>281</v>
      </c>
      <c r="R137" t="s">
        <v>282</v>
      </c>
      <c r="S137" t="s">
        <v>283</v>
      </c>
      <c r="T137" t="s">
        <v>366</v>
      </c>
      <c r="U137" t="s">
        <v>733</v>
      </c>
      <c r="V137">
        <v>101</v>
      </c>
      <c r="W137">
        <v>12013</v>
      </c>
      <c r="X137">
        <v>245011</v>
      </c>
      <c r="Y137">
        <v>9999</v>
      </c>
      <c r="Z137">
        <v>999</v>
      </c>
      <c r="AA137">
        <v>999</v>
      </c>
      <c r="AB137">
        <v>9999</v>
      </c>
      <c r="AC137">
        <v>9999</v>
      </c>
      <c r="AD137" t="s">
        <v>1</v>
      </c>
      <c r="AE137" t="s">
        <v>227</v>
      </c>
      <c r="AF137" t="s">
        <v>227</v>
      </c>
      <c r="AG137" t="s">
        <v>286</v>
      </c>
      <c r="AI137" t="s">
        <v>227</v>
      </c>
      <c r="AJ137">
        <v>45107</v>
      </c>
      <c r="AK137" t="s">
        <v>287</v>
      </c>
      <c r="AL137" t="s">
        <v>288</v>
      </c>
    </row>
    <row r="138" spans="1:38" x14ac:dyDescent="0.2">
      <c r="A138">
        <v>28</v>
      </c>
      <c r="B138" t="s">
        <v>46</v>
      </c>
      <c r="E138" t="s">
        <v>39</v>
      </c>
      <c r="F138" t="s">
        <v>917</v>
      </c>
      <c r="G138" t="s">
        <v>918</v>
      </c>
      <c r="H138" t="s">
        <v>16</v>
      </c>
      <c r="I138" t="s">
        <v>907</v>
      </c>
      <c r="J138" s="91">
        <v>-24375</v>
      </c>
      <c r="K138" s="91">
        <v>-24375</v>
      </c>
      <c r="L138" s="91">
        <v>-24375</v>
      </c>
      <c r="M138" t="s">
        <v>278</v>
      </c>
      <c r="N138" t="s">
        <v>278</v>
      </c>
      <c r="O138" t="s">
        <v>919</v>
      </c>
      <c r="P138" t="s">
        <v>280</v>
      </c>
      <c r="Q138" t="s">
        <v>281</v>
      </c>
      <c r="R138" t="s">
        <v>282</v>
      </c>
      <c r="S138" t="s">
        <v>283</v>
      </c>
      <c r="T138" t="s">
        <v>366</v>
      </c>
      <c r="U138" t="s">
        <v>733</v>
      </c>
      <c r="V138">
        <v>101</v>
      </c>
      <c r="W138">
        <v>12013</v>
      </c>
      <c r="X138">
        <v>245011</v>
      </c>
      <c r="Y138">
        <v>9999</v>
      </c>
      <c r="Z138">
        <v>999</v>
      </c>
      <c r="AA138">
        <v>999</v>
      </c>
      <c r="AB138">
        <v>9999</v>
      </c>
      <c r="AC138">
        <v>9999</v>
      </c>
      <c r="AD138" t="s">
        <v>1</v>
      </c>
      <c r="AE138" t="s">
        <v>227</v>
      </c>
      <c r="AF138" t="s">
        <v>227</v>
      </c>
      <c r="AG138" t="s">
        <v>286</v>
      </c>
      <c r="AI138" t="s">
        <v>227</v>
      </c>
      <c r="AJ138">
        <v>45244</v>
      </c>
      <c r="AK138" t="s">
        <v>287</v>
      </c>
      <c r="AL138" t="s">
        <v>288</v>
      </c>
    </row>
    <row r="139" spans="1:38" x14ac:dyDescent="0.2">
      <c r="A139">
        <v>47</v>
      </c>
      <c r="B139" t="s">
        <v>47</v>
      </c>
      <c r="D139" t="s">
        <v>177</v>
      </c>
      <c r="E139" t="s">
        <v>176</v>
      </c>
      <c r="F139" t="s">
        <v>920</v>
      </c>
      <c r="G139" t="s">
        <v>921</v>
      </c>
      <c r="H139" t="s">
        <v>27</v>
      </c>
      <c r="I139" t="s">
        <v>907</v>
      </c>
      <c r="J139" s="91">
        <v>-1107269</v>
      </c>
      <c r="K139" s="91">
        <v>-1107269</v>
      </c>
      <c r="L139" s="91">
        <v>-1107269</v>
      </c>
      <c r="M139" t="s">
        <v>278</v>
      </c>
      <c r="N139" t="s">
        <v>278</v>
      </c>
      <c r="O139" t="s">
        <v>922</v>
      </c>
      <c r="P139" t="s">
        <v>280</v>
      </c>
      <c r="Q139" t="s">
        <v>281</v>
      </c>
      <c r="R139" t="s">
        <v>282</v>
      </c>
      <c r="S139" t="s">
        <v>283</v>
      </c>
      <c r="T139" t="s">
        <v>313</v>
      </c>
      <c r="U139" t="s">
        <v>923</v>
      </c>
      <c r="V139">
        <v>101</v>
      </c>
      <c r="W139">
        <v>12017</v>
      </c>
      <c r="X139">
        <v>245011</v>
      </c>
      <c r="Y139">
        <v>9999</v>
      </c>
      <c r="Z139">
        <v>999</v>
      </c>
      <c r="AA139">
        <v>999</v>
      </c>
      <c r="AB139">
        <v>9999</v>
      </c>
      <c r="AC139">
        <v>9999</v>
      </c>
      <c r="AD139" t="s">
        <v>1</v>
      </c>
      <c r="AE139" t="s">
        <v>227</v>
      </c>
      <c r="AF139" t="s">
        <v>227</v>
      </c>
      <c r="AG139" t="s">
        <v>286</v>
      </c>
      <c r="AI139" t="s">
        <v>227</v>
      </c>
      <c r="AJ139">
        <v>45260</v>
      </c>
      <c r="AK139" t="s">
        <v>287</v>
      </c>
      <c r="AL139" t="s">
        <v>288</v>
      </c>
    </row>
    <row r="140" spans="1:38" x14ac:dyDescent="0.2">
      <c r="A140">
        <v>16</v>
      </c>
      <c r="B140" t="s">
        <v>46</v>
      </c>
      <c r="E140" t="s">
        <v>176</v>
      </c>
      <c r="F140" t="s">
        <v>924</v>
      </c>
      <c r="G140" t="s">
        <v>925</v>
      </c>
      <c r="H140" t="s">
        <v>27</v>
      </c>
      <c r="I140" t="s">
        <v>926</v>
      </c>
      <c r="J140" s="91">
        <v>1107269</v>
      </c>
      <c r="K140" s="91">
        <v>1107269</v>
      </c>
      <c r="L140" s="91">
        <v>1107269</v>
      </c>
      <c r="M140" t="s">
        <v>278</v>
      </c>
      <c r="N140" t="s">
        <v>278</v>
      </c>
      <c r="O140" t="s">
        <v>927</v>
      </c>
      <c r="P140" t="s">
        <v>280</v>
      </c>
      <c r="Q140" t="s">
        <v>281</v>
      </c>
      <c r="R140" t="s">
        <v>282</v>
      </c>
      <c r="S140" t="s">
        <v>283</v>
      </c>
      <c r="T140" t="s">
        <v>313</v>
      </c>
      <c r="U140" t="s">
        <v>923</v>
      </c>
      <c r="V140">
        <v>101</v>
      </c>
      <c r="W140">
        <v>12017</v>
      </c>
      <c r="X140">
        <v>245011</v>
      </c>
      <c r="Y140">
        <v>9999</v>
      </c>
      <c r="Z140">
        <v>999</v>
      </c>
      <c r="AA140">
        <v>999</v>
      </c>
      <c r="AB140">
        <v>9999</v>
      </c>
      <c r="AC140">
        <v>9999</v>
      </c>
      <c r="AD140" t="s">
        <v>1</v>
      </c>
      <c r="AE140" t="s">
        <v>227</v>
      </c>
      <c r="AF140" t="s">
        <v>227</v>
      </c>
      <c r="AG140" t="s">
        <v>286</v>
      </c>
      <c r="AI140" t="s">
        <v>227</v>
      </c>
      <c r="AJ140">
        <v>45291</v>
      </c>
      <c r="AK140" t="s">
        <v>287</v>
      </c>
      <c r="AL140" t="s">
        <v>288</v>
      </c>
    </row>
    <row r="141" spans="1:38" x14ac:dyDescent="0.2">
      <c r="A141">
        <v>777</v>
      </c>
      <c r="B141" t="s">
        <v>54</v>
      </c>
      <c r="D141" t="s">
        <v>155</v>
      </c>
      <c r="E141" t="s">
        <v>35</v>
      </c>
      <c r="F141" t="s">
        <v>928</v>
      </c>
      <c r="G141" t="s">
        <v>929</v>
      </c>
      <c r="H141" t="s">
        <v>12</v>
      </c>
      <c r="I141" t="s">
        <v>930</v>
      </c>
      <c r="J141" s="91">
        <v>1725</v>
      </c>
      <c r="K141" s="91">
        <v>1725</v>
      </c>
      <c r="L141" s="91">
        <v>1725</v>
      </c>
      <c r="M141" t="s">
        <v>278</v>
      </c>
      <c r="N141" t="s">
        <v>278</v>
      </c>
      <c r="O141" t="s">
        <v>931</v>
      </c>
      <c r="P141" t="s">
        <v>227</v>
      </c>
      <c r="Q141" t="s">
        <v>281</v>
      </c>
      <c r="R141" t="s">
        <v>282</v>
      </c>
      <c r="S141" t="s">
        <v>283</v>
      </c>
      <c r="T141" t="s">
        <v>366</v>
      </c>
      <c r="U141" t="s">
        <v>490</v>
      </c>
      <c r="V141">
        <v>101</v>
      </c>
      <c r="W141">
        <v>11010</v>
      </c>
      <c r="X141">
        <v>245011</v>
      </c>
      <c r="Y141">
        <v>9999</v>
      </c>
      <c r="Z141">
        <v>999</v>
      </c>
      <c r="AA141">
        <v>999</v>
      </c>
      <c r="AB141">
        <v>9999</v>
      </c>
      <c r="AC141">
        <v>9999</v>
      </c>
      <c r="AD141" t="s">
        <v>1</v>
      </c>
      <c r="AE141" t="s">
        <v>227</v>
      </c>
      <c r="AF141" t="s">
        <v>227</v>
      </c>
      <c r="AG141" t="s">
        <v>286</v>
      </c>
      <c r="AI141" t="s">
        <v>227</v>
      </c>
      <c r="AJ141">
        <v>44530</v>
      </c>
      <c r="AK141" t="s">
        <v>328</v>
      </c>
      <c r="AL141" t="s">
        <v>288</v>
      </c>
    </row>
    <row r="142" spans="1:38" x14ac:dyDescent="0.2">
      <c r="A142">
        <v>746</v>
      </c>
      <c r="B142" t="s">
        <v>54</v>
      </c>
      <c r="D142" t="s">
        <v>155</v>
      </c>
      <c r="E142" t="s">
        <v>35</v>
      </c>
      <c r="F142" t="s">
        <v>932</v>
      </c>
      <c r="G142" t="s">
        <v>933</v>
      </c>
      <c r="H142" t="s">
        <v>12</v>
      </c>
      <c r="I142" t="s">
        <v>934</v>
      </c>
      <c r="J142" s="91">
        <v>150205.96</v>
      </c>
      <c r="K142" s="91">
        <v>150205.96</v>
      </c>
      <c r="L142" s="91">
        <v>150205.96</v>
      </c>
      <c r="M142" t="s">
        <v>278</v>
      </c>
      <c r="N142" t="s">
        <v>278</v>
      </c>
      <c r="O142" t="s">
        <v>935</v>
      </c>
      <c r="P142" t="s">
        <v>227</v>
      </c>
      <c r="Q142" t="s">
        <v>281</v>
      </c>
      <c r="R142" t="s">
        <v>282</v>
      </c>
      <c r="S142" t="s">
        <v>283</v>
      </c>
      <c r="T142" t="s">
        <v>366</v>
      </c>
      <c r="U142" t="s">
        <v>490</v>
      </c>
      <c r="V142">
        <v>101</v>
      </c>
      <c r="W142">
        <v>11010</v>
      </c>
      <c r="X142">
        <v>245011</v>
      </c>
      <c r="Y142">
        <v>9999</v>
      </c>
      <c r="Z142">
        <v>999</v>
      </c>
      <c r="AA142">
        <v>999</v>
      </c>
      <c r="AB142">
        <v>9999</v>
      </c>
      <c r="AC142">
        <v>9999</v>
      </c>
      <c r="AD142" t="s">
        <v>1</v>
      </c>
      <c r="AE142" t="s">
        <v>227</v>
      </c>
      <c r="AF142" t="s">
        <v>227</v>
      </c>
      <c r="AG142" t="s">
        <v>286</v>
      </c>
      <c r="AI142" t="s">
        <v>227</v>
      </c>
      <c r="AJ142">
        <v>44561</v>
      </c>
      <c r="AK142" t="s">
        <v>328</v>
      </c>
      <c r="AL142" t="s">
        <v>288</v>
      </c>
    </row>
    <row r="143" spans="1:38" x14ac:dyDescent="0.2">
      <c r="A143">
        <v>626</v>
      </c>
      <c r="B143" t="s">
        <v>54</v>
      </c>
      <c r="D143" t="s">
        <v>155</v>
      </c>
      <c r="E143" t="s">
        <v>35</v>
      </c>
      <c r="F143" t="s">
        <v>936</v>
      </c>
      <c r="G143" t="s">
        <v>937</v>
      </c>
      <c r="H143" t="s">
        <v>12</v>
      </c>
      <c r="I143" t="s">
        <v>759</v>
      </c>
      <c r="J143" s="91">
        <v>-99778.21</v>
      </c>
      <c r="K143" s="91">
        <v>-99778.21</v>
      </c>
      <c r="L143" s="91">
        <v>-99778.21</v>
      </c>
      <c r="M143" t="s">
        <v>278</v>
      </c>
      <c r="N143" t="s">
        <v>278</v>
      </c>
      <c r="O143" t="s">
        <v>938</v>
      </c>
      <c r="P143" t="s">
        <v>280</v>
      </c>
      <c r="Q143" t="s">
        <v>281</v>
      </c>
      <c r="R143" t="s">
        <v>282</v>
      </c>
      <c r="S143" t="s">
        <v>283</v>
      </c>
      <c r="T143" t="s">
        <v>366</v>
      </c>
      <c r="U143" t="s">
        <v>490</v>
      </c>
      <c r="V143">
        <v>101</v>
      </c>
      <c r="W143">
        <v>11010</v>
      </c>
      <c r="X143">
        <v>245011</v>
      </c>
      <c r="Y143">
        <v>9999</v>
      </c>
      <c r="Z143">
        <v>999</v>
      </c>
      <c r="AA143">
        <v>999</v>
      </c>
      <c r="AB143">
        <v>9999</v>
      </c>
      <c r="AC143">
        <v>9999</v>
      </c>
      <c r="AD143" t="s">
        <v>1</v>
      </c>
      <c r="AE143" t="s">
        <v>227</v>
      </c>
      <c r="AF143" t="s">
        <v>227</v>
      </c>
      <c r="AG143" t="s">
        <v>286</v>
      </c>
      <c r="AI143" t="s">
        <v>227</v>
      </c>
      <c r="AJ143">
        <v>44681</v>
      </c>
      <c r="AK143" t="s">
        <v>287</v>
      </c>
      <c r="AL143" t="s">
        <v>288</v>
      </c>
    </row>
    <row r="144" spans="1:38" x14ac:dyDescent="0.2">
      <c r="A144">
        <v>16</v>
      </c>
      <c r="B144" t="s">
        <v>46</v>
      </c>
      <c r="E144" t="s">
        <v>35</v>
      </c>
      <c r="F144" t="s">
        <v>939</v>
      </c>
      <c r="G144" t="s">
        <v>939</v>
      </c>
      <c r="H144" t="s">
        <v>646</v>
      </c>
      <c r="I144" t="s">
        <v>926</v>
      </c>
      <c r="J144" s="91">
        <v>-52152.75</v>
      </c>
      <c r="K144" s="91">
        <v>-52152.75</v>
      </c>
      <c r="L144" s="91">
        <v>-52152.75</v>
      </c>
      <c r="M144" t="s">
        <v>278</v>
      </c>
      <c r="N144" t="s">
        <v>278</v>
      </c>
      <c r="O144" t="s">
        <v>940</v>
      </c>
      <c r="P144" t="s">
        <v>940</v>
      </c>
      <c r="Q144" t="s">
        <v>281</v>
      </c>
      <c r="R144" t="s">
        <v>282</v>
      </c>
      <c r="S144" t="s">
        <v>283</v>
      </c>
      <c r="T144" t="s">
        <v>366</v>
      </c>
      <c r="U144" t="s">
        <v>490</v>
      </c>
      <c r="V144">
        <v>101</v>
      </c>
      <c r="W144">
        <v>11010</v>
      </c>
      <c r="X144">
        <v>245011</v>
      </c>
      <c r="Y144">
        <v>9999</v>
      </c>
      <c r="Z144">
        <v>999</v>
      </c>
      <c r="AA144">
        <v>999</v>
      </c>
      <c r="AB144">
        <v>9999</v>
      </c>
      <c r="AC144">
        <v>9999</v>
      </c>
      <c r="AD144" t="s">
        <v>1</v>
      </c>
      <c r="AE144" t="s">
        <v>941</v>
      </c>
      <c r="AF144" t="s">
        <v>227</v>
      </c>
      <c r="AG144" t="s">
        <v>286</v>
      </c>
      <c r="AI144" t="s">
        <v>227</v>
      </c>
      <c r="AJ144">
        <v>45291</v>
      </c>
      <c r="AK144" t="s">
        <v>328</v>
      </c>
      <c r="AL144" t="s">
        <v>288</v>
      </c>
    </row>
    <row r="145" spans="1:38" s="112" customFormat="1" ht="11.25" customHeight="1" x14ac:dyDescent="0.2">
      <c r="A145" s="116">
        <v>138</v>
      </c>
      <c r="B145" s="112" t="s">
        <v>50</v>
      </c>
      <c r="D145" s="112" t="s">
        <v>942</v>
      </c>
      <c r="E145" s="112" t="s">
        <v>71</v>
      </c>
      <c r="F145" s="112" t="s">
        <v>943</v>
      </c>
      <c r="G145" s="112" t="s">
        <v>944</v>
      </c>
      <c r="H145" s="112" t="s">
        <v>945</v>
      </c>
      <c r="I145" s="112" t="s">
        <v>819</v>
      </c>
      <c r="J145" s="114">
        <v>485441.55</v>
      </c>
      <c r="K145" s="114">
        <v>485441.55</v>
      </c>
      <c r="L145" s="114">
        <v>485441.55</v>
      </c>
      <c r="M145" s="112" t="s">
        <v>278</v>
      </c>
      <c r="N145" s="112" t="s">
        <v>278</v>
      </c>
      <c r="O145" s="112" t="s">
        <v>946</v>
      </c>
      <c r="P145" s="112" t="s">
        <v>280</v>
      </c>
      <c r="Q145" s="112" t="s">
        <v>281</v>
      </c>
      <c r="R145" s="112" t="s">
        <v>282</v>
      </c>
      <c r="S145" s="112" t="s">
        <v>283</v>
      </c>
      <c r="T145" s="112" t="s">
        <v>313</v>
      </c>
      <c r="U145" s="112" t="s">
        <v>443</v>
      </c>
      <c r="V145" s="112">
        <v>101</v>
      </c>
      <c r="W145" s="112">
        <v>11023</v>
      </c>
      <c r="X145" s="112">
        <v>245011</v>
      </c>
      <c r="Y145" s="112">
        <v>9999</v>
      </c>
      <c r="Z145" s="112">
        <v>999</v>
      </c>
      <c r="AA145" s="112">
        <v>999</v>
      </c>
      <c r="AB145" s="112">
        <v>9999</v>
      </c>
      <c r="AC145" s="112">
        <v>9999</v>
      </c>
      <c r="AD145" s="112" t="s">
        <v>1</v>
      </c>
      <c r="AE145" s="112" t="s">
        <v>227</v>
      </c>
      <c r="AF145" s="112" t="s">
        <v>227</v>
      </c>
      <c r="AG145" s="112" t="s">
        <v>286</v>
      </c>
      <c r="AI145" s="112" t="s">
        <v>227</v>
      </c>
      <c r="AJ145" s="112">
        <v>45169</v>
      </c>
      <c r="AK145" s="112" t="s">
        <v>287</v>
      </c>
      <c r="AL145" s="112" t="s">
        <v>288</v>
      </c>
    </row>
    <row r="146" spans="1:38" s="112" customFormat="1" ht="11.25" customHeight="1" x14ac:dyDescent="0.2">
      <c r="A146" s="116">
        <v>138</v>
      </c>
      <c r="B146" s="112" t="s">
        <v>50</v>
      </c>
      <c r="D146" s="112" t="s">
        <v>942</v>
      </c>
      <c r="E146" s="112" t="s">
        <v>71</v>
      </c>
      <c r="F146" s="112" t="s">
        <v>947</v>
      </c>
      <c r="G146" s="112" t="s">
        <v>948</v>
      </c>
      <c r="H146" s="112" t="s">
        <v>945</v>
      </c>
      <c r="I146" s="112" t="s">
        <v>819</v>
      </c>
      <c r="J146" s="114">
        <v>486214.75</v>
      </c>
      <c r="K146" s="114">
        <v>486214.75</v>
      </c>
      <c r="L146" s="114">
        <v>486214.75</v>
      </c>
      <c r="M146" s="112" t="s">
        <v>278</v>
      </c>
      <c r="N146" s="112" t="s">
        <v>278</v>
      </c>
      <c r="O146" s="112" t="s">
        <v>949</v>
      </c>
      <c r="P146" s="112" t="s">
        <v>280</v>
      </c>
      <c r="Q146" s="112" t="s">
        <v>281</v>
      </c>
      <c r="R146" s="112" t="s">
        <v>282</v>
      </c>
      <c r="S146" s="112" t="s">
        <v>283</v>
      </c>
      <c r="T146" s="112" t="s">
        <v>313</v>
      </c>
      <c r="U146" s="112" t="s">
        <v>443</v>
      </c>
      <c r="V146" s="112">
        <v>101</v>
      </c>
      <c r="W146" s="112">
        <v>11023</v>
      </c>
      <c r="X146" s="112">
        <v>245011</v>
      </c>
      <c r="Y146" s="112">
        <v>9999</v>
      </c>
      <c r="Z146" s="112">
        <v>999</v>
      </c>
      <c r="AA146" s="112">
        <v>999</v>
      </c>
      <c r="AB146" s="112">
        <v>9999</v>
      </c>
      <c r="AC146" s="112">
        <v>9999</v>
      </c>
      <c r="AD146" s="112" t="s">
        <v>1</v>
      </c>
      <c r="AE146" s="112" t="s">
        <v>227</v>
      </c>
      <c r="AF146" s="112" t="s">
        <v>227</v>
      </c>
      <c r="AG146" s="112" t="s">
        <v>286</v>
      </c>
      <c r="AI146" s="112" t="s">
        <v>227</v>
      </c>
      <c r="AJ146" s="112">
        <v>45169</v>
      </c>
      <c r="AK146" s="112" t="s">
        <v>287</v>
      </c>
      <c r="AL146" s="112" t="s">
        <v>288</v>
      </c>
    </row>
    <row r="147" spans="1:38" s="112" customFormat="1" ht="11.25" customHeight="1" x14ac:dyDescent="0.2">
      <c r="A147" s="116">
        <v>16</v>
      </c>
      <c r="B147" s="112" t="s">
        <v>46</v>
      </c>
      <c r="D147" s="112" t="s">
        <v>950</v>
      </c>
      <c r="E147" s="112" t="s">
        <v>38</v>
      </c>
      <c r="F147" s="112" t="s">
        <v>951</v>
      </c>
      <c r="G147" s="112" t="s">
        <v>952</v>
      </c>
      <c r="H147" s="112" t="s">
        <v>945</v>
      </c>
      <c r="I147" s="112" t="s">
        <v>926</v>
      </c>
      <c r="J147" s="114">
        <v>-486214.75</v>
      </c>
      <c r="K147" s="114">
        <v>-486214.75</v>
      </c>
      <c r="L147" s="114">
        <v>-486214.75</v>
      </c>
      <c r="M147" s="112" t="s">
        <v>278</v>
      </c>
      <c r="N147" s="112" t="s">
        <v>278</v>
      </c>
      <c r="O147" s="112" t="s">
        <v>953</v>
      </c>
      <c r="P147" s="112" t="s">
        <v>280</v>
      </c>
      <c r="Q147" s="112" t="s">
        <v>281</v>
      </c>
      <c r="R147" s="112" t="s">
        <v>282</v>
      </c>
      <c r="S147" s="112" t="s">
        <v>283</v>
      </c>
      <c r="T147" s="112" t="s">
        <v>313</v>
      </c>
      <c r="U147" s="112" t="s">
        <v>443</v>
      </c>
      <c r="V147" s="112">
        <v>101</v>
      </c>
      <c r="W147" s="112">
        <v>11023</v>
      </c>
      <c r="X147" s="112">
        <v>245011</v>
      </c>
      <c r="Y147" s="112">
        <v>9999</v>
      </c>
      <c r="Z147" s="112">
        <v>999</v>
      </c>
      <c r="AA147" s="112">
        <v>999</v>
      </c>
      <c r="AB147" s="112">
        <v>9999</v>
      </c>
      <c r="AC147" s="112">
        <v>9999</v>
      </c>
      <c r="AD147" s="112" t="s">
        <v>1</v>
      </c>
      <c r="AE147" s="112" t="s">
        <v>227</v>
      </c>
      <c r="AF147" s="112" t="s">
        <v>227</v>
      </c>
      <c r="AG147" s="112" t="s">
        <v>286</v>
      </c>
      <c r="AI147" s="112" t="s">
        <v>227</v>
      </c>
      <c r="AJ147" s="112">
        <v>45291</v>
      </c>
      <c r="AK147" s="112" t="s">
        <v>287</v>
      </c>
      <c r="AL147" s="112" t="s">
        <v>288</v>
      </c>
    </row>
    <row r="148" spans="1:38" s="112" customFormat="1" ht="11.25" customHeight="1" x14ac:dyDescent="0.2">
      <c r="A148" s="116">
        <v>16</v>
      </c>
      <c r="B148" s="112" t="s">
        <v>46</v>
      </c>
      <c r="D148" s="112" t="s">
        <v>950</v>
      </c>
      <c r="E148" s="112" t="s">
        <v>38</v>
      </c>
      <c r="F148" s="112" t="s">
        <v>954</v>
      </c>
      <c r="G148" s="112" t="s">
        <v>955</v>
      </c>
      <c r="H148" s="112" t="s">
        <v>945</v>
      </c>
      <c r="I148" s="112" t="s">
        <v>926</v>
      </c>
      <c r="J148" s="114">
        <v>-485441.55</v>
      </c>
      <c r="K148" s="114">
        <v>-485441.55</v>
      </c>
      <c r="L148" s="114">
        <v>-485441.55</v>
      </c>
      <c r="M148" s="112" t="s">
        <v>278</v>
      </c>
      <c r="N148" s="112" t="s">
        <v>278</v>
      </c>
      <c r="O148" s="112" t="s">
        <v>956</v>
      </c>
      <c r="P148" s="112" t="s">
        <v>280</v>
      </c>
      <c r="Q148" s="112" t="s">
        <v>281</v>
      </c>
      <c r="R148" s="112" t="s">
        <v>282</v>
      </c>
      <c r="S148" s="112" t="s">
        <v>283</v>
      </c>
      <c r="T148" s="112" t="s">
        <v>313</v>
      </c>
      <c r="U148" s="112" t="s">
        <v>443</v>
      </c>
      <c r="V148" s="112">
        <v>101</v>
      </c>
      <c r="W148" s="112">
        <v>11023</v>
      </c>
      <c r="X148" s="112">
        <v>245011</v>
      </c>
      <c r="Y148" s="112">
        <v>9999</v>
      </c>
      <c r="Z148" s="112">
        <v>999</v>
      </c>
      <c r="AA148" s="112">
        <v>999</v>
      </c>
      <c r="AB148" s="112">
        <v>9999</v>
      </c>
      <c r="AC148" s="112">
        <v>9999</v>
      </c>
      <c r="AD148" s="112" t="s">
        <v>1</v>
      </c>
      <c r="AE148" s="112" t="s">
        <v>227</v>
      </c>
      <c r="AF148" s="112" t="s">
        <v>227</v>
      </c>
      <c r="AG148" s="112" t="s">
        <v>286</v>
      </c>
      <c r="AI148" s="112" t="s">
        <v>227</v>
      </c>
      <c r="AJ148" s="112">
        <v>45291</v>
      </c>
      <c r="AK148" s="112" t="s">
        <v>287</v>
      </c>
      <c r="AL148" s="112" t="s">
        <v>288</v>
      </c>
    </row>
    <row r="149" spans="1:38" x14ac:dyDescent="0.2">
      <c r="A149">
        <v>106</v>
      </c>
      <c r="B149" t="s">
        <v>49</v>
      </c>
      <c r="D149" t="s">
        <v>164</v>
      </c>
      <c r="E149" t="s">
        <v>8</v>
      </c>
      <c r="F149" t="s">
        <v>957</v>
      </c>
      <c r="G149" t="s">
        <v>958</v>
      </c>
      <c r="H149" t="s">
        <v>17</v>
      </c>
      <c r="I149" t="s">
        <v>880</v>
      </c>
      <c r="J149" s="91">
        <v>2676856.7000000002</v>
      </c>
      <c r="K149" s="91">
        <v>2676856.7000000002</v>
      </c>
      <c r="L149" s="91">
        <v>2676856.7000000002</v>
      </c>
      <c r="M149" t="s">
        <v>278</v>
      </c>
      <c r="N149" t="s">
        <v>278</v>
      </c>
      <c r="O149" t="s">
        <v>959</v>
      </c>
      <c r="P149" t="s">
        <v>280</v>
      </c>
      <c r="Q149" t="s">
        <v>281</v>
      </c>
      <c r="R149" t="s">
        <v>282</v>
      </c>
      <c r="S149" t="s">
        <v>294</v>
      </c>
      <c r="T149" t="s">
        <v>295</v>
      </c>
      <c r="U149" t="s">
        <v>296</v>
      </c>
      <c r="V149">
        <v>101</v>
      </c>
      <c r="W149">
        <v>13008</v>
      </c>
      <c r="X149">
        <v>245011</v>
      </c>
      <c r="Y149">
        <v>9999</v>
      </c>
      <c r="Z149">
        <v>999</v>
      </c>
      <c r="AA149">
        <v>999</v>
      </c>
      <c r="AB149">
        <v>9999</v>
      </c>
      <c r="AC149">
        <v>9999</v>
      </c>
      <c r="AD149" t="s">
        <v>1</v>
      </c>
      <c r="AE149" t="s">
        <v>227</v>
      </c>
      <c r="AF149" t="s">
        <v>227</v>
      </c>
      <c r="AG149" t="s">
        <v>286</v>
      </c>
      <c r="AI149" t="s">
        <v>227</v>
      </c>
      <c r="AJ149">
        <v>45230</v>
      </c>
      <c r="AK149" t="s">
        <v>287</v>
      </c>
      <c r="AL149" t="s">
        <v>288</v>
      </c>
    </row>
    <row r="150" spans="1:38" x14ac:dyDescent="0.2">
      <c r="A150">
        <v>76</v>
      </c>
      <c r="B150" t="s">
        <v>48</v>
      </c>
      <c r="D150" t="s">
        <v>164</v>
      </c>
      <c r="E150" t="s">
        <v>8</v>
      </c>
      <c r="F150" t="s">
        <v>960</v>
      </c>
      <c r="G150" t="s">
        <v>961</v>
      </c>
      <c r="H150" t="s">
        <v>17</v>
      </c>
      <c r="I150" t="s">
        <v>907</v>
      </c>
      <c r="J150" s="91">
        <v>-295090.40000000002</v>
      </c>
      <c r="K150" s="91">
        <v>-295090.40000000002</v>
      </c>
      <c r="L150" s="91">
        <v>-295090.40000000002</v>
      </c>
      <c r="M150" t="s">
        <v>278</v>
      </c>
      <c r="N150" t="s">
        <v>278</v>
      </c>
      <c r="O150" t="s">
        <v>962</v>
      </c>
      <c r="P150" t="s">
        <v>280</v>
      </c>
      <c r="Q150" t="s">
        <v>281</v>
      </c>
      <c r="R150" t="s">
        <v>282</v>
      </c>
      <c r="S150" t="s">
        <v>294</v>
      </c>
      <c r="T150" t="s">
        <v>295</v>
      </c>
      <c r="U150" t="s">
        <v>296</v>
      </c>
      <c r="V150">
        <v>101</v>
      </c>
      <c r="W150">
        <v>13008</v>
      </c>
      <c r="X150">
        <v>245011</v>
      </c>
      <c r="Y150">
        <v>9999</v>
      </c>
      <c r="Z150">
        <v>999</v>
      </c>
      <c r="AA150">
        <v>999</v>
      </c>
      <c r="AB150">
        <v>9999</v>
      </c>
      <c r="AC150">
        <v>9999</v>
      </c>
      <c r="AD150" t="s">
        <v>1</v>
      </c>
      <c r="AE150" t="s">
        <v>227</v>
      </c>
      <c r="AF150" t="s">
        <v>227</v>
      </c>
      <c r="AG150" t="s">
        <v>286</v>
      </c>
      <c r="AI150" t="s">
        <v>227</v>
      </c>
      <c r="AJ150">
        <v>45260</v>
      </c>
      <c r="AK150" t="s">
        <v>287</v>
      </c>
      <c r="AL150" t="s">
        <v>288</v>
      </c>
    </row>
    <row r="151" spans="1:38" x14ac:dyDescent="0.2">
      <c r="A151">
        <v>76</v>
      </c>
      <c r="B151" t="s">
        <v>48</v>
      </c>
      <c r="D151" t="s">
        <v>164</v>
      </c>
      <c r="E151" t="s">
        <v>8</v>
      </c>
      <c r="F151" t="s">
        <v>963</v>
      </c>
      <c r="G151" t="s">
        <v>964</v>
      </c>
      <c r="H151" t="s">
        <v>17</v>
      </c>
      <c r="I151" t="s">
        <v>907</v>
      </c>
      <c r="J151" s="91">
        <v>359680</v>
      </c>
      <c r="K151" s="91">
        <v>359680</v>
      </c>
      <c r="L151" s="91">
        <v>359680</v>
      </c>
      <c r="M151" t="s">
        <v>278</v>
      </c>
      <c r="N151" t="s">
        <v>278</v>
      </c>
      <c r="O151" t="s">
        <v>959</v>
      </c>
      <c r="P151" t="s">
        <v>280</v>
      </c>
      <c r="Q151" t="s">
        <v>281</v>
      </c>
      <c r="R151" t="s">
        <v>282</v>
      </c>
      <c r="S151" t="s">
        <v>294</v>
      </c>
      <c r="T151" t="s">
        <v>295</v>
      </c>
      <c r="U151" t="s">
        <v>296</v>
      </c>
      <c r="V151">
        <v>101</v>
      </c>
      <c r="W151">
        <v>13008</v>
      </c>
      <c r="X151">
        <v>245011</v>
      </c>
      <c r="Y151">
        <v>9999</v>
      </c>
      <c r="Z151">
        <v>999</v>
      </c>
      <c r="AA151">
        <v>999</v>
      </c>
      <c r="AB151">
        <v>9999</v>
      </c>
      <c r="AC151">
        <v>9999</v>
      </c>
      <c r="AD151" t="s">
        <v>1</v>
      </c>
      <c r="AE151" t="s">
        <v>227</v>
      </c>
      <c r="AF151" t="s">
        <v>227</v>
      </c>
      <c r="AG151" t="s">
        <v>286</v>
      </c>
      <c r="AI151" t="s">
        <v>227</v>
      </c>
      <c r="AJ151">
        <v>45260</v>
      </c>
      <c r="AK151" t="s">
        <v>287</v>
      </c>
      <c r="AL151" t="s">
        <v>288</v>
      </c>
    </row>
    <row r="152" spans="1:38" x14ac:dyDescent="0.2">
      <c r="A152">
        <v>45</v>
      </c>
      <c r="B152" t="s">
        <v>47</v>
      </c>
      <c r="D152" t="s">
        <v>164</v>
      </c>
      <c r="E152" t="s">
        <v>8</v>
      </c>
      <c r="F152" t="s">
        <v>965</v>
      </c>
      <c r="G152" t="s">
        <v>966</v>
      </c>
      <c r="H152" t="s">
        <v>17</v>
      </c>
      <c r="I152" t="s">
        <v>926</v>
      </c>
      <c r="J152" s="91">
        <v>-1404651</v>
      </c>
      <c r="K152" s="91">
        <v>-1404651</v>
      </c>
      <c r="L152" s="91">
        <v>-1404651</v>
      </c>
      <c r="M152" t="s">
        <v>278</v>
      </c>
      <c r="N152" t="s">
        <v>278</v>
      </c>
      <c r="O152" t="s">
        <v>967</v>
      </c>
      <c r="P152" t="s">
        <v>280</v>
      </c>
      <c r="Q152" t="s">
        <v>281</v>
      </c>
      <c r="R152" t="s">
        <v>282</v>
      </c>
      <c r="S152" t="s">
        <v>294</v>
      </c>
      <c r="T152" t="s">
        <v>295</v>
      </c>
      <c r="U152" t="s">
        <v>296</v>
      </c>
      <c r="V152">
        <v>101</v>
      </c>
      <c r="W152">
        <v>13008</v>
      </c>
      <c r="X152">
        <v>245011</v>
      </c>
      <c r="Y152">
        <v>9999</v>
      </c>
      <c r="Z152">
        <v>999</v>
      </c>
      <c r="AA152">
        <v>999</v>
      </c>
      <c r="AB152">
        <v>9999</v>
      </c>
      <c r="AC152">
        <v>9999</v>
      </c>
      <c r="AD152" t="s">
        <v>1</v>
      </c>
      <c r="AE152" t="s">
        <v>227</v>
      </c>
      <c r="AF152" t="s">
        <v>227</v>
      </c>
      <c r="AG152" t="s">
        <v>286</v>
      </c>
      <c r="AI152" t="s">
        <v>227</v>
      </c>
      <c r="AJ152">
        <v>45291</v>
      </c>
      <c r="AK152" t="s">
        <v>287</v>
      </c>
      <c r="AL152" t="s">
        <v>288</v>
      </c>
    </row>
    <row r="153" spans="1:38" x14ac:dyDescent="0.2">
      <c r="A153">
        <v>16</v>
      </c>
      <c r="B153" t="s">
        <v>46</v>
      </c>
      <c r="E153" t="s">
        <v>8</v>
      </c>
      <c r="F153" t="s">
        <v>968</v>
      </c>
      <c r="G153" t="s">
        <v>969</v>
      </c>
      <c r="H153" t="s">
        <v>17</v>
      </c>
      <c r="I153" t="s">
        <v>970</v>
      </c>
      <c r="J153" s="91">
        <v>295090.40000000002</v>
      </c>
      <c r="K153" s="91">
        <v>295090.40000000002</v>
      </c>
      <c r="L153" s="91">
        <v>295090.40000000002</v>
      </c>
      <c r="M153" t="s">
        <v>278</v>
      </c>
      <c r="N153" t="s">
        <v>278</v>
      </c>
      <c r="O153" t="s">
        <v>971</v>
      </c>
      <c r="P153" t="s">
        <v>280</v>
      </c>
      <c r="Q153" t="s">
        <v>281</v>
      </c>
      <c r="R153" t="s">
        <v>282</v>
      </c>
      <c r="S153" t="s">
        <v>294</v>
      </c>
      <c r="T153" t="s">
        <v>295</v>
      </c>
      <c r="U153" t="s">
        <v>296</v>
      </c>
      <c r="V153">
        <v>101</v>
      </c>
      <c r="W153">
        <v>13008</v>
      </c>
      <c r="X153">
        <v>245011</v>
      </c>
      <c r="Y153">
        <v>9999</v>
      </c>
      <c r="Z153">
        <v>999</v>
      </c>
      <c r="AA153">
        <v>999</v>
      </c>
      <c r="AB153">
        <v>9999</v>
      </c>
      <c r="AC153">
        <v>9999</v>
      </c>
      <c r="AD153" t="s">
        <v>1</v>
      </c>
      <c r="AE153" t="s">
        <v>227</v>
      </c>
      <c r="AF153" t="s">
        <v>227</v>
      </c>
      <c r="AG153" t="s">
        <v>286</v>
      </c>
      <c r="AI153" t="s">
        <v>227</v>
      </c>
      <c r="AJ153">
        <v>45320</v>
      </c>
      <c r="AK153" t="s">
        <v>287</v>
      </c>
      <c r="AL153" t="s">
        <v>288</v>
      </c>
    </row>
    <row r="154" spans="1:38" x14ac:dyDescent="0.2">
      <c r="A154">
        <v>16</v>
      </c>
      <c r="B154" t="s">
        <v>46</v>
      </c>
      <c r="E154" t="s">
        <v>8</v>
      </c>
      <c r="F154" t="s">
        <v>972</v>
      </c>
      <c r="G154" t="s">
        <v>973</v>
      </c>
      <c r="H154" t="s">
        <v>17</v>
      </c>
      <c r="I154" t="s">
        <v>970</v>
      </c>
      <c r="J154" s="91">
        <v>1404651</v>
      </c>
      <c r="K154" s="91">
        <v>1404651</v>
      </c>
      <c r="L154" s="91">
        <v>1404651</v>
      </c>
      <c r="M154" t="s">
        <v>278</v>
      </c>
      <c r="N154" t="s">
        <v>278</v>
      </c>
      <c r="O154" t="s">
        <v>974</v>
      </c>
      <c r="P154" t="s">
        <v>280</v>
      </c>
      <c r="Q154" t="s">
        <v>281</v>
      </c>
      <c r="R154" t="s">
        <v>282</v>
      </c>
      <c r="S154" t="s">
        <v>294</v>
      </c>
      <c r="T154" t="s">
        <v>295</v>
      </c>
      <c r="U154" t="s">
        <v>296</v>
      </c>
      <c r="V154">
        <v>101</v>
      </c>
      <c r="W154">
        <v>13008</v>
      </c>
      <c r="X154">
        <v>245011</v>
      </c>
      <c r="Y154">
        <v>9999</v>
      </c>
      <c r="Z154">
        <v>999</v>
      </c>
      <c r="AA154">
        <v>999</v>
      </c>
      <c r="AB154">
        <v>9999</v>
      </c>
      <c r="AC154">
        <v>9999</v>
      </c>
      <c r="AD154" t="s">
        <v>1</v>
      </c>
      <c r="AE154" t="s">
        <v>227</v>
      </c>
      <c r="AF154" t="s">
        <v>227</v>
      </c>
      <c r="AG154" t="s">
        <v>286</v>
      </c>
      <c r="AI154" t="s">
        <v>227</v>
      </c>
      <c r="AJ154">
        <v>45320</v>
      </c>
      <c r="AK154" t="s">
        <v>287</v>
      </c>
      <c r="AL154" t="s">
        <v>288</v>
      </c>
    </row>
    <row r="155" spans="1:38" x14ac:dyDescent="0.2">
      <c r="A155">
        <v>16</v>
      </c>
      <c r="B155" t="s">
        <v>46</v>
      </c>
      <c r="E155" t="s">
        <v>8</v>
      </c>
      <c r="F155" t="s">
        <v>975</v>
      </c>
      <c r="G155" t="s">
        <v>976</v>
      </c>
      <c r="H155" t="s">
        <v>17</v>
      </c>
      <c r="I155" t="s">
        <v>970</v>
      </c>
      <c r="J155" s="91">
        <v>-2676856.7000000002</v>
      </c>
      <c r="K155" s="91">
        <v>-2676856.7000000002</v>
      </c>
      <c r="L155" s="91">
        <v>-2676856.7000000002</v>
      </c>
      <c r="M155" t="s">
        <v>278</v>
      </c>
      <c r="N155" t="s">
        <v>278</v>
      </c>
      <c r="O155" t="s">
        <v>977</v>
      </c>
      <c r="P155" t="s">
        <v>280</v>
      </c>
      <c r="Q155" t="s">
        <v>281</v>
      </c>
      <c r="R155" t="s">
        <v>282</v>
      </c>
      <c r="S155" t="s">
        <v>294</v>
      </c>
      <c r="T155" t="s">
        <v>295</v>
      </c>
      <c r="U155" t="s">
        <v>296</v>
      </c>
      <c r="V155">
        <v>101</v>
      </c>
      <c r="W155">
        <v>13008</v>
      </c>
      <c r="X155">
        <v>245011</v>
      </c>
      <c r="Y155">
        <v>9999</v>
      </c>
      <c r="Z155">
        <v>999</v>
      </c>
      <c r="AA155">
        <v>999</v>
      </c>
      <c r="AB155">
        <v>9999</v>
      </c>
      <c r="AC155">
        <v>9999</v>
      </c>
      <c r="AD155" t="s">
        <v>1</v>
      </c>
      <c r="AE155" t="s">
        <v>227</v>
      </c>
      <c r="AF155" t="s">
        <v>227</v>
      </c>
      <c r="AG155" t="s">
        <v>286</v>
      </c>
      <c r="AI155" t="s">
        <v>227</v>
      </c>
      <c r="AJ155">
        <v>45320</v>
      </c>
      <c r="AK155" t="s">
        <v>287</v>
      </c>
      <c r="AL155" t="s">
        <v>288</v>
      </c>
    </row>
    <row r="156" spans="1:38" x14ac:dyDescent="0.2">
      <c r="A156">
        <v>16</v>
      </c>
      <c r="B156" t="s">
        <v>46</v>
      </c>
      <c r="E156" t="s">
        <v>8</v>
      </c>
      <c r="F156" t="s">
        <v>978</v>
      </c>
      <c r="G156" t="s">
        <v>979</v>
      </c>
      <c r="H156" t="s">
        <v>17</v>
      </c>
      <c r="I156" t="s">
        <v>970</v>
      </c>
      <c r="J156" s="91">
        <v>-359680</v>
      </c>
      <c r="K156" s="91">
        <v>-359680</v>
      </c>
      <c r="L156" s="91">
        <v>-359680</v>
      </c>
      <c r="M156" t="s">
        <v>278</v>
      </c>
      <c r="N156" t="s">
        <v>278</v>
      </c>
      <c r="O156" t="s">
        <v>980</v>
      </c>
      <c r="P156" t="s">
        <v>280</v>
      </c>
      <c r="Q156" t="s">
        <v>281</v>
      </c>
      <c r="R156" t="s">
        <v>282</v>
      </c>
      <c r="S156" t="s">
        <v>294</v>
      </c>
      <c r="T156" t="s">
        <v>295</v>
      </c>
      <c r="U156" t="s">
        <v>296</v>
      </c>
      <c r="V156">
        <v>101</v>
      </c>
      <c r="W156">
        <v>13008</v>
      </c>
      <c r="X156">
        <v>245011</v>
      </c>
      <c r="Y156">
        <v>9999</v>
      </c>
      <c r="Z156">
        <v>999</v>
      </c>
      <c r="AA156">
        <v>999</v>
      </c>
      <c r="AB156">
        <v>9999</v>
      </c>
      <c r="AC156">
        <v>9999</v>
      </c>
      <c r="AD156" t="s">
        <v>1</v>
      </c>
      <c r="AE156" t="s">
        <v>227</v>
      </c>
      <c r="AF156" t="s">
        <v>227</v>
      </c>
      <c r="AG156" t="s">
        <v>286</v>
      </c>
      <c r="AI156" t="s">
        <v>227</v>
      </c>
      <c r="AJ156">
        <v>45320</v>
      </c>
      <c r="AK156" t="s">
        <v>287</v>
      </c>
      <c r="AL156" t="s">
        <v>288</v>
      </c>
    </row>
    <row r="157" spans="1:38" x14ac:dyDescent="0.2">
      <c r="A157">
        <v>142</v>
      </c>
      <c r="B157" t="s">
        <v>50</v>
      </c>
      <c r="D157" t="s">
        <v>166</v>
      </c>
      <c r="E157" t="s">
        <v>149</v>
      </c>
      <c r="F157" t="s">
        <v>981</v>
      </c>
      <c r="G157" t="s">
        <v>982</v>
      </c>
      <c r="H157" t="s">
        <v>871</v>
      </c>
      <c r="I157" t="s">
        <v>845</v>
      </c>
      <c r="J157" s="91">
        <v>-81871.89</v>
      </c>
      <c r="K157" s="91">
        <v>-81871.89</v>
      </c>
      <c r="L157" s="91">
        <v>-81871.89</v>
      </c>
      <c r="M157" t="s">
        <v>278</v>
      </c>
      <c r="N157" t="s">
        <v>278</v>
      </c>
      <c r="O157" t="s">
        <v>983</v>
      </c>
      <c r="P157" t="s">
        <v>280</v>
      </c>
      <c r="Q157" t="s">
        <v>281</v>
      </c>
      <c r="R157" t="s">
        <v>282</v>
      </c>
      <c r="S157" t="s">
        <v>294</v>
      </c>
      <c r="T157" t="s">
        <v>295</v>
      </c>
      <c r="U157" t="s">
        <v>778</v>
      </c>
      <c r="V157">
        <v>101</v>
      </c>
      <c r="W157">
        <v>13017</v>
      </c>
      <c r="X157">
        <v>245011</v>
      </c>
      <c r="Y157">
        <v>9999</v>
      </c>
      <c r="Z157">
        <v>999</v>
      </c>
      <c r="AA157">
        <v>999</v>
      </c>
      <c r="AB157">
        <v>9999</v>
      </c>
      <c r="AC157">
        <v>9999</v>
      </c>
      <c r="AD157" t="s">
        <v>1</v>
      </c>
      <c r="AE157" t="s">
        <v>227</v>
      </c>
      <c r="AF157" t="s">
        <v>227</v>
      </c>
      <c r="AG157" t="s">
        <v>286</v>
      </c>
      <c r="AI157" t="s">
        <v>227</v>
      </c>
      <c r="AJ157">
        <v>45194</v>
      </c>
      <c r="AK157" t="s">
        <v>287</v>
      </c>
      <c r="AL157" t="s">
        <v>288</v>
      </c>
    </row>
    <row r="158" spans="1:38" x14ac:dyDescent="0.2">
      <c r="A158">
        <v>15</v>
      </c>
      <c r="B158" t="s">
        <v>46</v>
      </c>
      <c r="E158" t="s">
        <v>149</v>
      </c>
      <c r="F158" t="s">
        <v>984</v>
      </c>
      <c r="G158" t="s">
        <v>985</v>
      </c>
      <c r="H158" t="s">
        <v>27</v>
      </c>
      <c r="I158" t="s">
        <v>970</v>
      </c>
      <c r="J158" s="91">
        <v>81871.89</v>
      </c>
      <c r="K158" s="91">
        <v>81871.89</v>
      </c>
      <c r="L158" s="91">
        <v>81871.89</v>
      </c>
      <c r="M158" t="s">
        <v>278</v>
      </c>
      <c r="N158" t="s">
        <v>278</v>
      </c>
      <c r="O158" t="s">
        <v>986</v>
      </c>
      <c r="P158" t="s">
        <v>280</v>
      </c>
      <c r="Q158" t="s">
        <v>281</v>
      </c>
      <c r="R158" t="s">
        <v>282</v>
      </c>
      <c r="S158" t="s">
        <v>294</v>
      </c>
      <c r="T158" t="s">
        <v>295</v>
      </c>
      <c r="U158" t="s">
        <v>778</v>
      </c>
      <c r="V158">
        <v>101</v>
      </c>
      <c r="W158">
        <v>13017</v>
      </c>
      <c r="X158">
        <v>245011</v>
      </c>
      <c r="Y158">
        <v>9999</v>
      </c>
      <c r="Z158">
        <v>999</v>
      </c>
      <c r="AA158">
        <v>999</v>
      </c>
      <c r="AB158">
        <v>9999</v>
      </c>
      <c r="AC158">
        <v>9999</v>
      </c>
      <c r="AD158" t="s">
        <v>1</v>
      </c>
      <c r="AE158" t="s">
        <v>227</v>
      </c>
      <c r="AF158" t="s">
        <v>227</v>
      </c>
      <c r="AG158" t="s">
        <v>286</v>
      </c>
      <c r="AI158" t="s">
        <v>227</v>
      </c>
      <c r="AJ158">
        <v>45321</v>
      </c>
      <c r="AK158" t="s">
        <v>287</v>
      </c>
      <c r="AL158" t="s">
        <v>288</v>
      </c>
    </row>
    <row r="159" spans="1:38" x14ac:dyDescent="0.2">
      <c r="A159">
        <v>45</v>
      </c>
      <c r="B159" t="s">
        <v>47</v>
      </c>
      <c r="D159" t="s">
        <v>193</v>
      </c>
      <c r="E159" t="s">
        <v>35</v>
      </c>
      <c r="F159" t="s">
        <v>987</v>
      </c>
      <c r="G159" t="s">
        <v>988</v>
      </c>
      <c r="H159" t="s">
        <v>27</v>
      </c>
      <c r="I159" t="s">
        <v>926</v>
      </c>
      <c r="J159" s="91">
        <v>-14985</v>
      </c>
      <c r="K159" s="91">
        <v>-14985</v>
      </c>
      <c r="L159" s="91">
        <v>-14985</v>
      </c>
      <c r="M159" t="s">
        <v>278</v>
      </c>
      <c r="N159" t="s">
        <v>278</v>
      </c>
      <c r="O159" t="s">
        <v>989</v>
      </c>
      <c r="P159" t="s">
        <v>280</v>
      </c>
      <c r="Q159" t="s">
        <v>281</v>
      </c>
      <c r="R159" t="s">
        <v>282</v>
      </c>
      <c r="S159" t="s">
        <v>283</v>
      </c>
      <c r="T159" t="s">
        <v>366</v>
      </c>
      <c r="U159" t="s">
        <v>490</v>
      </c>
      <c r="V159">
        <v>101</v>
      </c>
      <c r="W159">
        <v>11010</v>
      </c>
      <c r="X159">
        <v>245011</v>
      </c>
      <c r="Y159">
        <v>9999</v>
      </c>
      <c r="Z159">
        <v>999</v>
      </c>
      <c r="AA159">
        <v>999</v>
      </c>
      <c r="AB159">
        <v>9999</v>
      </c>
      <c r="AC159">
        <v>9999</v>
      </c>
      <c r="AD159" t="s">
        <v>1</v>
      </c>
      <c r="AE159" t="s">
        <v>227</v>
      </c>
      <c r="AF159" t="s">
        <v>227</v>
      </c>
      <c r="AG159" t="s">
        <v>286</v>
      </c>
      <c r="AI159" t="s">
        <v>227</v>
      </c>
      <c r="AJ159">
        <v>45291</v>
      </c>
      <c r="AK159" t="s">
        <v>287</v>
      </c>
      <c r="AL159" t="s">
        <v>288</v>
      </c>
    </row>
    <row r="160" spans="1:38" x14ac:dyDescent="0.2">
      <c r="A160">
        <v>45</v>
      </c>
      <c r="B160" t="s">
        <v>47</v>
      </c>
      <c r="D160" t="s">
        <v>191</v>
      </c>
      <c r="E160" t="s">
        <v>35</v>
      </c>
      <c r="F160" t="s">
        <v>990</v>
      </c>
      <c r="G160" t="s">
        <v>991</v>
      </c>
      <c r="H160" t="s">
        <v>27</v>
      </c>
      <c r="I160" t="s">
        <v>926</v>
      </c>
      <c r="J160" s="91">
        <v>-456012</v>
      </c>
      <c r="K160" s="91">
        <v>-456012</v>
      </c>
      <c r="L160" s="91">
        <v>-456012</v>
      </c>
      <c r="M160" t="s">
        <v>278</v>
      </c>
      <c r="N160" t="s">
        <v>278</v>
      </c>
      <c r="O160" t="s">
        <v>992</v>
      </c>
      <c r="P160" t="s">
        <v>280</v>
      </c>
      <c r="Q160" t="s">
        <v>281</v>
      </c>
      <c r="R160" t="s">
        <v>282</v>
      </c>
      <c r="S160" t="s">
        <v>283</v>
      </c>
      <c r="T160" t="s">
        <v>366</v>
      </c>
      <c r="U160" t="s">
        <v>490</v>
      </c>
      <c r="V160">
        <v>101</v>
      </c>
      <c r="W160">
        <v>11010</v>
      </c>
      <c r="X160">
        <v>245011</v>
      </c>
      <c r="Y160">
        <v>9999</v>
      </c>
      <c r="Z160">
        <v>999</v>
      </c>
      <c r="AA160">
        <v>999</v>
      </c>
      <c r="AB160">
        <v>9999</v>
      </c>
      <c r="AC160">
        <v>9999</v>
      </c>
      <c r="AD160" t="s">
        <v>1</v>
      </c>
      <c r="AE160" t="s">
        <v>227</v>
      </c>
      <c r="AF160" t="s">
        <v>227</v>
      </c>
      <c r="AG160" t="s">
        <v>286</v>
      </c>
      <c r="AI160" t="s">
        <v>227</v>
      </c>
      <c r="AJ160">
        <v>45291</v>
      </c>
      <c r="AK160" t="s">
        <v>287</v>
      </c>
      <c r="AL160" t="s">
        <v>288</v>
      </c>
    </row>
    <row r="161" spans="1:38" x14ac:dyDescent="0.2">
      <c r="A161">
        <v>23</v>
      </c>
      <c r="B161" t="s">
        <v>46</v>
      </c>
      <c r="E161" t="s">
        <v>35</v>
      </c>
      <c r="F161" t="s">
        <v>993</v>
      </c>
      <c r="G161" t="s">
        <v>994</v>
      </c>
      <c r="H161" t="s">
        <v>27</v>
      </c>
      <c r="I161" t="s">
        <v>970</v>
      </c>
      <c r="J161" s="91">
        <v>14985</v>
      </c>
      <c r="K161" s="91">
        <v>14985</v>
      </c>
      <c r="L161" s="91">
        <v>14985</v>
      </c>
      <c r="M161" t="s">
        <v>278</v>
      </c>
      <c r="N161" t="s">
        <v>278</v>
      </c>
      <c r="O161" t="s">
        <v>995</v>
      </c>
      <c r="P161" t="s">
        <v>280</v>
      </c>
      <c r="Q161" t="s">
        <v>281</v>
      </c>
      <c r="R161" t="s">
        <v>282</v>
      </c>
      <c r="S161" t="s">
        <v>283</v>
      </c>
      <c r="T161" t="s">
        <v>366</v>
      </c>
      <c r="U161" t="s">
        <v>490</v>
      </c>
      <c r="V161">
        <v>101</v>
      </c>
      <c r="W161">
        <v>11010</v>
      </c>
      <c r="X161">
        <v>245011</v>
      </c>
      <c r="Y161">
        <v>9999</v>
      </c>
      <c r="Z161">
        <v>999</v>
      </c>
      <c r="AA161">
        <v>999</v>
      </c>
      <c r="AB161">
        <v>9999</v>
      </c>
      <c r="AC161">
        <v>9999</v>
      </c>
      <c r="AD161" t="s">
        <v>1</v>
      </c>
      <c r="AE161" t="s">
        <v>227</v>
      </c>
      <c r="AF161" t="s">
        <v>227</v>
      </c>
      <c r="AG161" t="s">
        <v>286</v>
      </c>
      <c r="AI161" t="s">
        <v>227</v>
      </c>
      <c r="AJ161">
        <v>45313</v>
      </c>
      <c r="AK161" t="s">
        <v>287</v>
      </c>
      <c r="AL161" t="s">
        <v>288</v>
      </c>
    </row>
    <row r="162" spans="1:38" x14ac:dyDescent="0.2">
      <c r="A162">
        <v>16</v>
      </c>
      <c r="B162" t="s">
        <v>46</v>
      </c>
      <c r="E162" t="s">
        <v>35</v>
      </c>
      <c r="F162" t="s">
        <v>996</v>
      </c>
      <c r="G162" t="s">
        <v>997</v>
      </c>
      <c r="H162" t="s">
        <v>27</v>
      </c>
      <c r="I162" t="s">
        <v>970</v>
      </c>
      <c r="J162" s="91">
        <v>456012</v>
      </c>
      <c r="K162" s="91">
        <v>456012</v>
      </c>
      <c r="L162" s="91">
        <v>456012</v>
      </c>
      <c r="M162" t="s">
        <v>278</v>
      </c>
      <c r="N162" t="s">
        <v>278</v>
      </c>
      <c r="O162" t="s">
        <v>998</v>
      </c>
      <c r="P162" t="s">
        <v>280</v>
      </c>
      <c r="Q162" t="s">
        <v>281</v>
      </c>
      <c r="R162" t="s">
        <v>282</v>
      </c>
      <c r="S162" t="s">
        <v>283</v>
      </c>
      <c r="T162" t="s">
        <v>366</v>
      </c>
      <c r="U162" t="s">
        <v>490</v>
      </c>
      <c r="V162">
        <v>101</v>
      </c>
      <c r="W162">
        <v>11010</v>
      </c>
      <c r="X162">
        <v>245011</v>
      </c>
      <c r="Y162">
        <v>9999</v>
      </c>
      <c r="Z162">
        <v>999</v>
      </c>
      <c r="AA162">
        <v>999</v>
      </c>
      <c r="AB162">
        <v>9999</v>
      </c>
      <c r="AC162">
        <v>9999</v>
      </c>
      <c r="AD162" t="s">
        <v>1</v>
      </c>
      <c r="AE162" t="s">
        <v>227</v>
      </c>
      <c r="AF162" t="s">
        <v>227</v>
      </c>
      <c r="AG162" t="s">
        <v>286</v>
      </c>
      <c r="AI162" t="s">
        <v>227</v>
      </c>
      <c r="AJ162">
        <v>45320</v>
      </c>
      <c r="AK162" t="s">
        <v>287</v>
      </c>
      <c r="AL162" t="s">
        <v>288</v>
      </c>
    </row>
    <row r="163" spans="1:38" x14ac:dyDescent="0.2">
      <c r="A163">
        <v>167</v>
      </c>
      <c r="B163" t="s">
        <v>522</v>
      </c>
      <c r="D163" t="s">
        <v>145</v>
      </c>
      <c r="E163" t="s">
        <v>68</v>
      </c>
      <c r="F163" t="s">
        <v>999</v>
      </c>
      <c r="G163" t="s">
        <v>999</v>
      </c>
      <c r="H163" t="s">
        <v>16</v>
      </c>
      <c r="I163" t="s">
        <v>819</v>
      </c>
      <c r="J163" s="91">
        <v>-85230.24</v>
      </c>
      <c r="K163" s="91">
        <v>-85230.24</v>
      </c>
      <c r="L163" s="91">
        <v>-85230.24</v>
      </c>
      <c r="M163" t="s">
        <v>278</v>
      </c>
      <c r="N163" t="s">
        <v>278</v>
      </c>
      <c r="O163" t="s">
        <v>1000</v>
      </c>
      <c r="P163" t="s">
        <v>1000</v>
      </c>
      <c r="Q163" t="s">
        <v>281</v>
      </c>
      <c r="R163" t="s">
        <v>282</v>
      </c>
      <c r="S163" t="s">
        <v>283</v>
      </c>
      <c r="T163" t="s">
        <v>313</v>
      </c>
      <c r="U163" t="s">
        <v>1001</v>
      </c>
      <c r="V163">
        <v>101</v>
      </c>
      <c r="W163">
        <v>12022</v>
      </c>
      <c r="X163">
        <v>245011</v>
      </c>
      <c r="Y163">
        <v>9999</v>
      </c>
      <c r="Z163">
        <v>207</v>
      </c>
      <c r="AA163">
        <v>999</v>
      </c>
      <c r="AB163">
        <v>9999</v>
      </c>
      <c r="AC163">
        <v>9999</v>
      </c>
      <c r="AD163" t="s">
        <v>1</v>
      </c>
      <c r="AE163" t="s">
        <v>1002</v>
      </c>
      <c r="AF163" t="s">
        <v>227</v>
      </c>
      <c r="AG163" t="s">
        <v>286</v>
      </c>
      <c r="AI163" t="s">
        <v>227</v>
      </c>
      <c r="AJ163">
        <v>45169</v>
      </c>
      <c r="AK163" t="s">
        <v>328</v>
      </c>
      <c r="AL163" t="s">
        <v>288</v>
      </c>
    </row>
    <row r="164" spans="1:38" x14ac:dyDescent="0.2">
      <c r="A164">
        <v>76</v>
      </c>
      <c r="B164" t="s">
        <v>48</v>
      </c>
      <c r="D164" t="s">
        <v>145</v>
      </c>
      <c r="E164" t="s">
        <v>68</v>
      </c>
      <c r="F164" t="s">
        <v>1003</v>
      </c>
      <c r="G164" t="s">
        <v>1003</v>
      </c>
      <c r="H164" t="s">
        <v>16</v>
      </c>
      <c r="I164" t="s">
        <v>907</v>
      </c>
      <c r="J164" s="91">
        <v>-85230.24</v>
      </c>
      <c r="K164" s="91">
        <v>-85230.24</v>
      </c>
      <c r="L164" s="91">
        <v>-85230.24</v>
      </c>
      <c r="M164" t="s">
        <v>278</v>
      </c>
      <c r="N164" t="s">
        <v>278</v>
      </c>
      <c r="O164" t="s">
        <v>1000</v>
      </c>
      <c r="P164" t="s">
        <v>1000</v>
      </c>
      <c r="Q164" t="s">
        <v>281</v>
      </c>
      <c r="R164" t="s">
        <v>282</v>
      </c>
      <c r="S164" t="s">
        <v>283</v>
      </c>
      <c r="T164" t="s">
        <v>313</v>
      </c>
      <c r="U164" t="s">
        <v>1001</v>
      </c>
      <c r="V164">
        <v>101</v>
      </c>
      <c r="W164">
        <v>12022</v>
      </c>
      <c r="X164">
        <v>245011</v>
      </c>
      <c r="Y164">
        <v>9999</v>
      </c>
      <c r="Z164">
        <v>207</v>
      </c>
      <c r="AA164">
        <v>999</v>
      </c>
      <c r="AB164">
        <v>9999</v>
      </c>
      <c r="AC164">
        <v>9999</v>
      </c>
      <c r="AD164" t="s">
        <v>1</v>
      </c>
      <c r="AE164" t="s">
        <v>1002</v>
      </c>
      <c r="AF164" t="s">
        <v>227</v>
      </c>
      <c r="AG164" t="s">
        <v>286</v>
      </c>
      <c r="AI164" t="s">
        <v>227</v>
      </c>
      <c r="AJ164">
        <v>45260</v>
      </c>
      <c r="AK164" t="s">
        <v>328</v>
      </c>
      <c r="AL164" t="s">
        <v>288</v>
      </c>
    </row>
    <row r="165" spans="1:38" x14ac:dyDescent="0.2">
      <c r="A165">
        <v>92</v>
      </c>
      <c r="B165" t="s">
        <v>49</v>
      </c>
      <c r="D165" t="s">
        <v>145</v>
      </c>
      <c r="E165" t="s">
        <v>68</v>
      </c>
      <c r="F165" t="s">
        <v>1004</v>
      </c>
      <c r="G165" t="s">
        <v>1005</v>
      </c>
      <c r="H165" t="s">
        <v>19</v>
      </c>
      <c r="I165" t="s">
        <v>907</v>
      </c>
      <c r="J165" s="91">
        <v>85230.24</v>
      </c>
      <c r="K165" s="91">
        <v>85230.24</v>
      </c>
      <c r="L165" s="91">
        <v>85230.24</v>
      </c>
      <c r="M165" t="s">
        <v>278</v>
      </c>
      <c r="N165" t="s">
        <v>278</v>
      </c>
      <c r="O165" t="s">
        <v>1006</v>
      </c>
      <c r="P165" t="s">
        <v>1000</v>
      </c>
      <c r="Q165" t="s">
        <v>281</v>
      </c>
      <c r="R165" t="s">
        <v>282</v>
      </c>
      <c r="S165" t="s">
        <v>283</v>
      </c>
      <c r="T165" t="s">
        <v>313</v>
      </c>
      <c r="U165" t="s">
        <v>1001</v>
      </c>
      <c r="V165">
        <v>101</v>
      </c>
      <c r="W165">
        <v>12022</v>
      </c>
      <c r="X165">
        <v>245011</v>
      </c>
      <c r="Y165">
        <v>9999</v>
      </c>
      <c r="Z165">
        <v>207</v>
      </c>
      <c r="AA165">
        <v>999</v>
      </c>
      <c r="AB165">
        <v>9999</v>
      </c>
      <c r="AC165">
        <v>9999</v>
      </c>
      <c r="AD165" t="s">
        <v>1</v>
      </c>
      <c r="AE165" t="s">
        <v>1002</v>
      </c>
      <c r="AF165" t="s">
        <v>227</v>
      </c>
      <c r="AG165" t="s">
        <v>286</v>
      </c>
      <c r="AI165" t="s">
        <v>227</v>
      </c>
      <c r="AJ165">
        <v>45244</v>
      </c>
      <c r="AK165" t="s">
        <v>328</v>
      </c>
      <c r="AL165" t="s">
        <v>288</v>
      </c>
    </row>
    <row r="166" spans="1:38" x14ac:dyDescent="0.2">
      <c r="A166">
        <v>14</v>
      </c>
      <c r="B166" t="s">
        <v>46</v>
      </c>
      <c r="E166" t="s">
        <v>68</v>
      </c>
      <c r="F166" t="s">
        <v>1007</v>
      </c>
      <c r="G166" t="s">
        <v>1008</v>
      </c>
      <c r="H166" t="s">
        <v>16</v>
      </c>
      <c r="I166" t="s">
        <v>970</v>
      </c>
      <c r="J166" s="91">
        <v>85230.24</v>
      </c>
      <c r="K166" s="91">
        <v>85230.24</v>
      </c>
      <c r="L166" s="91">
        <v>85230.24</v>
      </c>
      <c r="M166" t="s">
        <v>278</v>
      </c>
      <c r="N166" t="s">
        <v>278</v>
      </c>
      <c r="O166" t="s">
        <v>1009</v>
      </c>
      <c r="P166" t="s">
        <v>1000</v>
      </c>
      <c r="Q166" t="s">
        <v>281</v>
      </c>
      <c r="R166" t="s">
        <v>282</v>
      </c>
      <c r="S166" t="s">
        <v>283</v>
      </c>
      <c r="T166" t="s">
        <v>284</v>
      </c>
      <c r="U166" t="s">
        <v>1001</v>
      </c>
      <c r="V166">
        <v>101</v>
      </c>
      <c r="W166">
        <v>12022</v>
      </c>
      <c r="X166">
        <v>245011</v>
      </c>
      <c r="Y166">
        <v>9999</v>
      </c>
      <c r="Z166">
        <v>207</v>
      </c>
      <c r="AA166">
        <v>999</v>
      </c>
      <c r="AB166">
        <v>9999</v>
      </c>
      <c r="AC166">
        <v>9999</v>
      </c>
      <c r="AD166" t="s">
        <v>1</v>
      </c>
      <c r="AE166" t="s">
        <v>1002</v>
      </c>
      <c r="AF166" t="s">
        <v>227</v>
      </c>
      <c r="AG166" t="s">
        <v>286</v>
      </c>
      <c r="AI166" t="s">
        <v>227</v>
      </c>
      <c r="AJ166">
        <v>45322</v>
      </c>
      <c r="AK166" t="s">
        <v>328</v>
      </c>
      <c r="AL166" t="s">
        <v>288</v>
      </c>
    </row>
    <row r="167" spans="1:38" x14ac:dyDescent="0.2">
      <c r="A167">
        <v>106</v>
      </c>
      <c r="B167" t="s">
        <v>49</v>
      </c>
      <c r="D167" t="s">
        <v>166</v>
      </c>
      <c r="E167" t="s">
        <v>34</v>
      </c>
      <c r="F167" t="s">
        <v>1010</v>
      </c>
      <c r="G167" t="s">
        <v>1011</v>
      </c>
      <c r="H167" t="s">
        <v>871</v>
      </c>
      <c r="I167" t="s">
        <v>880</v>
      </c>
      <c r="J167" s="91">
        <v>-385157.57</v>
      </c>
      <c r="K167" s="91">
        <v>-385157.57</v>
      </c>
      <c r="L167" s="91">
        <v>-385157.57</v>
      </c>
      <c r="M167" t="s">
        <v>278</v>
      </c>
      <c r="N167" t="s">
        <v>278</v>
      </c>
      <c r="O167" t="s">
        <v>1012</v>
      </c>
      <c r="P167" t="s">
        <v>280</v>
      </c>
      <c r="Q167" t="s">
        <v>281</v>
      </c>
      <c r="R167" t="s">
        <v>282</v>
      </c>
      <c r="S167" t="s">
        <v>294</v>
      </c>
      <c r="T167" t="s">
        <v>295</v>
      </c>
      <c r="U167" t="s">
        <v>398</v>
      </c>
      <c r="V167">
        <v>101</v>
      </c>
      <c r="W167">
        <v>13014</v>
      </c>
      <c r="X167">
        <v>245011</v>
      </c>
      <c r="Y167">
        <v>9999</v>
      </c>
      <c r="Z167">
        <v>999</v>
      </c>
      <c r="AA167">
        <v>999</v>
      </c>
      <c r="AB167">
        <v>9999</v>
      </c>
      <c r="AC167">
        <v>9999</v>
      </c>
      <c r="AD167" t="s">
        <v>1</v>
      </c>
      <c r="AE167" t="s">
        <v>227</v>
      </c>
      <c r="AF167" t="s">
        <v>227</v>
      </c>
      <c r="AG167" t="s">
        <v>286</v>
      </c>
      <c r="AI167" t="s">
        <v>227</v>
      </c>
      <c r="AJ167">
        <v>45230</v>
      </c>
      <c r="AK167" t="s">
        <v>287</v>
      </c>
      <c r="AL167" t="s">
        <v>288</v>
      </c>
    </row>
    <row r="168" spans="1:38" x14ac:dyDescent="0.2">
      <c r="A168">
        <v>15</v>
      </c>
      <c r="B168" t="s">
        <v>46</v>
      </c>
      <c r="E168" t="s">
        <v>34</v>
      </c>
      <c r="F168" t="s">
        <v>1013</v>
      </c>
      <c r="G168" t="s">
        <v>1014</v>
      </c>
      <c r="H168" t="s">
        <v>871</v>
      </c>
      <c r="I168" t="s">
        <v>970</v>
      </c>
      <c r="J168" s="91">
        <v>385157.57</v>
      </c>
      <c r="K168" s="91">
        <v>385157.57</v>
      </c>
      <c r="L168" s="91">
        <v>385157.57</v>
      </c>
      <c r="M168" t="s">
        <v>278</v>
      </c>
      <c r="N168" t="s">
        <v>278</v>
      </c>
      <c r="O168" t="s">
        <v>1015</v>
      </c>
      <c r="P168" t="s">
        <v>280</v>
      </c>
      <c r="Q168" t="s">
        <v>281</v>
      </c>
      <c r="R168" t="s">
        <v>282</v>
      </c>
      <c r="S168" t="s">
        <v>294</v>
      </c>
      <c r="T168" t="s">
        <v>295</v>
      </c>
      <c r="U168" t="s">
        <v>398</v>
      </c>
      <c r="V168">
        <v>101</v>
      </c>
      <c r="W168">
        <v>13014</v>
      </c>
      <c r="X168">
        <v>245011</v>
      </c>
      <c r="Y168">
        <v>9999</v>
      </c>
      <c r="Z168">
        <v>999</v>
      </c>
      <c r="AA168">
        <v>999</v>
      </c>
      <c r="AB168">
        <v>9999</v>
      </c>
      <c r="AC168">
        <v>9999</v>
      </c>
      <c r="AD168" t="s">
        <v>1</v>
      </c>
      <c r="AE168" t="s">
        <v>227</v>
      </c>
      <c r="AF168" t="s">
        <v>227</v>
      </c>
      <c r="AG168" t="s">
        <v>286</v>
      </c>
      <c r="AI168" t="s">
        <v>227</v>
      </c>
      <c r="AJ168">
        <v>45321</v>
      </c>
      <c r="AK168" t="s">
        <v>287</v>
      </c>
      <c r="AL168" t="s">
        <v>288</v>
      </c>
    </row>
    <row r="169" spans="1:38" x14ac:dyDescent="0.2">
      <c r="A169">
        <v>45</v>
      </c>
      <c r="B169" t="s">
        <v>47</v>
      </c>
      <c r="D169" t="s">
        <v>166</v>
      </c>
      <c r="E169" t="s">
        <v>77</v>
      </c>
      <c r="F169" t="s">
        <v>1016</v>
      </c>
      <c r="G169" t="s">
        <v>1017</v>
      </c>
      <c r="H169" t="s">
        <v>27</v>
      </c>
      <c r="I169" t="s">
        <v>926</v>
      </c>
      <c r="J169" s="91">
        <v>-46391</v>
      </c>
      <c r="K169" s="91">
        <v>-46391</v>
      </c>
      <c r="L169" s="91">
        <v>-46391</v>
      </c>
      <c r="M169" t="s">
        <v>278</v>
      </c>
      <c r="N169" t="s">
        <v>278</v>
      </c>
      <c r="O169" t="s">
        <v>1018</v>
      </c>
      <c r="P169" t="s">
        <v>280</v>
      </c>
      <c r="Q169" t="s">
        <v>281</v>
      </c>
      <c r="R169" t="s">
        <v>282</v>
      </c>
      <c r="S169" t="s">
        <v>283</v>
      </c>
      <c r="T169" t="s">
        <v>313</v>
      </c>
      <c r="U169" t="s">
        <v>594</v>
      </c>
      <c r="V169">
        <v>101</v>
      </c>
      <c r="W169">
        <v>11001</v>
      </c>
      <c r="X169">
        <v>245011</v>
      </c>
      <c r="Y169">
        <v>9999</v>
      </c>
      <c r="Z169">
        <v>999</v>
      </c>
      <c r="AA169">
        <v>999</v>
      </c>
      <c r="AB169">
        <v>9999</v>
      </c>
      <c r="AC169">
        <v>9999</v>
      </c>
      <c r="AD169" t="s">
        <v>1</v>
      </c>
      <c r="AE169" t="s">
        <v>227</v>
      </c>
      <c r="AF169" t="s">
        <v>227</v>
      </c>
      <c r="AG169" t="s">
        <v>286</v>
      </c>
      <c r="AI169" t="s">
        <v>227</v>
      </c>
      <c r="AJ169">
        <v>45291</v>
      </c>
      <c r="AK169" t="s">
        <v>287</v>
      </c>
      <c r="AL169" t="s">
        <v>288</v>
      </c>
    </row>
    <row r="170" spans="1:38" x14ac:dyDescent="0.2">
      <c r="A170">
        <v>27</v>
      </c>
      <c r="B170" t="s">
        <v>46</v>
      </c>
      <c r="E170" t="s">
        <v>77</v>
      </c>
      <c r="F170" t="s">
        <v>1019</v>
      </c>
      <c r="G170" t="s">
        <v>1020</v>
      </c>
      <c r="H170" t="s">
        <v>27</v>
      </c>
      <c r="I170" t="s">
        <v>970</v>
      </c>
      <c r="J170" s="91">
        <v>46391</v>
      </c>
      <c r="K170" s="91">
        <v>46391</v>
      </c>
      <c r="L170" s="91">
        <v>46391</v>
      </c>
      <c r="M170" t="s">
        <v>278</v>
      </c>
      <c r="N170" t="s">
        <v>278</v>
      </c>
      <c r="O170" t="s">
        <v>1021</v>
      </c>
      <c r="P170" t="s">
        <v>280</v>
      </c>
      <c r="Q170" t="s">
        <v>281</v>
      </c>
      <c r="R170" t="s">
        <v>282</v>
      </c>
      <c r="S170" t="s">
        <v>283</v>
      </c>
      <c r="T170" t="s">
        <v>313</v>
      </c>
      <c r="U170" t="s">
        <v>594</v>
      </c>
      <c r="V170">
        <v>101</v>
      </c>
      <c r="W170">
        <v>11001</v>
      </c>
      <c r="X170">
        <v>245011</v>
      </c>
      <c r="Y170">
        <v>9999</v>
      </c>
      <c r="Z170">
        <v>999</v>
      </c>
      <c r="AA170">
        <v>999</v>
      </c>
      <c r="AB170">
        <v>9999</v>
      </c>
      <c r="AC170">
        <v>9999</v>
      </c>
      <c r="AD170" t="s">
        <v>1</v>
      </c>
      <c r="AE170" t="s">
        <v>227</v>
      </c>
      <c r="AF170" t="s">
        <v>227</v>
      </c>
      <c r="AG170" t="s">
        <v>286</v>
      </c>
      <c r="AI170" t="s">
        <v>227</v>
      </c>
      <c r="AJ170">
        <v>45309</v>
      </c>
      <c r="AK170" t="s">
        <v>287</v>
      </c>
      <c r="AL170" t="s">
        <v>288</v>
      </c>
    </row>
    <row r="171" spans="1:38" x14ac:dyDescent="0.2">
      <c r="A171">
        <v>45</v>
      </c>
      <c r="B171" t="s">
        <v>47</v>
      </c>
      <c r="D171" t="s">
        <v>196</v>
      </c>
      <c r="E171" t="s">
        <v>11</v>
      </c>
      <c r="F171" t="s">
        <v>1022</v>
      </c>
      <c r="G171" t="s">
        <v>1023</v>
      </c>
      <c r="H171" t="s">
        <v>19</v>
      </c>
      <c r="I171" t="s">
        <v>926</v>
      </c>
      <c r="J171" s="91">
        <v>56611.38</v>
      </c>
      <c r="K171" s="91">
        <v>56611.38</v>
      </c>
      <c r="L171" s="91">
        <v>56611.38</v>
      </c>
      <c r="M171" t="s">
        <v>278</v>
      </c>
      <c r="N171" t="s">
        <v>278</v>
      </c>
      <c r="O171" t="s">
        <v>1024</v>
      </c>
      <c r="P171" t="s">
        <v>280</v>
      </c>
      <c r="Q171" t="s">
        <v>281</v>
      </c>
      <c r="R171" t="s">
        <v>282</v>
      </c>
      <c r="S171" t="s">
        <v>283</v>
      </c>
      <c r="T171" t="s">
        <v>284</v>
      </c>
      <c r="U171" t="s">
        <v>285</v>
      </c>
      <c r="V171">
        <v>101</v>
      </c>
      <c r="W171">
        <v>12012</v>
      </c>
      <c r="X171">
        <v>245011</v>
      </c>
      <c r="Y171">
        <v>9999</v>
      </c>
      <c r="Z171">
        <v>999</v>
      </c>
      <c r="AA171">
        <v>999</v>
      </c>
      <c r="AB171">
        <v>9999</v>
      </c>
      <c r="AC171">
        <v>9999</v>
      </c>
      <c r="AD171" t="s">
        <v>1</v>
      </c>
      <c r="AE171" t="s">
        <v>227</v>
      </c>
      <c r="AF171" t="s">
        <v>227</v>
      </c>
      <c r="AG171" t="s">
        <v>286</v>
      </c>
      <c r="AI171" t="s">
        <v>227</v>
      </c>
      <c r="AJ171">
        <v>45291</v>
      </c>
      <c r="AK171" t="s">
        <v>287</v>
      </c>
      <c r="AL171" t="s">
        <v>288</v>
      </c>
    </row>
    <row r="172" spans="1:38" x14ac:dyDescent="0.2">
      <c r="A172">
        <v>21</v>
      </c>
      <c r="B172" t="s">
        <v>46</v>
      </c>
      <c r="E172" t="s">
        <v>11</v>
      </c>
      <c r="F172" t="s">
        <v>1025</v>
      </c>
      <c r="G172" t="s">
        <v>1026</v>
      </c>
      <c r="H172" t="s">
        <v>19</v>
      </c>
      <c r="I172" t="s">
        <v>970</v>
      </c>
      <c r="J172" s="91">
        <v>-56611.38</v>
      </c>
      <c r="K172" s="91">
        <v>-56611.38</v>
      </c>
      <c r="L172" s="91">
        <v>-56611.38</v>
      </c>
      <c r="M172" t="s">
        <v>278</v>
      </c>
      <c r="N172" t="s">
        <v>278</v>
      </c>
      <c r="O172" t="s">
        <v>1027</v>
      </c>
      <c r="P172" t="s">
        <v>280</v>
      </c>
      <c r="Q172" t="s">
        <v>281</v>
      </c>
      <c r="R172" t="s">
        <v>282</v>
      </c>
      <c r="S172" t="s">
        <v>283</v>
      </c>
      <c r="T172" t="s">
        <v>284</v>
      </c>
      <c r="U172" t="s">
        <v>285</v>
      </c>
      <c r="V172">
        <v>101</v>
      </c>
      <c r="W172">
        <v>12012</v>
      </c>
      <c r="X172">
        <v>245011</v>
      </c>
      <c r="Y172">
        <v>9999</v>
      </c>
      <c r="Z172">
        <v>999</v>
      </c>
      <c r="AA172">
        <v>999</v>
      </c>
      <c r="AB172">
        <v>9999</v>
      </c>
      <c r="AC172">
        <v>9999</v>
      </c>
      <c r="AD172" t="s">
        <v>1</v>
      </c>
      <c r="AE172" t="s">
        <v>227</v>
      </c>
      <c r="AF172" t="s">
        <v>227</v>
      </c>
      <c r="AG172" t="s">
        <v>286</v>
      </c>
      <c r="AI172" t="s">
        <v>227</v>
      </c>
      <c r="AJ172">
        <v>45315</v>
      </c>
      <c r="AK172" t="s">
        <v>287</v>
      </c>
      <c r="AL172" t="s">
        <v>288</v>
      </c>
    </row>
    <row r="173" spans="1:38" s="112" customFormat="1" ht="11.25" customHeight="1" x14ac:dyDescent="0.2">
      <c r="A173" s="166">
        <f ca="1">TODAY()-AJ173</f>
        <v>929</v>
      </c>
      <c r="B173" s="167" t="str">
        <f ca="1">IFERROR(VLOOKUP(A173,'[3]Aging Formulas'!A:B,2,FALSE),"365+")</f>
        <v>365+</v>
      </c>
      <c r="C173" s="167"/>
      <c r="D173" s="167" t="s">
        <v>205</v>
      </c>
      <c r="E173" s="167" t="s">
        <v>35</v>
      </c>
      <c r="F173" s="167" t="s">
        <v>1028</v>
      </c>
      <c r="G173" s="167" t="s">
        <v>1029</v>
      </c>
      <c r="H173" s="167" t="s">
        <v>223</v>
      </c>
      <c r="I173" s="167" t="s">
        <v>970</v>
      </c>
      <c r="J173" s="168">
        <v>-14985</v>
      </c>
      <c r="K173" s="168">
        <v>-14985</v>
      </c>
      <c r="L173" s="168">
        <v>-14985</v>
      </c>
      <c r="M173" s="167" t="s">
        <v>278</v>
      </c>
      <c r="N173" s="167" t="s">
        <v>278</v>
      </c>
      <c r="O173" s="167" t="s">
        <v>1030</v>
      </c>
      <c r="P173" s="167" t="s">
        <v>280</v>
      </c>
      <c r="Q173" s="167" t="s">
        <v>281</v>
      </c>
      <c r="R173" s="167" t="s">
        <v>282</v>
      </c>
      <c r="S173" s="167" t="s">
        <v>283</v>
      </c>
      <c r="T173" s="167" t="s">
        <v>366</v>
      </c>
      <c r="U173" s="167" t="s">
        <v>490</v>
      </c>
      <c r="V173" s="167">
        <v>101</v>
      </c>
      <c r="W173" s="167">
        <v>11010</v>
      </c>
      <c r="X173" s="167">
        <v>245011</v>
      </c>
      <c r="Y173" s="167">
        <v>9999</v>
      </c>
      <c r="Z173" s="167">
        <v>999</v>
      </c>
      <c r="AA173" s="167">
        <v>999</v>
      </c>
      <c r="AB173" s="167">
        <v>9999</v>
      </c>
      <c r="AC173" s="167">
        <v>9999</v>
      </c>
      <c r="AD173" s="167" t="s">
        <v>1</v>
      </c>
      <c r="AE173" s="167" t="s">
        <v>227</v>
      </c>
      <c r="AF173" s="167" t="s">
        <v>227</v>
      </c>
      <c r="AG173" s="167" t="s">
        <v>286</v>
      </c>
      <c r="AH173" s="167"/>
      <c r="AI173" s="167" t="s">
        <v>227</v>
      </c>
      <c r="AJ173" s="167">
        <v>45322</v>
      </c>
      <c r="AK173" s="167" t="s">
        <v>287</v>
      </c>
      <c r="AL173" s="167" t="s">
        <v>288</v>
      </c>
    </row>
    <row r="174" spans="1:38" s="112" customFormat="1" ht="11.25" customHeight="1" x14ac:dyDescent="0.2">
      <c r="A174" s="166">
        <f ca="1">TODAY()-AJ174</f>
        <v>914</v>
      </c>
      <c r="B174" s="167" t="str">
        <f ca="1">IFERROR(VLOOKUP(A174,'[3]Aging Formulas'!A:B,2,FALSE),"365+")</f>
        <v>365+</v>
      </c>
      <c r="C174" s="167"/>
      <c r="D174" s="167"/>
      <c r="E174" s="167" t="s">
        <v>35</v>
      </c>
      <c r="F174" s="167" t="s">
        <v>1031</v>
      </c>
      <c r="G174" s="167" t="s">
        <v>1032</v>
      </c>
      <c r="H174" s="167" t="s">
        <v>223</v>
      </c>
      <c r="I174" s="167" t="s">
        <v>1033</v>
      </c>
      <c r="J174" s="168">
        <v>14985</v>
      </c>
      <c r="K174" s="168">
        <v>14985</v>
      </c>
      <c r="L174" s="168">
        <v>14985</v>
      </c>
      <c r="M174" s="167" t="s">
        <v>278</v>
      </c>
      <c r="N174" s="167" t="s">
        <v>278</v>
      </c>
      <c r="O174" s="167" t="s">
        <v>1034</v>
      </c>
      <c r="P174" s="167" t="s">
        <v>280</v>
      </c>
      <c r="Q174" s="167" t="s">
        <v>281</v>
      </c>
      <c r="R174" s="167" t="s">
        <v>282</v>
      </c>
      <c r="S174" s="167" t="s">
        <v>283</v>
      </c>
      <c r="T174" s="167" t="s">
        <v>366</v>
      </c>
      <c r="U174" s="167" t="s">
        <v>490</v>
      </c>
      <c r="V174" s="167">
        <v>101</v>
      </c>
      <c r="W174" s="167">
        <v>11010</v>
      </c>
      <c r="X174" s="167">
        <v>245011</v>
      </c>
      <c r="Y174" s="167">
        <v>9999</v>
      </c>
      <c r="Z174" s="167">
        <v>999</v>
      </c>
      <c r="AA174" s="167">
        <v>999</v>
      </c>
      <c r="AB174" s="167">
        <v>9999</v>
      </c>
      <c r="AC174" s="167">
        <v>9999</v>
      </c>
      <c r="AD174" s="167" t="s">
        <v>1</v>
      </c>
      <c r="AE174" s="167" t="s">
        <v>227</v>
      </c>
      <c r="AF174" s="167" t="s">
        <v>227</v>
      </c>
      <c r="AG174" s="167" t="s">
        <v>286</v>
      </c>
      <c r="AH174" s="167"/>
      <c r="AI174" s="167" t="s">
        <v>227</v>
      </c>
      <c r="AJ174" s="167">
        <v>45337</v>
      </c>
      <c r="AK174" s="167" t="s">
        <v>287</v>
      </c>
      <c r="AL174" s="167" t="s">
        <v>288</v>
      </c>
    </row>
    <row r="175" spans="1:38" x14ac:dyDescent="0.2">
      <c r="A175">
        <v>9</v>
      </c>
      <c r="B175" t="s">
        <v>46</v>
      </c>
      <c r="E175" t="s">
        <v>32</v>
      </c>
      <c r="F175" t="s">
        <v>1035</v>
      </c>
      <c r="G175" t="s">
        <v>1036</v>
      </c>
      <c r="H175" t="s">
        <v>31</v>
      </c>
      <c r="I175" t="s">
        <v>1037</v>
      </c>
      <c r="J175" s="91">
        <v>-149486.59</v>
      </c>
      <c r="K175" s="91">
        <v>-149486.59</v>
      </c>
      <c r="L175" s="91">
        <v>-149486.59</v>
      </c>
      <c r="M175" t="s">
        <v>278</v>
      </c>
      <c r="N175" t="s">
        <v>278</v>
      </c>
      <c r="O175" t="s">
        <v>1038</v>
      </c>
      <c r="P175" t="s">
        <v>1038</v>
      </c>
      <c r="Q175" t="s">
        <v>281</v>
      </c>
      <c r="R175" t="s">
        <v>282</v>
      </c>
      <c r="S175" t="s">
        <v>283</v>
      </c>
      <c r="T175" t="s">
        <v>313</v>
      </c>
      <c r="U175" t="s">
        <v>381</v>
      </c>
      <c r="V175">
        <v>101</v>
      </c>
      <c r="W175">
        <v>12015</v>
      </c>
      <c r="X175">
        <v>245011</v>
      </c>
      <c r="Y175">
        <v>9999</v>
      </c>
      <c r="Z175">
        <v>999</v>
      </c>
      <c r="AA175">
        <v>999</v>
      </c>
      <c r="AB175">
        <v>9999</v>
      </c>
      <c r="AC175">
        <v>9999</v>
      </c>
      <c r="AD175" t="s">
        <v>1</v>
      </c>
      <c r="AE175" t="s">
        <v>1039</v>
      </c>
      <c r="AF175" t="s">
        <v>227</v>
      </c>
      <c r="AG175" t="s">
        <v>286</v>
      </c>
      <c r="AI175" t="s">
        <v>227</v>
      </c>
      <c r="AJ175">
        <v>45382</v>
      </c>
      <c r="AK175" t="s">
        <v>315</v>
      </c>
      <c r="AL175" t="s">
        <v>288</v>
      </c>
    </row>
    <row r="176" spans="1:38" x14ac:dyDescent="0.2">
      <c r="A176">
        <v>9</v>
      </c>
      <c r="B176" t="s">
        <v>46</v>
      </c>
      <c r="E176" t="s">
        <v>32</v>
      </c>
      <c r="F176" t="s">
        <v>1040</v>
      </c>
      <c r="G176" t="s">
        <v>1041</v>
      </c>
      <c r="H176" t="s">
        <v>31</v>
      </c>
      <c r="I176" t="s">
        <v>1037</v>
      </c>
      <c r="J176" s="91">
        <v>149486.59</v>
      </c>
      <c r="K176" s="91">
        <v>149486.59</v>
      </c>
      <c r="L176" s="91">
        <v>149486.59</v>
      </c>
      <c r="M176" t="s">
        <v>278</v>
      </c>
      <c r="N176" t="s">
        <v>278</v>
      </c>
      <c r="O176" t="s">
        <v>1042</v>
      </c>
      <c r="P176" t="s">
        <v>1038</v>
      </c>
      <c r="Q176" t="s">
        <v>281</v>
      </c>
      <c r="R176" t="s">
        <v>282</v>
      </c>
      <c r="S176" t="s">
        <v>283</v>
      </c>
      <c r="T176" t="s">
        <v>313</v>
      </c>
      <c r="U176" t="s">
        <v>381</v>
      </c>
      <c r="V176">
        <v>101</v>
      </c>
      <c r="W176">
        <v>12015</v>
      </c>
      <c r="X176">
        <v>245011</v>
      </c>
      <c r="Y176">
        <v>9999</v>
      </c>
      <c r="Z176">
        <v>999</v>
      </c>
      <c r="AA176">
        <v>999</v>
      </c>
      <c r="AB176">
        <v>9999</v>
      </c>
      <c r="AC176">
        <v>9999</v>
      </c>
      <c r="AD176" t="s">
        <v>1</v>
      </c>
      <c r="AE176" t="s">
        <v>1039</v>
      </c>
      <c r="AF176" t="s">
        <v>227</v>
      </c>
      <c r="AG176" t="s">
        <v>286</v>
      </c>
      <c r="AI176" t="s">
        <v>227</v>
      </c>
      <c r="AJ176">
        <v>45382</v>
      </c>
      <c r="AK176" t="s">
        <v>315</v>
      </c>
      <c r="AL176" t="s">
        <v>288</v>
      </c>
    </row>
    <row r="177" spans="1:38" x14ac:dyDescent="0.2">
      <c r="A177">
        <v>40</v>
      </c>
      <c r="B177" t="s">
        <v>47</v>
      </c>
      <c r="E177" t="s">
        <v>176</v>
      </c>
      <c r="F177" t="s">
        <v>1043</v>
      </c>
      <c r="G177" t="s">
        <v>1044</v>
      </c>
      <c r="H177" t="s">
        <v>16</v>
      </c>
      <c r="I177" t="s">
        <v>1033</v>
      </c>
      <c r="J177" s="91">
        <v>510005.55</v>
      </c>
      <c r="K177" s="91">
        <v>510005.55</v>
      </c>
      <c r="L177" s="91">
        <v>510005.55</v>
      </c>
      <c r="M177" t="s">
        <v>278</v>
      </c>
      <c r="N177" t="s">
        <v>278</v>
      </c>
      <c r="O177" t="s">
        <v>1045</v>
      </c>
      <c r="P177" t="s">
        <v>280</v>
      </c>
      <c r="Q177" t="s">
        <v>281</v>
      </c>
      <c r="R177" t="s">
        <v>282</v>
      </c>
      <c r="S177" t="s">
        <v>283</v>
      </c>
      <c r="T177" t="s">
        <v>313</v>
      </c>
      <c r="U177" t="s">
        <v>923</v>
      </c>
      <c r="V177">
        <v>101</v>
      </c>
      <c r="W177">
        <v>12017</v>
      </c>
      <c r="X177">
        <v>245011</v>
      </c>
      <c r="Y177">
        <v>9999</v>
      </c>
      <c r="Z177">
        <v>999</v>
      </c>
      <c r="AA177">
        <v>999</v>
      </c>
      <c r="AB177">
        <v>9999</v>
      </c>
      <c r="AC177">
        <v>9999</v>
      </c>
      <c r="AD177" t="s">
        <v>1</v>
      </c>
      <c r="AE177" t="s">
        <v>227</v>
      </c>
      <c r="AF177" t="s">
        <v>227</v>
      </c>
      <c r="AG177" t="s">
        <v>286</v>
      </c>
      <c r="AI177" t="s">
        <v>227</v>
      </c>
      <c r="AJ177">
        <v>45351</v>
      </c>
      <c r="AK177" t="s">
        <v>287</v>
      </c>
      <c r="AL177" t="s">
        <v>288</v>
      </c>
    </row>
    <row r="178" spans="1:38" x14ac:dyDescent="0.2">
      <c r="A178">
        <v>9</v>
      </c>
      <c r="B178" t="s">
        <v>46</v>
      </c>
      <c r="E178" t="s">
        <v>176</v>
      </c>
      <c r="F178" t="s">
        <v>1046</v>
      </c>
      <c r="G178" t="s">
        <v>1047</v>
      </c>
      <c r="H178" t="s">
        <v>16</v>
      </c>
      <c r="I178" t="s">
        <v>1037</v>
      </c>
      <c r="J178" s="91">
        <v>-510005.55</v>
      </c>
      <c r="K178" s="91">
        <v>-510005.55</v>
      </c>
      <c r="L178" s="91">
        <v>-510005.55</v>
      </c>
      <c r="M178" t="s">
        <v>278</v>
      </c>
      <c r="N178" t="s">
        <v>278</v>
      </c>
      <c r="O178" t="s">
        <v>1048</v>
      </c>
      <c r="P178" t="s">
        <v>280</v>
      </c>
      <c r="Q178" t="s">
        <v>281</v>
      </c>
      <c r="R178" t="s">
        <v>282</v>
      </c>
      <c r="S178" t="s">
        <v>283</v>
      </c>
      <c r="T178" t="s">
        <v>313</v>
      </c>
      <c r="U178" t="s">
        <v>923</v>
      </c>
      <c r="V178">
        <v>101</v>
      </c>
      <c r="W178">
        <v>12017</v>
      </c>
      <c r="X178">
        <v>245011</v>
      </c>
      <c r="Y178">
        <v>9999</v>
      </c>
      <c r="Z178">
        <v>999</v>
      </c>
      <c r="AA178">
        <v>999</v>
      </c>
      <c r="AB178">
        <v>9999</v>
      </c>
      <c r="AC178">
        <v>9999</v>
      </c>
      <c r="AD178" t="s">
        <v>1</v>
      </c>
      <c r="AE178" t="s">
        <v>227</v>
      </c>
      <c r="AF178" t="s">
        <v>227</v>
      </c>
      <c r="AG178" t="s">
        <v>286</v>
      </c>
      <c r="AI178" t="s">
        <v>227</v>
      </c>
      <c r="AJ178">
        <v>45382</v>
      </c>
      <c r="AK178" t="s">
        <v>287</v>
      </c>
      <c r="AL178" t="s">
        <v>288</v>
      </c>
    </row>
    <row r="179" spans="1:38" x14ac:dyDescent="0.2">
      <c r="A179">
        <v>69</v>
      </c>
      <c r="B179" t="s">
        <v>48</v>
      </c>
      <c r="D179" t="s">
        <v>1049</v>
      </c>
      <c r="E179" t="s">
        <v>209</v>
      </c>
      <c r="F179" t="s">
        <v>1050</v>
      </c>
      <c r="G179" t="s">
        <v>1051</v>
      </c>
      <c r="H179" t="s">
        <v>17</v>
      </c>
      <c r="I179" t="s">
        <v>970</v>
      </c>
      <c r="J179" s="91">
        <v>3671109.58</v>
      </c>
      <c r="K179" s="91">
        <v>3671109.58</v>
      </c>
      <c r="L179" s="91">
        <v>3671109.58</v>
      </c>
      <c r="M179" t="s">
        <v>278</v>
      </c>
      <c r="N179" t="s">
        <v>278</v>
      </c>
      <c r="O179" t="s">
        <v>1052</v>
      </c>
      <c r="P179" t="s">
        <v>280</v>
      </c>
      <c r="Q179" t="s">
        <v>281</v>
      </c>
      <c r="R179" t="s">
        <v>282</v>
      </c>
      <c r="S179" t="s">
        <v>283</v>
      </c>
      <c r="T179" t="s">
        <v>313</v>
      </c>
      <c r="U179" t="s">
        <v>741</v>
      </c>
      <c r="V179">
        <v>101</v>
      </c>
      <c r="W179">
        <v>11024</v>
      </c>
      <c r="X179">
        <v>245011</v>
      </c>
      <c r="Y179">
        <v>9999</v>
      </c>
      <c r="Z179">
        <v>999</v>
      </c>
      <c r="AA179">
        <v>999</v>
      </c>
      <c r="AB179">
        <v>9999</v>
      </c>
      <c r="AC179">
        <v>9999</v>
      </c>
      <c r="AD179" t="s">
        <v>1</v>
      </c>
      <c r="AE179" t="s">
        <v>227</v>
      </c>
      <c r="AF179" t="s">
        <v>227</v>
      </c>
      <c r="AG179" t="s">
        <v>286</v>
      </c>
      <c r="AI179" t="s">
        <v>227</v>
      </c>
      <c r="AJ179">
        <v>45322</v>
      </c>
      <c r="AK179" t="s">
        <v>287</v>
      </c>
      <c r="AL179" t="s">
        <v>288</v>
      </c>
    </row>
    <row r="180" spans="1:38" x14ac:dyDescent="0.2">
      <c r="A180">
        <v>40</v>
      </c>
      <c r="B180" t="s">
        <v>47</v>
      </c>
      <c r="D180" t="s">
        <v>1049</v>
      </c>
      <c r="E180" t="s">
        <v>209</v>
      </c>
      <c r="F180" t="s">
        <v>1053</v>
      </c>
      <c r="G180" t="s">
        <v>1054</v>
      </c>
      <c r="H180" t="s">
        <v>17</v>
      </c>
      <c r="I180" t="s">
        <v>1033</v>
      </c>
      <c r="J180" s="91">
        <v>-1595554.79</v>
      </c>
      <c r="K180" s="91">
        <v>-1595554.79</v>
      </c>
      <c r="L180" s="91">
        <v>-1595554.79</v>
      </c>
      <c r="M180" t="s">
        <v>278</v>
      </c>
      <c r="N180" t="s">
        <v>278</v>
      </c>
      <c r="O180" t="s">
        <v>1055</v>
      </c>
      <c r="P180" t="s">
        <v>280</v>
      </c>
      <c r="Q180" t="s">
        <v>281</v>
      </c>
      <c r="R180" t="s">
        <v>282</v>
      </c>
      <c r="S180" t="s">
        <v>283</v>
      </c>
      <c r="T180" t="s">
        <v>313</v>
      </c>
      <c r="U180" t="s">
        <v>741</v>
      </c>
      <c r="V180">
        <v>101</v>
      </c>
      <c r="W180">
        <v>11024</v>
      </c>
      <c r="X180">
        <v>245011</v>
      </c>
      <c r="Y180">
        <v>9999</v>
      </c>
      <c r="Z180">
        <v>999</v>
      </c>
      <c r="AA180">
        <v>999</v>
      </c>
      <c r="AB180">
        <v>9999</v>
      </c>
      <c r="AC180">
        <v>9999</v>
      </c>
      <c r="AD180" t="s">
        <v>1</v>
      </c>
      <c r="AE180" t="s">
        <v>227</v>
      </c>
      <c r="AF180" t="s">
        <v>227</v>
      </c>
      <c r="AG180" t="s">
        <v>286</v>
      </c>
      <c r="AI180" t="s">
        <v>227</v>
      </c>
      <c r="AJ180">
        <v>45351</v>
      </c>
      <c r="AK180" t="s">
        <v>287</v>
      </c>
      <c r="AL180" t="s">
        <v>288</v>
      </c>
    </row>
    <row r="181" spans="1:38" x14ac:dyDescent="0.2">
      <c r="A181">
        <v>46</v>
      </c>
      <c r="B181" t="s">
        <v>47</v>
      </c>
      <c r="D181" t="s">
        <v>1049</v>
      </c>
      <c r="E181" t="s">
        <v>209</v>
      </c>
      <c r="F181" t="s">
        <v>1056</v>
      </c>
      <c r="G181" t="s">
        <v>1056</v>
      </c>
      <c r="H181" t="s">
        <v>17</v>
      </c>
      <c r="I181" t="s">
        <v>1033</v>
      </c>
      <c r="J181" s="91">
        <v>-480000</v>
      </c>
      <c r="K181" s="91">
        <v>-480000</v>
      </c>
      <c r="L181" s="91">
        <v>-480000</v>
      </c>
      <c r="M181" t="s">
        <v>278</v>
      </c>
      <c r="N181" t="s">
        <v>278</v>
      </c>
      <c r="O181" t="s">
        <v>1056</v>
      </c>
      <c r="P181" t="s">
        <v>1057</v>
      </c>
      <c r="Q181" t="s">
        <v>281</v>
      </c>
      <c r="R181" t="s">
        <v>282</v>
      </c>
      <c r="S181" t="s">
        <v>283</v>
      </c>
      <c r="T181" t="s">
        <v>313</v>
      </c>
      <c r="U181" t="s">
        <v>741</v>
      </c>
      <c r="V181">
        <v>101</v>
      </c>
      <c r="W181">
        <v>11024</v>
      </c>
      <c r="X181">
        <v>245011</v>
      </c>
      <c r="Y181">
        <v>9999</v>
      </c>
      <c r="Z181">
        <v>999</v>
      </c>
      <c r="AA181">
        <v>999</v>
      </c>
      <c r="AB181">
        <v>9999</v>
      </c>
      <c r="AC181">
        <v>9999</v>
      </c>
      <c r="AD181" t="s">
        <v>1</v>
      </c>
      <c r="AE181" t="s">
        <v>227</v>
      </c>
      <c r="AF181" t="s">
        <v>227</v>
      </c>
      <c r="AG181" t="s">
        <v>286</v>
      </c>
      <c r="AI181" t="s">
        <v>227</v>
      </c>
      <c r="AJ181">
        <v>45345</v>
      </c>
      <c r="AK181" t="s">
        <v>328</v>
      </c>
      <c r="AL181" t="s">
        <v>288</v>
      </c>
    </row>
    <row r="182" spans="1:38" x14ac:dyDescent="0.2">
      <c r="A182">
        <v>27</v>
      </c>
      <c r="B182" t="s">
        <v>46</v>
      </c>
      <c r="D182" t="s">
        <v>1049</v>
      </c>
      <c r="E182" t="s">
        <v>209</v>
      </c>
      <c r="F182" t="s">
        <v>1058</v>
      </c>
      <c r="G182" t="s">
        <v>1059</v>
      </c>
      <c r="H182" t="s">
        <v>17</v>
      </c>
      <c r="I182" t="s">
        <v>1037</v>
      </c>
      <c r="J182" s="91">
        <v>-1595554.79</v>
      </c>
      <c r="K182" s="91">
        <v>-1595554.79</v>
      </c>
      <c r="L182" s="91">
        <v>-1595554.79</v>
      </c>
      <c r="M182" t="s">
        <v>278</v>
      </c>
      <c r="N182" t="s">
        <v>278</v>
      </c>
      <c r="O182" t="s">
        <v>1060</v>
      </c>
      <c r="P182" t="s">
        <v>280</v>
      </c>
      <c r="Q182" t="s">
        <v>281</v>
      </c>
      <c r="R182" t="s">
        <v>282</v>
      </c>
      <c r="S182" t="s">
        <v>283</v>
      </c>
      <c r="T182" t="s">
        <v>313</v>
      </c>
      <c r="U182" t="s">
        <v>741</v>
      </c>
      <c r="V182">
        <v>101</v>
      </c>
      <c r="W182">
        <v>11024</v>
      </c>
      <c r="X182">
        <v>245011</v>
      </c>
      <c r="Y182">
        <v>9999</v>
      </c>
      <c r="Z182">
        <v>999</v>
      </c>
      <c r="AA182">
        <v>999</v>
      </c>
      <c r="AB182">
        <v>9999</v>
      </c>
      <c r="AC182">
        <v>9999</v>
      </c>
      <c r="AD182" t="s">
        <v>1</v>
      </c>
      <c r="AE182" t="s">
        <v>227</v>
      </c>
      <c r="AF182" t="s">
        <v>227</v>
      </c>
      <c r="AG182" t="s">
        <v>286</v>
      </c>
      <c r="AI182" t="s">
        <v>227</v>
      </c>
      <c r="AJ182">
        <v>45364</v>
      </c>
      <c r="AK182" t="s">
        <v>287</v>
      </c>
      <c r="AL182" t="s">
        <v>288</v>
      </c>
    </row>
    <row r="183" spans="1:38" x14ac:dyDescent="0.2">
      <c r="A183">
        <v>40</v>
      </c>
      <c r="B183" t="s">
        <v>47</v>
      </c>
      <c r="D183" t="s">
        <v>215</v>
      </c>
      <c r="E183" t="s">
        <v>68</v>
      </c>
      <c r="F183" t="s">
        <v>1061</v>
      </c>
      <c r="G183" t="s">
        <v>1062</v>
      </c>
      <c r="H183" t="s">
        <v>222</v>
      </c>
      <c r="I183" t="s">
        <v>1033</v>
      </c>
      <c r="J183" s="91">
        <v>297289.89</v>
      </c>
      <c r="K183" s="91">
        <v>297289.89</v>
      </c>
      <c r="L183" s="91">
        <v>297289.89</v>
      </c>
      <c r="M183" t="s">
        <v>278</v>
      </c>
      <c r="N183" t="s">
        <v>278</v>
      </c>
      <c r="O183" t="s">
        <v>215</v>
      </c>
      <c r="P183" t="s">
        <v>280</v>
      </c>
      <c r="Q183" t="s">
        <v>281</v>
      </c>
      <c r="R183" t="s">
        <v>282</v>
      </c>
      <c r="S183" t="s">
        <v>283</v>
      </c>
      <c r="T183" t="s">
        <v>284</v>
      </c>
      <c r="U183" t="s">
        <v>547</v>
      </c>
      <c r="V183">
        <v>101</v>
      </c>
      <c r="W183">
        <v>12022</v>
      </c>
      <c r="X183">
        <v>245011</v>
      </c>
      <c r="Y183">
        <v>9999</v>
      </c>
      <c r="Z183">
        <v>999</v>
      </c>
      <c r="AA183">
        <v>999</v>
      </c>
      <c r="AB183">
        <v>9999</v>
      </c>
      <c r="AC183">
        <v>9999</v>
      </c>
      <c r="AD183" t="s">
        <v>1</v>
      </c>
      <c r="AE183" t="s">
        <v>227</v>
      </c>
      <c r="AF183" t="s">
        <v>227</v>
      </c>
      <c r="AG183" t="s">
        <v>286</v>
      </c>
      <c r="AI183" t="s">
        <v>227</v>
      </c>
      <c r="AJ183">
        <v>45351</v>
      </c>
      <c r="AK183" t="s">
        <v>287</v>
      </c>
      <c r="AL183" t="s">
        <v>288</v>
      </c>
    </row>
    <row r="184" spans="1:38" x14ac:dyDescent="0.2">
      <c r="A184">
        <v>34</v>
      </c>
      <c r="B184" t="s">
        <v>47</v>
      </c>
      <c r="E184" t="s">
        <v>68</v>
      </c>
      <c r="F184" t="s">
        <v>1063</v>
      </c>
      <c r="G184" t="s">
        <v>1064</v>
      </c>
      <c r="H184" t="s">
        <v>222</v>
      </c>
      <c r="I184" t="s">
        <v>1037</v>
      </c>
      <c r="J184" s="91">
        <v>-297289.89</v>
      </c>
      <c r="K184" s="91">
        <v>-297289.89</v>
      </c>
      <c r="L184" s="91">
        <v>-297289.89</v>
      </c>
      <c r="M184" t="s">
        <v>278</v>
      </c>
      <c r="N184" t="s">
        <v>278</v>
      </c>
      <c r="O184" t="s">
        <v>1065</v>
      </c>
      <c r="P184" t="s">
        <v>280</v>
      </c>
      <c r="Q184" t="s">
        <v>281</v>
      </c>
      <c r="R184" t="s">
        <v>282</v>
      </c>
      <c r="S184" t="s">
        <v>283</v>
      </c>
      <c r="T184" t="s">
        <v>284</v>
      </c>
      <c r="U184" t="s">
        <v>547</v>
      </c>
      <c r="V184">
        <v>101</v>
      </c>
      <c r="W184">
        <v>12022</v>
      </c>
      <c r="X184">
        <v>245011</v>
      </c>
      <c r="Y184">
        <v>9999</v>
      </c>
      <c r="Z184">
        <v>999</v>
      </c>
      <c r="AA184">
        <v>999</v>
      </c>
      <c r="AB184">
        <v>9999</v>
      </c>
      <c r="AC184">
        <v>9999</v>
      </c>
      <c r="AD184" t="s">
        <v>1</v>
      </c>
      <c r="AE184" t="s">
        <v>227</v>
      </c>
      <c r="AF184" t="s">
        <v>227</v>
      </c>
      <c r="AG184" t="s">
        <v>286</v>
      </c>
      <c r="AI184" t="s">
        <v>227</v>
      </c>
      <c r="AJ184">
        <v>45357</v>
      </c>
      <c r="AK184" t="s">
        <v>287</v>
      </c>
      <c r="AL184" t="s">
        <v>288</v>
      </c>
    </row>
    <row r="185" spans="1:38" x14ac:dyDescent="0.2">
      <c r="A185">
        <v>496</v>
      </c>
      <c r="B185" t="s">
        <v>54</v>
      </c>
      <c r="D185" t="s">
        <v>86</v>
      </c>
      <c r="E185" t="s">
        <v>39</v>
      </c>
      <c r="F185" t="s">
        <v>1066</v>
      </c>
      <c r="G185" t="s">
        <v>1067</v>
      </c>
      <c r="H185" t="s">
        <v>221</v>
      </c>
      <c r="I185" t="s">
        <v>488</v>
      </c>
      <c r="J185" s="91">
        <v>-41798.400000000001</v>
      </c>
      <c r="K185" s="91">
        <v>-41798.400000000001</v>
      </c>
      <c r="L185" s="91">
        <v>-41798.400000000001</v>
      </c>
      <c r="M185" t="s">
        <v>278</v>
      </c>
      <c r="N185" t="s">
        <v>278</v>
      </c>
      <c r="O185" t="s">
        <v>1068</v>
      </c>
      <c r="P185" t="s">
        <v>280</v>
      </c>
      <c r="Q185" t="s">
        <v>281</v>
      </c>
      <c r="R185" t="s">
        <v>282</v>
      </c>
      <c r="S185" t="s">
        <v>283</v>
      </c>
      <c r="T185" t="s">
        <v>366</v>
      </c>
      <c r="U185" t="s">
        <v>733</v>
      </c>
      <c r="V185">
        <v>101</v>
      </c>
      <c r="W185">
        <v>12013</v>
      </c>
      <c r="X185">
        <v>245011</v>
      </c>
      <c r="Y185">
        <v>9999</v>
      </c>
      <c r="Z185">
        <v>999</v>
      </c>
      <c r="AA185">
        <v>999</v>
      </c>
      <c r="AB185">
        <v>9999</v>
      </c>
      <c r="AC185">
        <v>9999</v>
      </c>
      <c r="AD185" t="s">
        <v>1</v>
      </c>
      <c r="AE185" t="s">
        <v>227</v>
      </c>
      <c r="AF185" t="s">
        <v>227</v>
      </c>
      <c r="AG185" t="s">
        <v>286</v>
      </c>
      <c r="AI185" t="s">
        <v>227</v>
      </c>
      <c r="AJ185">
        <v>44895</v>
      </c>
      <c r="AK185" t="s">
        <v>287</v>
      </c>
      <c r="AL185" t="s">
        <v>288</v>
      </c>
    </row>
    <row r="186" spans="1:38" x14ac:dyDescent="0.2">
      <c r="A186">
        <v>26</v>
      </c>
      <c r="B186" t="s">
        <v>46</v>
      </c>
      <c r="E186" t="s">
        <v>39</v>
      </c>
      <c r="F186" t="s">
        <v>1069</v>
      </c>
      <c r="G186" t="s">
        <v>1070</v>
      </c>
      <c r="H186" t="s">
        <v>221</v>
      </c>
      <c r="I186" t="s">
        <v>1037</v>
      </c>
      <c r="J186" s="91">
        <v>41798.400000000001</v>
      </c>
      <c r="K186" s="91">
        <v>41798.400000000001</v>
      </c>
      <c r="L186" s="91">
        <v>41798.400000000001</v>
      </c>
      <c r="M186" t="s">
        <v>278</v>
      </c>
      <c r="N186" t="s">
        <v>278</v>
      </c>
      <c r="O186" t="s">
        <v>1071</v>
      </c>
      <c r="P186" t="s">
        <v>280</v>
      </c>
      <c r="Q186" t="s">
        <v>281</v>
      </c>
      <c r="R186" t="s">
        <v>282</v>
      </c>
      <c r="S186" t="s">
        <v>283</v>
      </c>
      <c r="T186" t="s">
        <v>366</v>
      </c>
      <c r="U186" t="s">
        <v>733</v>
      </c>
      <c r="V186">
        <v>101</v>
      </c>
      <c r="W186">
        <v>12013</v>
      </c>
      <c r="X186">
        <v>245011</v>
      </c>
      <c r="Y186">
        <v>9999</v>
      </c>
      <c r="Z186">
        <v>999</v>
      </c>
      <c r="AA186">
        <v>999</v>
      </c>
      <c r="AB186">
        <v>9999</v>
      </c>
      <c r="AC186">
        <v>9999</v>
      </c>
      <c r="AD186" t="s">
        <v>1</v>
      </c>
      <c r="AE186" t="s">
        <v>227</v>
      </c>
      <c r="AF186" t="s">
        <v>227</v>
      </c>
      <c r="AG186" t="s">
        <v>286</v>
      </c>
      <c r="AI186" t="s">
        <v>227</v>
      </c>
      <c r="AJ186">
        <v>45365</v>
      </c>
      <c r="AK186" t="s">
        <v>287</v>
      </c>
      <c r="AL186" t="s">
        <v>288</v>
      </c>
    </row>
    <row r="187" spans="1:38" x14ac:dyDescent="0.2">
      <c r="A187">
        <v>140</v>
      </c>
      <c r="B187" t="s">
        <v>50</v>
      </c>
      <c r="D187" t="s">
        <v>1072</v>
      </c>
      <c r="E187" t="s">
        <v>35</v>
      </c>
      <c r="F187" t="s">
        <v>1073</v>
      </c>
      <c r="G187" t="s">
        <v>1074</v>
      </c>
      <c r="H187" t="s">
        <v>571</v>
      </c>
      <c r="I187" t="s">
        <v>907</v>
      </c>
      <c r="J187" s="91">
        <v>-128000</v>
      </c>
      <c r="K187" s="91">
        <v>-128000</v>
      </c>
      <c r="L187" s="91">
        <v>-128000</v>
      </c>
      <c r="M187" t="s">
        <v>278</v>
      </c>
      <c r="N187" t="s">
        <v>278</v>
      </c>
      <c r="O187" t="s">
        <v>1075</v>
      </c>
      <c r="P187" t="s">
        <v>280</v>
      </c>
      <c r="Q187" t="s">
        <v>281</v>
      </c>
      <c r="R187" t="s">
        <v>282</v>
      </c>
      <c r="S187" t="s">
        <v>283</v>
      </c>
      <c r="T187" t="s">
        <v>366</v>
      </c>
      <c r="U187" t="s">
        <v>490</v>
      </c>
      <c r="V187">
        <v>101</v>
      </c>
      <c r="W187">
        <v>11010</v>
      </c>
      <c r="X187">
        <v>245011</v>
      </c>
      <c r="Y187">
        <v>9999</v>
      </c>
      <c r="Z187">
        <v>999</v>
      </c>
      <c r="AA187">
        <v>999</v>
      </c>
      <c r="AB187">
        <v>9999</v>
      </c>
      <c r="AC187">
        <v>9999</v>
      </c>
      <c r="AD187" t="s">
        <v>1</v>
      </c>
      <c r="AE187" t="s">
        <v>227</v>
      </c>
      <c r="AF187" t="s">
        <v>227</v>
      </c>
      <c r="AG187" t="s">
        <v>286</v>
      </c>
      <c r="AI187" t="s">
        <v>227</v>
      </c>
      <c r="AJ187">
        <v>45251</v>
      </c>
      <c r="AK187" t="s">
        <v>287</v>
      </c>
      <c r="AL187" t="s">
        <v>288</v>
      </c>
    </row>
    <row r="188" spans="1:38" x14ac:dyDescent="0.2">
      <c r="A188">
        <v>132</v>
      </c>
      <c r="B188" t="s">
        <v>50</v>
      </c>
      <c r="D188" t="s">
        <v>1072</v>
      </c>
      <c r="E188" t="s">
        <v>35</v>
      </c>
      <c r="F188" s="85" t="s">
        <v>1076</v>
      </c>
      <c r="G188" t="s">
        <v>1077</v>
      </c>
      <c r="H188" t="s">
        <v>571</v>
      </c>
      <c r="I188" t="s">
        <v>508</v>
      </c>
      <c r="J188" s="91">
        <v>128000</v>
      </c>
      <c r="K188" s="91">
        <v>128000</v>
      </c>
      <c r="L188" s="91">
        <v>128000</v>
      </c>
      <c r="M188" t="s">
        <v>278</v>
      </c>
      <c r="N188" t="s">
        <v>278</v>
      </c>
      <c r="O188" t="s">
        <v>83</v>
      </c>
      <c r="P188" t="s">
        <v>280</v>
      </c>
      <c r="Q188" t="s">
        <v>281</v>
      </c>
      <c r="R188" t="s">
        <v>282</v>
      </c>
      <c r="S188" t="s">
        <v>283</v>
      </c>
      <c r="T188" t="s">
        <v>366</v>
      </c>
      <c r="U188" t="s">
        <v>490</v>
      </c>
      <c r="V188">
        <v>101</v>
      </c>
      <c r="W188">
        <v>11010</v>
      </c>
      <c r="X188">
        <v>245011</v>
      </c>
      <c r="Y188">
        <v>9999</v>
      </c>
      <c r="Z188">
        <v>999</v>
      </c>
      <c r="AA188">
        <v>999</v>
      </c>
      <c r="AB188">
        <v>9999</v>
      </c>
      <c r="AC188">
        <v>9999</v>
      </c>
      <c r="AD188" t="s">
        <v>1</v>
      </c>
      <c r="AE188" t="s">
        <v>227</v>
      </c>
      <c r="AF188" t="s">
        <v>227</v>
      </c>
      <c r="AG188" t="s">
        <v>286</v>
      </c>
      <c r="AI188" t="s">
        <v>227</v>
      </c>
      <c r="AJ188">
        <v>44985</v>
      </c>
      <c r="AK188" t="s">
        <v>287</v>
      </c>
      <c r="AL188" t="s">
        <v>288</v>
      </c>
    </row>
    <row r="189" spans="1:38" x14ac:dyDescent="0.2">
      <c r="A189" s="116">
        <v>192</v>
      </c>
      <c r="B189" s="112" t="s">
        <v>559</v>
      </c>
      <c r="C189" s="112"/>
      <c r="D189" s="112" t="s">
        <v>1078</v>
      </c>
      <c r="E189" s="112" t="s">
        <v>219</v>
      </c>
      <c r="F189" s="112" t="s">
        <v>1079</v>
      </c>
      <c r="G189" s="112" t="s">
        <v>1080</v>
      </c>
      <c r="H189" s="112" t="s">
        <v>27</v>
      </c>
      <c r="I189" s="112" t="s">
        <v>880</v>
      </c>
      <c r="J189" s="114">
        <v>-771663.59</v>
      </c>
      <c r="K189" s="114">
        <v>-771663.59</v>
      </c>
      <c r="L189" s="114">
        <v>-771663.59</v>
      </c>
      <c r="M189" s="112" t="s">
        <v>278</v>
      </c>
      <c r="N189" s="112" t="s">
        <v>278</v>
      </c>
      <c r="O189" s="112" t="s">
        <v>1081</v>
      </c>
      <c r="P189" s="112" t="s">
        <v>280</v>
      </c>
      <c r="Q189" s="112" t="s">
        <v>281</v>
      </c>
      <c r="R189" s="112" t="s">
        <v>282</v>
      </c>
      <c r="S189" s="112" t="s">
        <v>283</v>
      </c>
      <c r="T189" s="112" t="s">
        <v>313</v>
      </c>
      <c r="U189" s="112" t="s">
        <v>1082</v>
      </c>
      <c r="V189" s="112">
        <v>101</v>
      </c>
      <c r="W189" s="112">
        <v>12001</v>
      </c>
      <c r="X189" s="112">
        <v>245011</v>
      </c>
      <c r="Y189" s="112">
        <v>9999</v>
      </c>
      <c r="Z189" s="112">
        <v>999</v>
      </c>
      <c r="AA189" s="112">
        <v>999</v>
      </c>
      <c r="AB189" s="112">
        <v>9999</v>
      </c>
      <c r="AC189" s="112">
        <v>9999</v>
      </c>
      <c r="AD189" s="112" t="s">
        <v>1</v>
      </c>
      <c r="AE189" s="112" t="s">
        <v>227</v>
      </c>
      <c r="AF189" s="112" t="s">
        <v>227</v>
      </c>
      <c r="AG189" s="112" t="s">
        <v>286</v>
      </c>
      <c r="AH189" s="112"/>
      <c r="AI189" s="112" t="s">
        <v>227</v>
      </c>
      <c r="AJ189" s="112">
        <v>45230</v>
      </c>
      <c r="AK189" s="112" t="s">
        <v>287</v>
      </c>
      <c r="AL189" s="112" t="s">
        <v>288</v>
      </c>
    </row>
    <row r="190" spans="1:38" x14ac:dyDescent="0.2">
      <c r="A190" s="116">
        <v>131</v>
      </c>
      <c r="B190" s="112" t="s">
        <v>50</v>
      </c>
      <c r="C190" s="112"/>
      <c r="D190" s="112" t="s">
        <v>1083</v>
      </c>
      <c r="E190" s="112" t="s">
        <v>32</v>
      </c>
      <c r="F190" s="112" t="s">
        <v>1084</v>
      </c>
      <c r="G190" s="112" t="s">
        <v>1084</v>
      </c>
      <c r="H190" s="112" t="s">
        <v>218</v>
      </c>
      <c r="I190" s="112" t="s">
        <v>926</v>
      </c>
      <c r="J190" s="114">
        <v>235689.25</v>
      </c>
      <c r="K190" s="114">
        <v>235689.25</v>
      </c>
      <c r="L190" s="114">
        <v>235689.25</v>
      </c>
      <c r="M190" s="112" t="s">
        <v>278</v>
      </c>
      <c r="N190" s="112" t="s">
        <v>278</v>
      </c>
      <c r="O190" s="112" t="s">
        <v>1085</v>
      </c>
      <c r="P190" s="112" t="s">
        <v>1085</v>
      </c>
      <c r="Q190" s="112" t="s">
        <v>281</v>
      </c>
      <c r="R190" s="112" t="s">
        <v>282</v>
      </c>
      <c r="S190" s="112" t="s">
        <v>283</v>
      </c>
      <c r="T190" s="112" t="s">
        <v>313</v>
      </c>
      <c r="U190" s="112" t="s">
        <v>1086</v>
      </c>
      <c r="V190" s="112">
        <v>101</v>
      </c>
      <c r="W190" s="112">
        <v>12015</v>
      </c>
      <c r="X190" s="112">
        <v>245011</v>
      </c>
      <c r="Y190" s="112">
        <v>9999</v>
      </c>
      <c r="Z190" s="112">
        <v>950</v>
      </c>
      <c r="AA190" s="112">
        <v>999</v>
      </c>
      <c r="AB190" s="112">
        <v>9999</v>
      </c>
      <c r="AC190" s="112">
        <v>9999</v>
      </c>
      <c r="AD190" s="112" t="s">
        <v>1</v>
      </c>
      <c r="AE190" s="112" t="s">
        <v>1039</v>
      </c>
      <c r="AF190" s="112" t="s">
        <v>227</v>
      </c>
      <c r="AG190" s="112" t="s">
        <v>286</v>
      </c>
      <c r="AH190" s="112"/>
      <c r="AI190" s="112" t="s">
        <v>227</v>
      </c>
      <c r="AJ190" s="112">
        <v>45291</v>
      </c>
      <c r="AK190" s="112" t="s">
        <v>328</v>
      </c>
      <c r="AL190" s="112" t="s">
        <v>288</v>
      </c>
    </row>
    <row r="191" spans="1:38" x14ac:dyDescent="0.2">
      <c r="A191" s="116">
        <v>71</v>
      </c>
      <c r="B191" s="112" t="s">
        <v>48</v>
      </c>
      <c r="C191" s="112"/>
      <c r="D191" s="112" t="s">
        <v>211</v>
      </c>
      <c r="E191" s="112" t="s">
        <v>11</v>
      </c>
      <c r="F191" s="112" t="s">
        <v>1087</v>
      </c>
      <c r="G191" s="112" t="s">
        <v>1087</v>
      </c>
      <c r="H191" s="112" t="s">
        <v>27</v>
      </c>
      <c r="I191" s="112" t="s">
        <v>1033</v>
      </c>
      <c r="J191" s="114">
        <v>-2331.12</v>
      </c>
      <c r="K191" s="114">
        <v>-2331.12</v>
      </c>
      <c r="L191" s="114">
        <v>-2331.12</v>
      </c>
      <c r="M191" s="112" t="s">
        <v>278</v>
      </c>
      <c r="N191" s="112" t="s">
        <v>278</v>
      </c>
      <c r="O191" s="112" t="s">
        <v>211</v>
      </c>
      <c r="P191" s="112" t="s">
        <v>211</v>
      </c>
      <c r="Q191" s="112" t="s">
        <v>281</v>
      </c>
      <c r="R191" s="112" t="s">
        <v>282</v>
      </c>
      <c r="S191" s="112" t="s">
        <v>283</v>
      </c>
      <c r="T191" s="112" t="s">
        <v>284</v>
      </c>
      <c r="U191" s="112" t="s">
        <v>334</v>
      </c>
      <c r="V191" s="112">
        <v>101</v>
      </c>
      <c r="W191" s="112">
        <v>12012</v>
      </c>
      <c r="X191" s="112">
        <v>245011</v>
      </c>
      <c r="Y191" s="112">
        <v>9999</v>
      </c>
      <c r="Z191" s="112">
        <v>950</v>
      </c>
      <c r="AA191" s="112">
        <v>999</v>
      </c>
      <c r="AB191" s="112">
        <v>9999</v>
      </c>
      <c r="AC191" s="112">
        <v>9999</v>
      </c>
      <c r="AD191" s="112" t="s">
        <v>1</v>
      </c>
      <c r="AE191" s="112" t="s">
        <v>1088</v>
      </c>
      <c r="AF191" s="112" t="s">
        <v>227</v>
      </c>
      <c r="AG191" s="112" t="s">
        <v>286</v>
      </c>
      <c r="AH191" s="112"/>
      <c r="AI191" s="112" t="s">
        <v>227</v>
      </c>
      <c r="AJ191" s="112">
        <v>45351</v>
      </c>
      <c r="AK191" s="112" t="s">
        <v>328</v>
      </c>
      <c r="AL191" s="112" t="s">
        <v>288</v>
      </c>
    </row>
    <row r="192" spans="1:38" x14ac:dyDescent="0.2">
      <c r="A192" s="116">
        <v>40</v>
      </c>
      <c r="B192" s="112" t="s">
        <v>47</v>
      </c>
      <c r="C192" s="112"/>
      <c r="D192" s="112" t="s">
        <v>1089</v>
      </c>
      <c r="E192" s="112" t="s">
        <v>38</v>
      </c>
      <c r="F192" s="112" t="s">
        <v>1090</v>
      </c>
      <c r="G192" s="112" t="s">
        <v>1090</v>
      </c>
      <c r="H192" s="112" t="s">
        <v>16</v>
      </c>
      <c r="I192" s="112" t="s">
        <v>1037</v>
      </c>
      <c r="J192" s="114">
        <v>97752</v>
      </c>
      <c r="K192" s="114">
        <v>97752</v>
      </c>
      <c r="L192" s="114">
        <v>97752</v>
      </c>
      <c r="M192" s="112" t="s">
        <v>278</v>
      </c>
      <c r="N192" s="112" t="s">
        <v>278</v>
      </c>
      <c r="O192" s="112" t="s">
        <v>1091</v>
      </c>
      <c r="P192" s="112" t="s">
        <v>227</v>
      </c>
      <c r="Q192" s="112" t="s">
        <v>281</v>
      </c>
      <c r="R192" s="112" t="s">
        <v>282</v>
      </c>
      <c r="S192" s="112" t="s">
        <v>283</v>
      </c>
      <c r="T192" s="112" t="s">
        <v>313</v>
      </c>
      <c r="U192" s="112" t="s">
        <v>443</v>
      </c>
      <c r="V192" s="112">
        <v>101</v>
      </c>
      <c r="W192" s="112">
        <v>11023</v>
      </c>
      <c r="X192" s="112">
        <v>245011</v>
      </c>
      <c r="Y192" s="112">
        <v>9999</v>
      </c>
      <c r="Z192" s="112">
        <v>999</v>
      </c>
      <c r="AA192" s="112">
        <v>999</v>
      </c>
      <c r="AB192" s="112">
        <v>9999</v>
      </c>
      <c r="AC192" s="112">
        <v>9999</v>
      </c>
      <c r="AD192" s="112" t="s">
        <v>1</v>
      </c>
      <c r="AE192" s="112" t="s">
        <v>227</v>
      </c>
      <c r="AF192" s="112" t="s">
        <v>227</v>
      </c>
      <c r="AG192" s="112" t="s">
        <v>286</v>
      </c>
      <c r="AH192" s="112"/>
      <c r="AI192" s="112" t="s">
        <v>227</v>
      </c>
      <c r="AJ192" s="112">
        <v>45382</v>
      </c>
      <c r="AK192" s="112" t="s">
        <v>328</v>
      </c>
      <c r="AL192" s="112" t="s">
        <v>288</v>
      </c>
    </row>
    <row r="193" spans="1:38" x14ac:dyDescent="0.2">
      <c r="A193" s="116">
        <v>40</v>
      </c>
      <c r="B193" s="112" t="s">
        <v>47</v>
      </c>
      <c r="C193" s="112"/>
      <c r="D193" s="112" t="s">
        <v>1092</v>
      </c>
      <c r="E193" s="112" t="s">
        <v>73</v>
      </c>
      <c r="F193" s="112" t="s">
        <v>1093</v>
      </c>
      <c r="G193" s="112" t="s">
        <v>1094</v>
      </c>
      <c r="H193" s="112" t="s">
        <v>12</v>
      </c>
      <c r="I193" s="112" t="s">
        <v>1037</v>
      </c>
      <c r="J193" s="114">
        <v>-12303.04</v>
      </c>
      <c r="K193" s="114">
        <v>-12303.04</v>
      </c>
      <c r="L193" s="114">
        <v>-12303.04</v>
      </c>
      <c r="M193" s="112" t="s">
        <v>278</v>
      </c>
      <c r="N193" s="112" t="s">
        <v>278</v>
      </c>
      <c r="O193" s="112" t="s">
        <v>1095</v>
      </c>
      <c r="P193" s="112" t="s">
        <v>280</v>
      </c>
      <c r="Q193" s="112" t="s">
        <v>281</v>
      </c>
      <c r="R193" s="112" t="s">
        <v>282</v>
      </c>
      <c r="S193" s="112" t="s">
        <v>283</v>
      </c>
      <c r="T193" s="112" t="s">
        <v>366</v>
      </c>
      <c r="U193" s="112" t="s">
        <v>1096</v>
      </c>
      <c r="V193" s="112">
        <v>101</v>
      </c>
      <c r="W193" s="112">
        <v>12021</v>
      </c>
      <c r="X193" s="112">
        <v>245011</v>
      </c>
      <c r="Y193" s="112">
        <v>9999</v>
      </c>
      <c r="Z193" s="112">
        <v>204</v>
      </c>
      <c r="AA193" s="112">
        <v>999</v>
      </c>
      <c r="AB193" s="112">
        <v>9999</v>
      </c>
      <c r="AC193" s="112">
        <v>9999</v>
      </c>
      <c r="AD193" s="112" t="s">
        <v>1</v>
      </c>
      <c r="AE193" s="112" t="s">
        <v>1097</v>
      </c>
      <c r="AF193" s="112" t="s">
        <v>227</v>
      </c>
      <c r="AG193" s="112" t="s">
        <v>286</v>
      </c>
      <c r="AH193" s="112"/>
      <c r="AI193" s="112" t="s">
        <v>227</v>
      </c>
      <c r="AJ193" s="112">
        <v>45382</v>
      </c>
      <c r="AK193" s="112" t="s">
        <v>315</v>
      </c>
      <c r="AL193" s="112" t="s">
        <v>288</v>
      </c>
    </row>
    <row r="194" spans="1:38" x14ac:dyDescent="0.2">
      <c r="A194" s="116">
        <v>40</v>
      </c>
      <c r="B194" s="112" t="s">
        <v>47</v>
      </c>
      <c r="C194" s="112"/>
      <c r="D194" s="112" t="s">
        <v>1038</v>
      </c>
      <c r="E194" s="112" t="s">
        <v>32</v>
      </c>
      <c r="F194" s="112" t="s">
        <v>1098</v>
      </c>
      <c r="G194" s="112" t="s">
        <v>1099</v>
      </c>
      <c r="H194" s="112" t="s">
        <v>31</v>
      </c>
      <c r="I194" s="112" t="s">
        <v>1037</v>
      </c>
      <c r="J194" s="114">
        <v>149486.59</v>
      </c>
      <c r="K194" s="114">
        <v>149486.59</v>
      </c>
      <c r="L194" s="114">
        <v>149486.59</v>
      </c>
      <c r="M194" s="112" t="s">
        <v>278</v>
      </c>
      <c r="N194" s="112" t="s">
        <v>278</v>
      </c>
      <c r="O194" s="112" t="s">
        <v>1038</v>
      </c>
      <c r="P194" s="112" t="s">
        <v>1038</v>
      </c>
      <c r="Q194" s="112" t="s">
        <v>281</v>
      </c>
      <c r="R194" s="112" t="s">
        <v>282</v>
      </c>
      <c r="S194" s="112" t="s">
        <v>283</v>
      </c>
      <c r="T194" s="112" t="s">
        <v>313</v>
      </c>
      <c r="U194" s="112" t="s">
        <v>381</v>
      </c>
      <c r="V194" s="112">
        <v>101</v>
      </c>
      <c r="W194" s="112">
        <v>12015</v>
      </c>
      <c r="X194" s="112">
        <v>245011</v>
      </c>
      <c r="Y194" s="112">
        <v>9999</v>
      </c>
      <c r="Z194" s="112">
        <v>999</v>
      </c>
      <c r="AA194" s="112">
        <v>999</v>
      </c>
      <c r="AB194" s="112">
        <v>9999</v>
      </c>
      <c r="AC194" s="112">
        <v>9999</v>
      </c>
      <c r="AD194" s="112" t="s">
        <v>1</v>
      </c>
      <c r="AE194" s="112" t="s">
        <v>1039</v>
      </c>
      <c r="AF194" s="112" t="s">
        <v>227</v>
      </c>
      <c r="AG194" s="112" t="s">
        <v>286</v>
      </c>
      <c r="AH194" s="112"/>
      <c r="AI194" s="112" t="s">
        <v>227</v>
      </c>
      <c r="AJ194" s="112">
        <v>45382</v>
      </c>
      <c r="AK194" s="112" t="s">
        <v>315</v>
      </c>
      <c r="AL194" s="112" t="s">
        <v>288</v>
      </c>
    </row>
    <row r="195" spans="1:38" x14ac:dyDescent="0.2">
      <c r="A195" s="112"/>
      <c r="B195" s="112"/>
      <c r="C195" s="112"/>
      <c r="D195" s="112"/>
      <c r="E195" s="112" t="s">
        <v>32</v>
      </c>
      <c r="F195" s="112" t="s">
        <v>1100</v>
      </c>
      <c r="G195" s="112" t="s">
        <v>1101</v>
      </c>
      <c r="H195" s="112" t="s">
        <v>31</v>
      </c>
      <c r="I195" s="112" t="s">
        <v>1102</v>
      </c>
      <c r="J195" s="114">
        <v>-149486.59</v>
      </c>
      <c r="K195" s="114">
        <v>-149486.59</v>
      </c>
      <c r="L195" s="114">
        <v>-149486.59</v>
      </c>
      <c r="M195" s="112" t="s">
        <v>278</v>
      </c>
      <c r="N195" s="112" t="s">
        <v>278</v>
      </c>
      <c r="O195" s="112" t="s">
        <v>1103</v>
      </c>
      <c r="P195" s="112" t="s">
        <v>1103</v>
      </c>
      <c r="Q195" s="112" t="s">
        <v>281</v>
      </c>
      <c r="R195" s="112" t="s">
        <v>282</v>
      </c>
      <c r="S195" s="112" t="s">
        <v>283</v>
      </c>
      <c r="T195" s="112" t="s">
        <v>313</v>
      </c>
      <c r="U195" s="112" t="s">
        <v>381</v>
      </c>
      <c r="V195" s="112">
        <v>101</v>
      </c>
      <c r="W195" s="112">
        <v>12015</v>
      </c>
      <c r="X195" s="112">
        <v>245011</v>
      </c>
      <c r="Y195" s="112">
        <v>9999</v>
      </c>
      <c r="Z195" s="112">
        <v>999</v>
      </c>
      <c r="AA195" s="112">
        <v>999</v>
      </c>
      <c r="AB195" s="112">
        <v>9999</v>
      </c>
      <c r="AC195" s="112">
        <v>9999</v>
      </c>
      <c r="AD195" s="112" t="s">
        <v>1</v>
      </c>
      <c r="AE195" s="112" t="s">
        <v>1039</v>
      </c>
      <c r="AF195" s="112" t="s">
        <v>227</v>
      </c>
      <c r="AG195" s="112" t="s">
        <v>286</v>
      </c>
      <c r="AH195" s="112"/>
      <c r="AI195" s="112" t="s">
        <v>227</v>
      </c>
      <c r="AJ195" s="112">
        <v>45393</v>
      </c>
      <c r="AK195" s="112" t="s">
        <v>315</v>
      </c>
      <c r="AL195" s="112" t="s">
        <v>288</v>
      </c>
    </row>
    <row r="196" spans="1:38" x14ac:dyDescent="0.2">
      <c r="A196" s="112"/>
      <c r="B196" s="112"/>
      <c r="C196" s="112"/>
      <c r="D196" s="112"/>
      <c r="E196" s="112" t="s">
        <v>73</v>
      </c>
      <c r="F196" s="112" t="s">
        <v>1104</v>
      </c>
      <c r="G196" s="112" t="s">
        <v>1105</v>
      </c>
      <c r="H196" s="112" t="s">
        <v>12</v>
      </c>
      <c r="I196" s="112" t="s">
        <v>1102</v>
      </c>
      <c r="J196" s="114">
        <v>12303.04</v>
      </c>
      <c r="K196" s="114">
        <v>12303.04</v>
      </c>
      <c r="L196" s="114">
        <v>12303.04</v>
      </c>
      <c r="M196" s="112" t="s">
        <v>278</v>
      </c>
      <c r="N196" s="112" t="s">
        <v>278</v>
      </c>
      <c r="O196" s="112" t="s">
        <v>1106</v>
      </c>
      <c r="P196" s="112" t="s">
        <v>280</v>
      </c>
      <c r="Q196" s="112" t="s">
        <v>281</v>
      </c>
      <c r="R196" s="112" t="s">
        <v>282</v>
      </c>
      <c r="S196" s="112" t="s">
        <v>283</v>
      </c>
      <c r="T196" s="112" t="s">
        <v>366</v>
      </c>
      <c r="U196" s="112" t="s">
        <v>1096</v>
      </c>
      <c r="V196" s="112">
        <v>101</v>
      </c>
      <c r="W196" s="112">
        <v>12021</v>
      </c>
      <c r="X196" s="112">
        <v>245011</v>
      </c>
      <c r="Y196" s="112">
        <v>9999</v>
      </c>
      <c r="Z196" s="112">
        <v>204</v>
      </c>
      <c r="AA196" s="112">
        <v>999</v>
      </c>
      <c r="AB196" s="112">
        <v>9999</v>
      </c>
      <c r="AC196" s="112">
        <v>9999</v>
      </c>
      <c r="AD196" s="112" t="s">
        <v>1</v>
      </c>
      <c r="AE196" s="112" t="s">
        <v>1097</v>
      </c>
      <c r="AF196" s="112" t="s">
        <v>227</v>
      </c>
      <c r="AG196" s="112" t="s">
        <v>286</v>
      </c>
      <c r="AH196" s="112"/>
      <c r="AI196" s="112" t="s">
        <v>227</v>
      </c>
      <c r="AJ196" s="112">
        <v>45401</v>
      </c>
      <c r="AK196" s="112" t="s">
        <v>315</v>
      </c>
      <c r="AL196" s="112" t="s">
        <v>288</v>
      </c>
    </row>
    <row r="197" spans="1:38" x14ac:dyDescent="0.2">
      <c r="A197" s="112"/>
      <c r="B197" s="112"/>
      <c r="C197" s="112"/>
      <c r="D197" s="112"/>
      <c r="E197" s="112" t="s">
        <v>11</v>
      </c>
      <c r="F197" s="112" t="s">
        <v>1107</v>
      </c>
      <c r="G197" s="112" t="s">
        <v>1108</v>
      </c>
      <c r="H197" s="112" t="s">
        <v>27</v>
      </c>
      <c r="I197" s="112" t="s">
        <v>1102</v>
      </c>
      <c r="J197" s="114">
        <v>2331.12</v>
      </c>
      <c r="K197" s="114">
        <v>2331.12</v>
      </c>
      <c r="L197" s="114">
        <v>2331.12</v>
      </c>
      <c r="M197" s="112" t="s">
        <v>278</v>
      </c>
      <c r="N197" s="112" t="s">
        <v>278</v>
      </c>
      <c r="O197" s="112" t="s">
        <v>1109</v>
      </c>
      <c r="P197" s="112" t="s">
        <v>211</v>
      </c>
      <c r="Q197" s="112" t="s">
        <v>281</v>
      </c>
      <c r="R197" s="112" t="s">
        <v>282</v>
      </c>
      <c r="S197" s="112" t="s">
        <v>283</v>
      </c>
      <c r="T197" s="112" t="s">
        <v>284</v>
      </c>
      <c r="U197" s="112" t="s">
        <v>334</v>
      </c>
      <c r="V197" s="112">
        <v>101</v>
      </c>
      <c r="W197" s="112">
        <v>12012</v>
      </c>
      <c r="X197" s="112">
        <v>245011</v>
      </c>
      <c r="Y197" s="112">
        <v>9999</v>
      </c>
      <c r="Z197" s="112">
        <v>950</v>
      </c>
      <c r="AA197" s="112">
        <v>999</v>
      </c>
      <c r="AB197" s="112">
        <v>9999</v>
      </c>
      <c r="AC197" s="112">
        <v>9999</v>
      </c>
      <c r="AD197" s="112" t="s">
        <v>1</v>
      </c>
      <c r="AE197" s="112" t="s">
        <v>1088</v>
      </c>
      <c r="AF197" s="112" t="s">
        <v>227</v>
      </c>
      <c r="AG197" s="112" t="s">
        <v>286</v>
      </c>
      <c r="AH197" s="112"/>
      <c r="AI197" s="112" t="s">
        <v>227</v>
      </c>
      <c r="AJ197" s="112">
        <v>45391</v>
      </c>
      <c r="AK197" s="112" t="s">
        <v>328</v>
      </c>
      <c r="AL197" s="112" t="s">
        <v>288</v>
      </c>
    </row>
    <row r="198" spans="1:38" x14ac:dyDescent="0.2">
      <c r="A198" s="112"/>
      <c r="B198" s="112"/>
      <c r="C198" s="112"/>
      <c r="D198" s="112"/>
      <c r="E198" s="112" t="s">
        <v>38</v>
      </c>
      <c r="F198" s="112" t="s">
        <v>1110</v>
      </c>
      <c r="G198" s="112" t="s">
        <v>1111</v>
      </c>
      <c r="H198" s="112" t="s">
        <v>16</v>
      </c>
      <c r="I198" s="112" t="s">
        <v>1102</v>
      </c>
      <c r="J198" s="114">
        <v>-97752</v>
      </c>
      <c r="K198" s="114">
        <v>-97752</v>
      </c>
      <c r="L198" s="114">
        <v>-97752</v>
      </c>
      <c r="M198" s="112" t="s">
        <v>278</v>
      </c>
      <c r="N198" s="112" t="s">
        <v>278</v>
      </c>
      <c r="O198" s="112" t="s">
        <v>1112</v>
      </c>
      <c r="P198" s="112" t="s">
        <v>227</v>
      </c>
      <c r="Q198" s="112" t="s">
        <v>281</v>
      </c>
      <c r="R198" s="112" t="s">
        <v>282</v>
      </c>
      <c r="S198" s="112" t="s">
        <v>283</v>
      </c>
      <c r="T198" s="112" t="s">
        <v>313</v>
      </c>
      <c r="U198" s="112" t="s">
        <v>443</v>
      </c>
      <c r="V198" s="112">
        <v>101</v>
      </c>
      <c r="W198" s="112">
        <v>11023</v>
      </c>
      <c r="X198" s="112">
        <v>245011</v>
      </c>
      <c r="Y198" s="112">
        <v>9999</v>
      </c>
      <c r="Z198" s="112">
        <v>999</v>
      </c>
      <c r="AA198" s="112">
        <v>999</v>
      </c>
      <c r="AB198" s="112">
        <v>9999</v>
      </c>
      <c r="AC198" s="112">
        <v>9999</v>
      </c>
      <c r="AD198" s="112" t="s">
        <v>1</v>
      </c>
      <c r="AE198" s="112" t="s">
        <v>227</v>
      </c>
      <c r="AF198" s="112" t="s">
        <v>227</v>
      </c>
      <c r="AG198" s="112" t="s">
        <v>286</v>
      </c>
      <c r="AH198" s="112"/>
      <c r="AI198" s="112" t="s">
        <v>227</v>
      </c>
      <c r="AJ198" s="112">
        <v>45385</v>
      </c>
      <c r="AK198" s="112" t="s">
        <v>328</v>
      </c>
      <c r="AL198" s="112" t="s">
        <v>288</v>
      </c>
    </row>
    <row r="199" spans="1:38" x14ac:dyDescent="0.2">
      <c r="A199" s="112"/>
      <c r="B199" s="112"/>
      <c r="C199" s="112"/>
      <c r="D199" s="112"/>
      <c r="E199" s="112" t="s">
        <v>219</v>
      </c>
      <c r="F199" s="112" t="s">
        <v>1113</v>
      </c>
      <c r="G199" s="112" t="s">
        <v>1114</v>
      </c>
      <c r="H199" s="112" t="s">
        <v>27</v>
      </c>
      <c r="I199" s="112" t="s">
        <v>1102</v>
      </c>
      <c r="J199" s="114">
        <v>771663.59</v>
      </c>
      <c r="K199" s="114">
        <v>771663.59</v>
      </c>
      <c r="L199" s="114">
        <v>771663.59</v>
      </c>
      <c r="M199" s="112" t="s">
        <v>278</v>
      </c>
      <c r="N199" s="112" t="s">
        <v>278</v>
      </c>
      <c r="O199" s="112" t="s">
        <v>1115</v>
      </c>
      <c r="P199" s="112" t="s">
        <v>280</v>
      </c>
      <c r="Q199" s="112" t="s">
        <v>281</v>
      </c>
      <c r="R199" s="112" t="s">
        <v>282</v>
      </c>
      <c r="S199" s="112" t="s">
        <v>283</v>
      </c>
      <c r="T199" s="112" t="s">
        <v>313</v>
      </c>
      <c r="U199" s="112" t="s">
        <v>1082</v>
      </c>
      <c r="V199" s="112">
        <v>101</v>
      </c>
      <c r="W199" s="112">
        <v>12001</v>
      </c>
      <c r="X199" s="112">
        <v>245011</v>
      </c>
      <c r="Y199" s="112">
        <v>9999</v>
      </c>
      <c r="Z199" s="112">
        <v>999</v>
      </c>
      <c r="AA199" s="112">
        <v>999</v>
      </c>
      <c r="AB199" s="112">
        <v>9999</v>
      </c>
      <c r="AC199" s="112">
        <v>9999</v>
      </c>
      <c r="AD199" s="112" t="s">
        <v>1</v>
      </c>
      <c r="AE199" s="112" t="s">
        <v>227</v>
      </c>
      <c r="AF199" s="112" t="s">
        <v>227</v>
      </c>
      <c r="AG199" s="112" t="s">
        <v>286</v>
      </c>
      <c r="AH199" s="112"/>
      <c r="AI199" s="112" t="s">
        <v>227</v>
      </c>
      <c r="AJ199" s="112">
        <v>45407</v>
      </c>
      <c r="AK199" s="112" t="s">
        <v>287</v>
      </c>
      <c r="AL199" s="112" t="s">
        <v>288</v>
      </c>
    </row>
    <row r="200" spans="1:38" x14ac:dyDescent="0.2">
      <c r="A200" s="112"/>
      <c r="B200" s="112"/>
      <c r="C200" s="112"/>
      <c r="D200" s="112"/>
      <c r="E200" s="112" t="s">
        <v>32</v>
      </c>
      <c r="F200" s="112" t="s">
        <v>1116</v>
      </c>
      <c r="G200" s="112" t="s">
        <v>1117</v>
      </c>
      <c r="H200" s="112" t="s">
        <v>218</v>
      </c>
      <c r="I200" s="112" t="s">
        <v>1102</v>
      </c>
      <c r="J200" s="114">
        <v>-235689.25</v>
      </c>
      <c r="K200" s="114">
        <v>-235689.25</v>
      </c>
      <c r="L200" s="114">
        <v>-235689.25</v>
      </c>
      <c r="M200" s="112" t="s">
        <v>278</v>
      </c>
      <c r="N200" s="112" t="s">
        <v>278</v>
      </c>
      <c r="O200" s="112" t="s">
        <v>1118</v>
      </c>
      <c r="P200" s="112" t="s">
        <v>1085</v>
      </c>
      <c r="Q200" s="112" t="s">
        <v>281</v>
      </c>
      <c r="R200" s="112" t="s">
        <v>282</v>
      </c>
      <c r="S200" s="112" t="s">
        <v>283</v>
      </c>
      <c r="T200" s="112" t="s">
        <v>313</v>
      </c>
      <c r="U200" s="112" t="s">
        <v>1086</v>
      </c>
      <c r="V200" s="112">
        <v>101</v>
      </c>
      <c r="W200" s="112">
        <v>12015</v>
      </c>
      <c r="X200" s="112">
        <v>245011</v>
      </c>
      <c r="Y200" s="112">
        <v>9999</v>
      </c>
      <c r="Z200" s="112">
        <v>950</v>
      </c>
      <c r="AA200" s="112">
        <v>999</v>
      </c>
      <c r="AB200" s="112">
        <v>9999</v>
      </c>
      <c r="AC200" s="112">
        <v>9999</v>
      </c>
      <c r="AD200" s="112" t="s">
        <v>1</v>
      </c>
      <c r="AE200" s="112" t="s">
        <v>1039</v>
      </c>
      <c r="AF200" s="112" t="s">
        <v>227</v>
      </c>
      <c r="AG200" s="112" t="s">
        <v>286</v>
      </c>
      <c r="AH200" s="112"/>
      <c r="AI200" s="112" t="s">
        <v>227</v>
      </c>
      <c r="AJ200" s="112">
        <v>45407</v>
      </c>
      <c r="AK200" s="112" t="s">
        <v>328</v>
      </c>
      <c r="AL200" s="112" t="s">
        <v>288</v>
      </c>
    </row>
    <row r="201" spans="1:38" x14ac:dyDescent="0.2">
      <c r="A201">
        <v>44</v>
      </c>
      <c r="B201" t="s">
        <v>47</v>
      </c>
      <c r="D201" t="s">
        <v>1119</v>
      </c>
      <c r="E201" t="s">
        <v>34</v>
      </c>
      <c r="F201" t="s">
        <v>1120</v>
      </c>
      <c r="G201" t="s">
        <v>1121</v>
      </c>
      <c r="H201" t="s">
        <v>27</v>
      </c>
      <c r="I201" t="s">
        <v>1102</v>
      </c>
      <c r="J201" s="91">
        <v>-1000000</v>
      </c>
      <c r="K201" s="91">
        <v>-1000000</v>
      </c>
      <c r="L201" s="91">
        <v>-1000000</v>
      </c>
      <c r="M201" t="s">
        <v>278</v>
      </c>
      <c r="N201" t="s">
        <v>278</v>
      </c>
      <c r="O201" t="s">
        <v>1122</v>
      </c>
      <c r="P201" t="s">
        <v>280</v>
      </c>
      <c r="Q201" t="s">
        <v>281</v>
      </c>
      <c r="R201" t="s">
        <v>282</v>
      </c>
      <c r="S201" t="s">
        <v>294</v>
      </c>
      <c r="T201" t="s">
        <v>295</v>
      </c>
      <c r="U201" t="s">
        <v>398</v>
      </c>
      <c r="V201">
        <v>101</v>
      </c>
      <c r="W201">
        <v>13014</v>
      </c>
      <c r="X201">
        <v>245011</v>
      </c>
      <c r="Y201">
        <v>9999</v>
      </c>
      <c r="Z201">
        <v>999</v>
      </c>
      <c r="AA201">
        <v>999</v>
      </c>
      <c r="AB201">
        <v>9999</v>
      </c>
      <c r="AC201">
        <v>9999</v>
      </c>
      <c r="AD201" t="s">
        <v>1</v>
      </c>
      <c r="AE201" t="s">
        <v>227</v>
      </c>
      <c r="AF201" t="s">
        <v>227</v>
      </c>
      <c r="AG201" t="s">
        <v>286</v>
      </c>
      <c r="AI201" t="s">
        <v>227</v>
      </c>
      <c r="AJ201">
        <v>45411</v>
      </c>
      <c r="AK201" t="s">
        <v>287</v>
      </c>
      <c r="AL201" t="s">
        <v>288</v>
      </c>
    </row>
    <row r="202" spans="1:38" x14ac:dyDescent="0.2">
      <c r="E202" t="s">
        <v>34</v>
      </c>
      <c r="F202" t="s">
        <v>1123</v>
      </c>
      <c r="G202" t="s">
        <v>1124</v>
      </c>
      <c r="H202" t="s">
        <v>27</v>
      </c>
      <c r="I202" t="s">
        <v>1125</v>
      </c>
      <c r="J202" s="91">
        <v>1000000</v>
      </c>
      <c r="K202" s="91">
        <v>1000000</v>
      </c>
      <c r="L202" s="91">
        <v>1000000</v>
      </c>
      <c r="M202" t="s">
        <v>278</v>
      </c>
      <c r="N202" t="s">
        <v>278</v>
      </c>
      <c r="O202" t="s">
        <v>1126</v>
      </c>
      <c r="P202" t="s">
        <v>280</v>
      </c>
      <c r="Q202" t="s">
        <v>281</v>
      </c>
      <c r="R202" t="s">
        <v>282</v>
      </c>
      <c r="S202" t="s">
        <v>294</v>
      </c>
      <c r="T202" t="s">
        <v>295</v>
      </c>
      <c r="U202" t="s">
        <v>398</v>
      </c>
      <c r="V202">
        <v>101</v>
      </c>
      <c r="W202">
        <v>13014</v>
      </c>
      <c r="X202">
        <v>245011</v>
      </c>
      <c r="Y202">
        <v>9999</v>
      </c>
      <c r="Z202">
        <v>999</v>
      </c>
      <c r="AA202">
        <v>999</v>
      </c>
      <c r="AB202">
        <v>9999</v>
      </c>
      <c r="AC202">
        <v>9999</v>
      </c>
      <c r="AD202" t="s">
        <v>1</v>
      </c>
      <c r="AE202" t="s">
        <v>227</v>
      </c>
      <c r="AF202" t="s">
        <v>227</v>
      </c>
      <c r="AG202" t="s">
        <v>286</v>
      </c>
      <c r="AI202" t="s">
        <v>227</v>
      </c>
      <c r="AJ202">
        <v>45443</v>
      </c>
      <c r="AK202" t="s">
        <v>287</v>
      </c>
      <c r="AL202" t="s">
        <v>288</v>
      </c>
    </row>
    <row r="203" spans="1:38" x14ac:dyDescent="0.2">
      <c r="A203">
        <v>40</v>
      </c>
      <c r="B203" t="s">
        <v>47</v>
      </c>
      <c r="D203" t="s">
        <v>1127</v>
      </c>
      <c r="E203" t="s">
        <v>68</v>
      </c>
      <c r="F203" t="s">
        <v>1128</v>
      </c>
      <c r="G203" t="s">
        <v>1129</v>
      </c>
      <c r="H203" t="s">
        <v>12</v>
      </c>
      <c r="I203" t="s">
        <v>1125</v>
      </c>
      <c r="J203" s="91">
        <v>-4351.3999999999996</v>
      </c>
      <c r="K203" s="91">
        <v>-4351.3999999999996</v>
      </c>
      <c r="L203" s="91">
        <v>-4351.3999999999996</v>
      </c>
      <c r="M203" t="s">
        <v>278</v>
      </c>
      <c r="N203" t="s">
        <v>278</v>
      </c>
      <c r="O203" t="s">
        <v>1130</v>
      </c>
      <c r="P203" t="s">
        <v>280</v>
      </c>
      <c r="Q203" t="s">
        <v>281</v>
      </c>
      <c r="R203" t="s">
        <v>282</v>
      </c>
      <c r="S203" t="s">
        <v>283</v>
      </c>
      <c r="T203" t="s">
        <v>284</v>
      </c>
      <c r="U203" t="s">
        <v>1001</v>
      </c>
      <c r="V203">
        <v>101</v>
      </c>
      <c r="W203">
        <v>12022</v>
      </c>
      <c r="X203">
        <v>245011</v>
      </c>
      <c r="Y203">
        <v>9999</v>
      </c>
      <c r="Z203">
        <v>207</v>
      </c>
      <c r="AA203">
        <v>999</v>
      </c>
      <c r="AB203">
        <v>9999</v>
      </c>
      <c r="AC203">
        <v>9999</v>
      </c>
      <c r="AD203" t="s">
        <v>1</v>
      </c>
      <c r="AE203" t="s">
        <v>1131</v>
      </c>
      <c r="AF203" t="s">
        <v>227</v>
      </c>
      <c r="AG203" t="s">
        <v>286</v>
      </c>
      <c r="AI203" t="s">
        <v>227</v>
      </c>
      <c r="AJ203">
        <v>45443</v>
      </c>
      <c r="AK203" t="s">
        <v>315</v>
      </c>
      <c r="AL203" t="s">
        <v>288</v>
      </c>
    </row>
    <row r="204" spans="1:38" x14ac:dyDescent="0.2">
      <c r="A204">
        <v>10</v>
      </c>
      <c r="B204" t="s">
        <v>46</v>
      </c>
      <c r="E204" t="s">
        <v>68</v>
      </c>
      <c r="F204" t="s">
        <v>1132</v>
      </c>
      <c r="G204" t="s">
        <v>1133</v>
      </c>
      <c r="H204" t="s">
        <v>12</v>
      </c>
      <c r="I204" t="s">
        <v>1134</v>
      </c>
      <c r="J204" s="91">
        <v>4351.3999999999996</v>
      </c>
      <c r="K204" s="91">
        <v>4351.3999999999996</v>
      </c>
      <c r="L204" s="91">
        <v>4351.3999999999996</v>
      </c>
      <c r="M204" t="s">
        <v>278</v>
      </c>
      <c r="N204" t="s">
        <v>278</v>
      </c>
      <c r="O204" t="s">
        <v>1135</v>
      </c>
      <c r="P204" t="s">
        <v>280</v>
      </c>
      <c r="Q204" t="s">
        <v>281</v>
      </c>
      <c r="R204" t="s">
        <v>282</v>
      </c>
      <c r="S204" t="s">
        <v>283</v>
      </c>
      <c r="T204" t="s">
        <v>284</v>
      </c>
      <c r="U204" t="s">
        <v>1001</v>
      </c>
      <c r="V204">
        <v>101</v>
      </c>
      <c r="W204">
        <v>12022</v>
      </c>
      <c r="X204">
        <v>245011</v>
      </c>
      <c r="Y204">
        <v>9999</v>
      </c>
      <c r="Z204">
        <v>207</v>
      </c>
      <c r="AA204">
        <v>999</v>
      </c>
      <c r="AB204">
        <v>9999</v>
      </c>
      <c r="AC204">
        <v>9999</v>
      </c>
      <c r="AD204" t="s">
        <v>1</v>
      </c>
      <c r="AE204" t="s">
        <v>1131</v>
      </c>
      <c r="AF204" t="s">
        <v>227</v>
      </c>
      <c r="AG204" t="s">
        <v>286</v>
      </c>
      <c r="AI204" t="s">
        <v>227</v>
      </c>
      <c r="AJ204">
        <v>45473</v>
      </c>
      <c r="AK204" t="s">
        <v>315</v>
      </c>
      <c r="AL204" t="s">
        <v>288</v>
      </c>
    </row>
    <row r="205" spans="1:38" x14ac:dyDescent="0.2">
      <c r="A205">
        <v>40</v>
      </c>
      <c r="B205" t="s">
        <v>47</v>
      </c>
      <c r="D205" t="s">
        <v>1136</v>
      </c>
      <c r="E205" t="s">
        <v>22</v>
      </c>
      <c r="F205" t="s">
        <v>1137</v>
      </c>
      <c r="G205" t="s">
        <v>1138</v>
      </c>
      <c r="H205" t="s">
        <v>12</v>
      </c>
      <c r="I205" t="s">
        <v>1125</v>
      </c>
      <c r="J205" s="91">
        <v>15989.16</v>
      </c>
      <c r="K205" s="91">
        <v>15989.16</v>
      </c>
      <c r="L205" s="91">
        <v>15989.16</v>
      </c>
      <c r="M205" t="s">
        <v>278</v>
      </c>
      <c r="N205" t="s">
        <v>278</v>
      </c>
      <c r="O205" t="s">
        <v>1139</v>
      </c>
      <c r="P205" t="s">
        <v>280</v>
      </c>
      <c r="Q205" t="s">
        <v>281</v>
      </c>
      <c r="R205" t="s">
        <v>282</v>
      </c>
      <c r="S205" t="s">
        <v>283</v>
      </c>
      <c r="T205" t="s">
        <v>313</v>
      </c>
      <c r="U205" t="s">
        <v>1140</v>
      </c>
      <c r="V205">
        <v>101</v>
      </c>
      <c r="W205">
        <v>11004</v>
      </c>
      <c r="X205">
        <v>245011</v>
      </c>
      <c r="Y205">
        <v>9999</v>
      </c>
      <c r="Z205">
        <v>950</v>
      </c>
      <c r="AA205">
        <v>999</v>
      </c>
      <c r="AB205">
        <v>9999</v>
      </c>
      <c r="AC205">
        <v>9999</v>
      </c>
      <c r="AD205" t="s">
        <v>1</v>
      </c>
      <c r="AE205" t="s">
        <v>227</v>
      </c>
      <c r="AF205" t="s">
        <v>227</v>
      </c>
      <c r="AG205" t="s">
        <v>286</v>
      </c>
      <c r="AI205" t="s">
        <v>227</v>
      </c>
      <c r="AJ205">
        <v>45443</v>
      </c>
      <c r="AK205" t="s">
        <v>315</v>
      </c>
      <c r="AL205" t="s">
        <v>288</v>
      </c>
    </row>
    <row r="206" spans="1:38" x14ac:dyDescent="0.2">
      <c r="A206">
        <v>29</v>
      </c>
      <c r="B206" t="s">
        <v>46</v>
      </c>
      <c r="E206" t="s">
        <v>22</v>
      </c>
      <c r="F206" t="s">
        <v>1141</v>
      </c>
      <c r="G206" t="s">
        <v>1142</v>
      </c>
      <c r="H206" t="s">
        <v>12</v>
      </c>
      <c r="I206" t="s">
        <v>1134</v>
      </c>
      <c r="J206" s="91">
        <v>-15989.16</v>
      </c>
      <c r="K206" s="91">
        <v>-15989.16</v>
      </c>
      <c r="L206" s="91">
        <v>-15989.16</v>
      </c>
      <c r="M206" t="s">
        <v>278</v>
      </c>
      <c r="N206" t="s">
        <v>278</v>
      </c>
      <c r="O206" t="s">
        <v>1143</v>
      </c>
      <c r="P206" t="s">
        <v>280</v>
      </c>
      <c r="Q206" t="s">
        <v>281</v>
      </c>
      <c r="R206" t="s">
        <v>282</v>
      </c>
      <c r="S206" t="s">
        <v>283</v>
      </c>
      <c r="T206" t="s">
        <v>313</v>
      </c>
      <c r="U206" t="s">
        <v>1140</v>
      </c>
      <c r="V206">
        <v>101</v>
      </c>
      <c r="W206">
        <v>11004</v>
      </c>
      <c r="X206">
        <v>245011</v>
      </c>
      <c r="Y206">
        <v>9999</v>
      </c>
      <c r="Z206">
        <v>950</v>
      </c>
      <c r="AA206">
        <v>999</v>
      </c>
      <c r="AB206">
        <v>9999</v>
      </c>
      <c r="AC206">
        <v>9999</v>
      </c>
      <c r="AD206" t="s">
        <v>1</v>
      </c>
      <c r="AE206" t="s">
        <v>227</v>
      </c>
      <c r="AF206" t="s">
        <v>227</v>
      </c>
      <c r="AG206" t="s">
        <v>286</v>
      </c>
      <c r="AI206" t="s">
        <v>227</v>
      </c>
      <c r="AJ206">
        <v>45454</v>
      </c>
      <c r="AK206" t="s">
        <v>315</v>
      </c>
      <c r="AL206" t="s">
        <v>288</v>
      </c>
    </row>
    <row r="207" spans="1:38" x14ac:dyDescent="0.2">
      <c r="A207">
        <v>40</v>
      </c>
      <c r="B207" t="s">
        <v>47</v>
      </c>
      <c r="D207" t="s">
        <v>1144</v>
      </c>
      <c r="E207" t="s">
        <v>91</v>
      </c>
      <c r="F207" t="s">
        <v>1145</v>
      </c>
      <c r="G207" t="s">
        <v>1146</v>
      </c>
      <c r="H207" t="s">
        <v>19</v>
      </c>
      <c r="I207" t="s">
        <v>1125</v>
      </c>
      <c r="J207" s="91">
        <v>-274606.2</v>
      </c>
      <c r="K207" s="91">
        <v>-274606.2</v>
      </c>
      <c r="L207" s="91">
        <v>-274606.2</v>
      </c>
      <c r="M207" t="s">
        <v>278</v>
      </c>
      <c r="N207" t="s">
        <v>278</v>
      </c>
      <c r="O207" t="s">
        <v>1147</v>
      </c>
      <c r="P207" t="s">
        <v>280</v>
      </c>
      <c r="Q207" t="s">
        <v>281</v>
      </c>
      <c r="R207" t="s">
        <v>282</v>
      </c>
      <c r="S207" t="s">
        <v>283</v>
      </c>
      <c r="T207" t="s">
        <v>313</v>
      </c>
      <c r="U207" t="s">
        <v>1148</v>
      </c>
      <c r="V207">
        <v>101</v>
      </c>
      <c r="W207">
        <v>12016</v>
      </c>
      <c r="X207">
        <v>245011</v>
      </c>
      <c r="Y207">
        <v>9999</v>
      </c>
      <c r="Z207">
        <v>999</v>
      </c>
      <c r="AA207">
        <v>999</v>
      </c>
      <c r="AB207">
        <v>9999</v>
      </c>
      <c r="AC207">
        <v>9999</v>
      </c>
      <c r="AD207" t="s">
        <v>1</v>
      </c>
      <c r="AE207" t="s">
        <v>227</v>
      </c>
      <c r="AF207" t="s">
        <v>227</v>
      </c>
      <c r="AG207" t="s">
        <v>286</v>
      </c>
      <c r="AI207" t="s">
        <v>227</v>
      </c>
      <c r="AJ207">
        <v>45443</v>
      </c>
      <c r="AK207" t="s">
        <v>315</v>
      </c>
      <c r="AL207" t="s">
        <v>288</v>
      </c>
    </row>
    <row r="208" spans="1:38" x14ac:dyDescent="0.2">
      <c r="A208">
        <v>40</v>
      </c>
      <c r="B208" t="s">
        <v>47</v>
      </c>
      <c r="D208" t="s">
        <v>1144</v>
      </c>
      <c r="E208" t="s">
        <v>91</v>
      </c>
      <c r="F208" t="s">
        <v>1149</v>
      </c>
      <c r="G208" t="s">
        <v>1149</v>
      </c>
      <c r="H208" t="s">
        <v>19</v>
      </c>
      <c r="I208" t="s">
        <v>1125</v>
      </c>
      <c r="J208" s="91">
        <v>137303.1</v>
      </c>
      <c r="K208" s="91">
        <v>137303.1</v>
      </c>
      <c r="L208" s="91">
        <v>137303.1</v>
      </c>
      <c r="M208" t="s">
        <v>278</v>
      </c>
      <c r="N208" t="s">
        <v>278</v>
      </c>
      <c r="O208" t="s">
        <v>1150</v>
      </c>
      <c r="P208" t="s">
        <v>1151</v>
      </c>
      <c r="Q208" t="s">
        <v>281</v>
      </c>
      <c r="R208" t="s">
        <v>282</v>
      </c>
      <c r="S208" t="s">
        <v>283</v>
      </c>
      <c r="T208" t="s">
        <v>313</v>
      </c>
      <c r="U208" t="s">
        <v>1148</v>
      </c>
      <c r="V208">
        <v>101</v>
      </c>
      <c r="W208">
        <v>12016</v>
      </c>
      <c r="X208">
        <v>245011</v>
      </c>
      <c r="Y208">
        <v>9999</v>
      </c>
      <c r="Z208">
        <v>999</v>
      </c>
      <c r="AA208">
        <v>999</v>
      </c>
      <c r="AB208">
        <v>9999</v>
      </c>
      <c r="AC208">
        <v>9999</v>
      </c>
      <c r="AD208" t="s">
        <v>1</v>
      </c>
      <c r="AE208" t="s">
        <v>227</v>
      </c>
      <c r="AF208" t="s">
        <v>227</v>
      </c>
      <c r="AG208" t="s">
        <v>286</v>
      </c>
      <c r="AI208" t="s">
        <v>227</v>
      </c>
      <c r="AJ208">
        <v>45443</v>
      </c>
      <c r="AK208" t="s">
        <v>328</v>
      </c>
      <c r="AL208" t="s">
        <v>288</v>
      </c>
    </row>
    <row r="209" spans="1:38" x14ac:dyDescent="0.2">
      <c r="A209">
        <v>34</v>
      </c>
      <c r="B209" t="s">
        <v>47</v>
      </c>
      <c r="E209" t="s">
        <v>91</v>
      </c>
      <c r="F209" t="s">
        <v>1152</v>
      </c>
      <c r="G209" t="s">
        <v>1153</v>
      </c>
      <c r="H209" t="s">
        <v>19</v>
      </c>
      <c r="I209" t="s">
        <v>1134</v>
      </c>
      <c r="J209" s="91">
        <v>274606.2</v>
      </c>
      <c r="K209" s="91">
        <v>274606.2</v>
      </c>
      <c r="L209" s="91">
        <v>274606.2</v>
      </c>
      <c r="M209" t="s">
        <v>278</v>
      </c>
      <c r="N209" t="s">
        <v>278</v>
      </c>
      <c r="O209" t="s">
        <v>1154</v>
      </c>
      <c r="P209" t="s">
        <v>280</v>
      </c>
      <c r="Q209" t="s">
        <v>281</v>
      </c>
      <c r="R209" t="s">
        <v>282</v>
      </c>
      <c r="S209" t="s">
        <v>283</v>
      </c>
      <c r="T209" t="s">
        <v>313</v>
      </c>
      <c r="U209" t="s">
        <v>1148</v>
      </c>
      <c r="V209">
        <v>101</v>
      </c>
      <c r="W209">
        <v>12016</v>
      </c>
      <c r="X209">
        <v>245011</v>
      </c>
      <c r="Y209">
        <v>9999</v>
      </c>
      <c r="Z209">
        <v>999</v>
      </c>
      <c r="AA209">
        <v>999</v>
      </c>
      <c r="AB209">
        <v>9999</v>
      </c>
      <c r="AC209">
        <v>9999</v>
      </c>
      <c r="AD209" t="s">
        <v>1</v>
      </c>
      <c r="AE209" t="s">
        <v>227</v>
      </c>
      <c r="AF209" t="s">
        <v>227</v>
      </c>
      <c r="AG209" t="s">
        <v>286</v>
      </c>
      <c r="AI209" t="s">
        <v>227</v>
      </c>
      <c r="AJ209">
        <v>45449</v>
      </c>
      <c r="AK209" t="s">
        <v>315</v>
      </c>
      <c r="AL209" t="s">
        <v>288</v>
      </c>
    </row>
    <row r="210" spans="1:38" x14ac:dyDescent="0.2">
      <c r="A210">
        <v>35</v>
      </c>
      <c r="B210" t="s">
        <v>47</v>
      </c>
      <c r="E210" t="s">
        <v>91</v>
      </c>
      <c r="F210" t="s">
        <v>1155</v>
      </c>
      <c r="G210" t="s">
        <v>1156</v>
      </c>
      <c r="H210" t="s">
        <v>19</v>
      </c>
      <c r="I210" t="s">
        <v>1134</v>
      </c>
      <c r="J210" s="91">
        <v>-137303.1</v>
      </c>
      <c r="K210" s="91">
        <v>-137303.1</v>
      </c>
      <c r="L210" s="91">
        <v>-137303.1</v>
      </c>
      <c r="M210" t="s">
        <v>278</v>
      </c>
      <c r="N210" t="s">
        <v>278</v>
      </c>
      <c r="O210" t="s">
        <v>1157</v>
      </c>
      <c r="P210" t="s">
        <v>1151</v>
      </c>
      <c r="Q210" t="s">
        <v>281</v>
      </c>
      <c r="R210" t="s">
        <v>282</v>
      </c>
      <c r="S210" t="s">
        <v>283</v>
      </c>
      <c r="T210" t="s">
        <v>313</v>
      </c>
      <c r="U210" t="s">
        <v>1148</v>
      </c>
      <c r="V210">
        <v>101</v>
      </c>
      <c r="W210">
        <v>12016</v>
      </c>
      <c r="X210">
        <v>245011</v>
      </c>
      <c r="Y210">
        <v>9999</v>
      </c>
      <c r="Z210">
        <v>999</v>
      </c>
      <c r="AA210">
        <v>999</v>
      </c>
      <c r="AB210">
        <v>9999</v>
      </c>
      <c r="AC210">
        <v>9999</v>
      </c>
      <c r="AD210" t="s">
        <v>1</v>
      </c>
      <c r="AE210" t="s">
        <v>227</v>
      </c>
      <c r="AF210" t="s">
        <v>227</v>
      </c>
      <c r="AG210" t="s">
        <v>286</v>
      </c>
      <c r="AI210" t="s">
        <v>227</v>
      </c>
      <c r="AJ210">
        <v>45448</v>
      </c>
      <c r="AK210" t="s">
        <v>328</v>
      </c>
      <c r="AL210" t="s">
        <v>288</v>
      </c>
    </row>
    <row r="211" spans="1:38" x14ac:dyDescent="0.2">
      <c r="A211">
        <v>40</v>
      </c>
      <c r="B211" t="s">
        <v>47</v>
      </c>
      <c r="D211" t="s">
        <v>1158</v>
      </c>
      <c r="E211" t="s">
        <v>11</v>
      </c>
      <c r="F211" t="s">
        <v>1159</v>
      </c>
      <c r="G211" t="s">
        <v>1160</v>
      </c>
      <c r="H211" t="s">
        <v>16</v>
      </c>
      <c r="I211" t="s">
        <v>1125</v>
      </c>
      <c r="J211" s="91">
        <v>319196.34000000003</v>
      </c>
      <c r="K211" s="91">
        <v>319196.34000000003</v>
      </c>
      <c r="L211" s="91">
        <v>319196.34000000003</v>
      </c>
      <c r="M211" t="s">
        <v>278</v>
      </c>
      <c r="N211" t="s">
        <v>278</v>
      </c>
      <c r="O211" t="s">
        <v>1161</v>
      </c>
      <c r="P211" t="s">
        <v>280</v>
      </c>
      <c r="Q211" t="s">
        <v>281</v>
      </c>
      <c r="R211" t="s">
        <v>282</v>
      </c>
      <c r="S211" t="s">
        <v>283</v>
      </c>
      <c r="T211" t="s">
        <v>284</v>
      </c>
      <c r="U211" t="s">
        <v>285</v>
      </c>
      <c r="V211">
        <v>101</v>
      </c>
      <c r="W211">
        <v>12012</v>
      </c>
      <c r="X211">
        <v>245011</v>
      </c>
      <c r="Y211">
        <v>9999</v>
      </c>
      <c r="Z211">
        <v>999</v>
      </c>
      <c r="AA211">
        <v>999</v>
      </c>
      <c r="AB211">
        <v>9999</v>
      </c>
      <c r="AC211">
        <v>9999</v>
      </c>
      <c r="AD211" t="s">
        <v>1</v>
      </c>
      <c r="AE211" t="s">
        <v>227</v>
      </c>
      <c r="AF211" t="s">
        <v>227</v>
      </c>
      <c r="AG211" t="s">
        <v>286</v>
      </c>
      <c r="AI211" t="s">
        <v>227</v>
      </c>
      <c r="AJ211">
        <v>45443</v>
      </c>
      <c r="AK211" t="s">
        <v>287</v>
      </c>
      <c r="AL211" t="s">
        <v>288</v>
      </c>
    </row>
    <row r="212" spans="1:38" x14ac:dyDescent="0.2">
      <c r="A212">
        <v>10</v>
      </c>
      <c r="B212" t="s">
        <v>46</v>
      </c>
      <c r="E212" t="s">
        <v>11</v>
      </c>
      <c r="F212" t="s">
        <v>1162</v>
      </c>
      <c r="G212" t="s">
        <v>1163</v>
      </c>
      <c r="H212" t="s">
        <v>16</v>
      </c>
      <c r="I212" t="s">
        <v>1134</v>
      </c>
      <c r="J212" s="91">
        <v>-319196.34000000003</v>
      </c>
      <c r="K212" s="91">
        <v>-319196.34000000003</v>
      </c>
      <c r="L212" s="91">
        <v>-319196.34000000003</v>
      </c>
      <c r="M212" t="s">
        <v>278</v>
      </c>
      <c r="N212" t="s">
        <v>278</v>
      </c>
      <c r="O212" t="s">
        <v>1164</v>
      </c>
      <c r="P212" t="s">
        <v>280</v>
      </c>
      <c r="Q212" t="s">
        <v>281</v>
      </c>
      <c r="R212" t="s">
        <v>282</v>
      </c>
      <c r="S212" t="s">
        <v>283</v>
      </c>
      <c r="T212" t="s">
        <v>284</v>
      </c>
      <c r="U212" t="s">
        <v>285</v>
      </c>
      <c r="V212">
        <v>101</v>
      </c>
      <c r="W212">
        <v>12012</v>
      </c>
      <c r="X212">
        <v>245011</v>
      </c>
      <c r="Y212">
        <v>9999</v>
      </c>
      <c r="Z212">
        <v>999</v>
      </c>
      <c r="AA212">
        <v>999</v>
      </c>
      <c r="AB212">
        <v>9999</v>
      </c>
      <c r="AC212">
        <v>9999</v>
      </c>
      <c r="AD212" t="s">
        <v>1</v>
      </c>
      <c r="AE212" t="s">
        <v>227</v>
      </c>
      <c r="AF212" t="s">
        <v>227</v>
      </c>
      <c r="AG212" t="s">
        <v>286</v>
      </c>
      <c r="AI212" t="s">
        <v>227</v>
      </c>
      <c r="AJ212">
        <v>45473</v>
      </c>
      <c r="AK212" t="s">
        <v>287</v>
      </c>
      <c r="AL212" t="s">
        <v>288</v>
      </c>
    </row>
    <row r="213" spans="1:38" x14ac:dyDescent="0.2">
      <c r="A213">
        <v>74</v>
      </c>
      <c r="B213" t="s">
        <v>48</v>
      </c>
      <c r="D213" t="s">
        <v>1165</v>
      </c>
      <c r="E213" t="s">
        <v>35</v>
      </c>
      <c r="F213" t="s">
        <v>1166</v>
      </c>
      <c r="G213" t="s">
        <v>1167</v>
      </c>
      <c r="H213" t="s">
        <v>16</v>
      </c>
      <c r="I213" t="s">
        <v>1125</v>
      </c>
      <c r="J213" s="91">
        <v>243101.02</v>
      </c>
      <c r="K213" s="91">
        <v>243101.02</v>
      </c>
      <c r="L213" s="91">
        <v>243101.02</v>
      </c>
      <c r="M213" t="s">
        <v>278</v>
      </c>
      <c r="N213" t="s">
        <v>278</v>
      </c>
      <c r="O213" t="s">
        <v>1168</v>
      </c>
      <c r="P213" t="s">
        <v>280</v>
      </c>
      <c r="Q213" t="s">
        <v>281</v>
      </c>
      <c r="R213" t="s">
        <v>282</v>
      </c>
      <c r="S213" t="s">
        <v>283</v>
      </c>
      <c r="T213" t="s">
        <v>366</v>
      </c>
      <c r="U213" t="s">
        <v>490</v>
      </c>
      <c r="V213">
        <v>101</v>
      </c>
      <c r="W213">
        <v>11010</v>
      </c>
      <c r="X213">
        <v>245011</v>
      </c>
      <c r="Y213">
        <v>9999</v>
      </c>
      <c r="Z213">
        <v>999</v>
      </c>
      <c r="AA213">
        <v>999</v>
      </c>
      <c r="AB213">
        <v>9999</v>
      </c>
      <c r="AC213">
        <v>9999</v>
      </c>
      <c r="AD213" t="s">
        <v>1</v>
      </c>
      <c r="AE213" t="s">
        <v>227</v>
      </c>
      <c r="AF213" t="s">
        <v>227</v>
      </c>
      <c r="AG213" t="s">
        <v>286</v>
      </c>
      <c r="AI213" t="s">
        <v>227</v>
      </c>
      <c r="AJ213">
        <v>45443</v>
      </c>
      <c r="AK213" t="s">
        <v>287</v>
      </c>
      <c r="AL213" t="s">
        <v>288</v>
      </c>
    </row>
    <row r="214" spans="1:38" x14ac:dyDescent="0.2">
      <c r="A214">
        <v>13</v>
      </c>
      <c r="B214" t="s">
        <v>46</v>
      </c>
      <c r="E214" t="s">
        <v>35</v>
      </c>
      <c r="F214" t="s">
        <v>1169</v>
      </c>
      <c r="G214" t="s">
        <v>1170</v>
      </c>
      <c r="H214" t="s">
        <v>16</v>
      </c>
      <c r="I214" t="s">
        <v>1171</v>
      </c>
      <c r="J214" s="91">
        <v>-125431.95</v>
      </c>
      <c r="K214" s="91">
        <v>-125431.95</v>
      </c>
      <c r="L214" s="91">
        <v>-125431.95</v>
      </c>
      <c r="M214" t="s">
        <v>278</v>
      </c>
      <c r="N214" t="s">
        <v>278</v>
      </c>
      <c r="O214" t="s">
        <v>1172</v>
      </c>
      <c r="P214" t="s">
        <v>280</v>
      </c>
      <c r="Q214" t="s">
        <v>281</v>
      </c>
      <c r="R214" t="s">
        <v>282</v>
      </c>
      <c r="S214" t="s">
        <v>283</v>
      </c>
      <c r="T214" t="s">
        <v>366</v>
      </c>
      <c r="U214" t="s">
        <v>490</v>
      </c>
      <c r="V214">
        <v>101</v>
      </c>
      <c r="W214">
        <v>11010</v>
      </c>
      <c r="X214">
        <v>245011</v>
      </c>
      <c r="Y214">
        <v>9999</v>
      </c>
      <c r="Z214">
        <v>999</v>
      </c>
      <c r="AA214">
        <v>999</v>
      </c>
      <c r="AB214">
        <v>9999</v>
      </c>
      <c r="AC214">
        <v>9999</v>
      </c>
      <c r="AD214" t="s">
        <v>1</v>
      </c>
      <c r="AE214" t="s">
        <v>227</v>
      </c>
      <c r="AF214" t="s">
        <v>227</v>
      </c>
      <c r="AG214" t="s">
        <v>286</v>
      </c>
      <c r="AI214" t="s">
        <v>227</v>
      </c>
      <c r="AJ214">
        <v>45504</v>
      </c>
      <c r="AK214" t="s">
        <v>287</v>
      </c>
      <c r="AL214" t="s">
        <v>288</v>
      </c>
    </row>
    <row r="215" spans="1:38" x14ac:dyDescent="0.2">
      <c r="A215">
        <v>13</v>
      </c>
      <c r="B215" t="s">
        <v>46</v>
      </c>
      <c r="E215" t="s">
        <v>35</v>
      </c>
      <c r="F215" t="s">
        <v>1173</v>
      </c>
      <c r="G215" t="s">
        <v>1174</v>
      </c>
      <c r="H215" t="s">
        <v>16</v>
      </c>
      <c r="I215" t="s">
        <v>1171</v>
      </c>
      <c r="J215" s="91">
        <v>-243101.02</v>
      </c>
      <c r="K215" s="91">
        <v>-243101.02</v>
      </c>
      <c r="L215" s="91">
        <v>-243101.02</v>
      </c>
      <c r="M215" t="s">
        <v>278</v>
      </c>
      <c r="N215" t="s">
        <v>278</v>
      </c>
      <c r="O215" t="s">
        <v>1175</v>
      </c>
      <c r="P215" t="s">
        <v>280</v>
      </c>
      <c r="Q215" t="s">
        <v>281</v>
      </c>
      <c r="R215" t="s">
        <v>282</v>
      </c>
      <c r="S215" t="s">
        <v>283</v>
      </c>
      <c r="T215" t="s">
        <v>366</v>
      </c>
      <c r="U215" t="s">
        <v>490</v>
      </c>
      <c r="V215">
        <v>101</v>
      </c>
      <c r="W215">
        <v>11010</v>
      </c>
      <c r="X215">
        <v>245011</v>
      </c>
      <c r="Y215">
        <v>9999</v>
      </c>
      <c r="Z215">
        <v>999</v>
      </c>
      <c r="AA215">
        <v>999</v>
      </c>
      <c r="AB215">
        <v>9999</v>
      </c>
      <c r="AC215">
        <v>9999</v>
      </c>
      <c r="AD215" t="s">
        <v>1</v>
      </c>
      <c r="AE215" t="s">
        <v>227</v>
      </c>
      <c r="AF215" t="s">
        <v>227</v>
      </c>
      <c r="AG215" t="s">
        <v>286</v>
      </c>
      <c r="AI215" t="s">
        <v>227</v>
      </c>
      <c r="AJ215">
        <v>45504</v>
      </c>
      <c r="AK215" t="s">
        <v>287</v>
      </c>
      <c r="AL215" t="s">
        <v>288</v>
      </c>
    </row>
    <row r="216" spans="1:38" x14ac:dyDescent="0.2">
      <c r="A216">
        <v>13</v>
      </c>
      <c r="B216" t="s">
        <v>46</v>
      </c>
      <c r="E216" t="s">
        <v>35</v>
      </c>
      <c r="F216" t="s">
        <v>1176</v>
      </c>
      <c r="G216" t="s">
        <v>1177</v>
      </c>
      <c r="H216" t="s">
        <v>16</v>
      </c>
      <c r="I216" t="s">
        <v>1171</v>
      </c>
      <c r="J216" s="91">
        <v>125431.95</v>
      </c>
      <c r="K216" s="91">
        <v>125431.95</v>
      </c>
      <c r="L216" s="91">
        <v>125431.95</v>
      </c>
      <c r="M216" t="s">
        <v>278</v>
      </c>
      <c r="N216" t="s">
        <v>278</v>
      </c>
      <c r="O216" t="s">
        <v>1178</v>
      </c>
      <c r="P216" t="s">
        <v>280</v>
      </c>
      <c r="Q216" t="s">
        <v>281</v>
      </c>
      <c r="R216" t="s">
        <v>282</v>
      </c>
      <c r="S216" t="s">
        <v>283</v>
      </c>
      <c r="T216" t="s">
        <v>366</v>
      </c>
      <c r="U216" t="s">
        <v>490</v>
      </c>
      <c r="V216">
        <v>101</v>
      </c>
      <c r="W216">
        <v>11010</v>
      </c>
      <c r="X216">
        <v>245011</v>
      </c>
      <c r="Y216">
        <v>9999</v>
      </c>
      <c r="Z216">
        <v>999</v>
      </c>
      <c r="AA216">
        <v>999</v>
      </c>
      <c r="AB216">
        <v>9999</v>
      </c>
      <c r="AC216">
        <v>9999</v>
      </c>
      <c r="AD216" t="s">
        <v>1</v>
      </c>
      <c r="AE216" t="s">
        <v>227</v>
      </c>
      <c r="AF216" t="s">
        <v>227</v>
      </c>
      <c r="AG216" t="s">
        <v>286</v>
      </c>
      <c r="AI216" t="s">
        <v>227</v>
      </c>
      <c r="AJ216">
        <v>45504</v>
      </c>
      <c r="AK216" t="s">
        <v>287</v>
      </c>
      <c r="AL216" t="s">
        <v>288</v>
      </c>
    </row>
    <row r="217" spans="1:38" x14ac:dyDescent="0.2">
      <c r="A217">
        <v>195</v>
      </c>
      <c r="B217" t="s">
        <v>559</v>
      </c>
      <c r="D217" t="s">
        <v>1179</v>
      </c>
      <c r="E217" t="s">
        <v>75</v>
      </c>
      <c r="F217" t="s">
        <v>1180</v>
      </c>
      <c r="G217" t="s">
        <v>1180</v>
      </c>
      <c r="H217" t="s">
        <v>16</v>
      </c>
      <c r="I217" t="s">
        <v>970</v>
      </c>
      <c r="J217" s="91">
        <v>-3326.4</v>
      </c>
      <c r="K217" s="91">
        <v>-3326.4</v>
      </c>
      <c r="L217" s="91">
        <v>-3326.4</v>
      </c>
      <c r="M217" t="s">
        <v>278</v>
      </c>
      <c r="N217" t="s">
        <v>278</v>
      </c>
      <c r="O217" t="s">
        <v>1180</v>
      </c>
      <c r="P217" t="s">
        <v>1181</v>
      </c>
      <c r="Q217" t="s">
        <v>281</v>
      </c>
      <c r="R217" t="s">
        <v>282</v>
      </c>
      <c r="S217" t="s">
        <v>294</v>
      </c>
      <c r="T217" t="s">
        <v>295</v>
      </c>
      <c r="U217" t="s">
        <v>474</v>
      </c>
      <c r="V217">
        <v>101</v>
      </c>
      <c r="W217">
        <v>13006</v>
      </c>
      <c r="X217">
        <v>245011</v>
      </c>
      <c r="Y217">
        <v>9999</v>
      </c>
      <c r="Z217">
        <v>999</v>
      </c>
      <c r="AA217">
        <v>999</v>
      </c>
      <c r="AB217">
        <v>9999</v>
      </c>
      <c r="AC217">
        <v>9999</v>
      </c>
      <c r="AD217" t="s">
        <v>1</v>
      </c>
      <c r="AE217" t="s">
        <v>227</v>
      </c>
      <c r="AF217" t="s">
        <v>227</v>
      </c>
      <c r="AG217" t="s">
        <v>286</v>
      </c>
      <c r="AI217" t="s">
        <v>227</v>
      </c>
      <c r="AJ217">
        <v>45322</v>
      </c>
      <c r="AK217" t="s">
        <v>328</v>
      </c>
      <c r="AL217" t="s">
        <v>288</v>
      </c>
    </row>
    <row r="218" spans="1:38" x14ac:dyDescent="0.2">
      <c r="A218">
        <v>44</v>
      </c>
      <c r="B218" t="s">
        <v>47</v>
      </c>
      <c r="D218" t="s">
        <v>1182</v>
      </c>
      <c r="E218" t="s">
        <v>75</v>
      </c>
      <c r="F218" t="s">
        <v>1183</v>
      </c>
      <c r="G218" t="s">
        <v>1184</v>
      </c>
      <c r="H218" t="s">
        <v>12</v>
      </c>
      <c r="I218" t="s">
        <v>1134</v>
      </c>
      <c r="J218" s="91">
        <v>-1479.56</v>
      </c>
      <c r="K218" s="91">
        <v>-1479.56</v>
      </c>
      <c r="L218" s="91">
        <v>-1479.56</v>
      </c>
      <c r="M218" t="s">
        <v>278</v>
      </c>
      <c r="N218" t="s">
        <v>278</v>
      </c>
      <c r="O218" t="s">
        <v>1185</v>
      </c>
      <c r="P218" t="s">
        <v>280</v>
      </c>
      <c r="Q218" t="s">
        <v>281</v>
      </c>
      <c r="R218" t="s">
        <v>282</v>
      </c>
      <c r="S218" t="s">
        <v>294</v>
      </c>
      <c r="T218" t="s">
        <v>295</v>
      </c>
      <c r="U218" t="s">
        <v>1186</v>
      </c>
      <c r="V218">
        <v>101</v>
      </c>
      <c r="W218">
        <v>13006</v>
      </c>
      <c r="X218">
        <v>245011</v>
      </c>
      <c r="Y218">
        <v>9999</v>
      </c>
      <c r="Z218">
        <v>207</v>
      </c>
      <c r="AA218">
        <v>999</v>
      </c>
      <c r="AB218">
        <v>9999</v>
      </c>
      <c r="AC218">
        <v>9999</v>
      </c>
      <c r="AD218" t="s">
        <v>1</v>
      </c>
      <c r="AE218" t="s">
        <v>1187</v>
      </c>
      <c r="AF218" t="s">
        <v>227</v>
      </c>
      <c r="AG218" t="s">
        <v>286</v>
      </c>
      <c r="AI218" t="s">
        <v>227</v>
      </c>
      <c r="AJ218">
        <v>45473</v>
      </c>
      <c r="AK218" t="s">
        <v>315</v>
      </c>
      <c r="AL218" t="s">
        <v>288</v>
      </c>
    </row>
    <row r="219" spans="1:38" x14ac:dyDescent="0.2">
      <c r="A219">
        <v>13</v>
      </c>
      <c r="B219" t="s">
        <v>46</v>
      </c>
      <c r="E219" t="s">
        <v>75</v>
      </c>
      <c r="F219" t="s">
        <v>1188</v>
      </c>
      <c r="G219" t="s">
        <v>1189</v>
      </c>
      <c r="H219" t="s">
        <v>12</v>
      </c>
      <c r="I219" t="s">
        <v>1171</v>
      </c>
      <c r="J219" s="91">
        <v>1479.56</v>
      </c>
      <c r="K219" s="91">
        <v>1479.56</v>
      </c>
      <c r="L219" s="91">
        <v>1479.56</v>
      </c>
      <c r="M219" t="s">
        <v>278</v>
      </c>
      <c r="N219" t="s">
        <v>278</v>
      </c>
      <c r="O219" t="s">
        <v>1190</v>
      </c>
      <c r="P219" t="s">
        <v>280</v>
      </c>
      <c r="Q219" t="s">
        <v>281</v>
      </c>
      <c r="R219" t="s">
        <v>282</v>
      </c>
      <c r="S219" t="s">
        <v>294</v>
      </c>
      <c r="T219" t="s">
        <v>295</v>
      </c>
      <c r="U219" t="s">
        <v>1186</v>
      </c>
      <c r="V219">
        <v>101</v>
      </c>
      <c r="W219">
        <v>13006</v>
      </c>
      <c r="X219">
        <v>245011</v>
      </c>
      <c r="Y219">
        <v>9999</v>
      </c>
      <c r="Z219">
        <v>207</v>
      </c>
      <c r="AA219">
        <v>999</v>
      </c>
      <c r="AB219">
        <v>9999</v>
      </c>
      <c r="AC219">
        <v>9999</v>
      </c>
      <c r="AD219" t="s">
        <v>1</v>
      </c>
      <c r="AE219" t="s">
        <v>1187</v>
      </c>
      <c r="AF219" t="s">
        <v>227</v>
      </c>
      <c r="AG219" t="s">
        <v>286</v>
      </c>
      <c r="AI219" t="s">
        <v>227</v>
      </c>
      <c r="AJ219">
        <v>45504</v>
      </c>
      <c r="AK219" t="s">
        <v>315</v>
      </c>
      <c r="AL219" t="s">
        <v>288</v>
      </c>
    </row>
    <row r="220" spans="1:38" x14ac:dyDescent="0.2">
      <c r="A220">
        <v>21</v>
      </c>
      <c r="B220" t="s">
        <v>46</v>
      </c>
      <c r="E220" t="s">
        <v>75</v>
      </c>
      <c r="F220" t="s">
        <v>1191</v>
      </c>
      <c r="G220" t="s">
        <v>1192</v>
      </c>
      <c r="H220" t="s">
        <v>16</v>
      </c>
      <c r="I220" t="s">
        <v>1171</v>
      </c>
      <c r="J220" s="91">
        <v>3326.4</v>
      </c>
      <c r="K220" s="91">
        <v>3326.4</v>
      </c>
      <c r="L220" s="91">
        <v>3326.4</v>
      </c>
      <c r="M220" t="s">
        <v>278</v>
      </c>
      <c r="N220" t="s">
        <v>278</v>
      </c>
      <c r="O220" t="s">
        <v>1193</v>
      </c>
      <c r="P220" t="s">
        <v>1181</v>
      </c>
      <c r="Q220" t="s">
        <v>281</v>
      </c>
      <c r="R220" t="s">
        <v>282</v>
      </c>
      <c r="S220" t="s">
        <v>294</v>
      </c>
      <c r="T220" t="s">
        <v>295</v>
      </c>
      <c r="U220" t="s">
        <v>474</v>
      </c>
      <c r="V220">
        <v>101</v>
      </c>
      <c r="W220">
        <v>13006</v>
      </c>
      <c r="X220">
        <v>245011</v>
      </c>
      <c r="Y220">
        <v>9999</v>
      </c>
      <c r="Z220">
        <v>999</v>
      </c>
      <c r="AA220">
        <v>999</v>
      </c>
      <c r="AB220">
        <v>9999</v>
      </c>
      <c r="AC220">
        <v>9999</v>
      </c>
      <c r="AD220" t="s">
        <v>1</v>
      </c>
      <c r="AE220" t="s">
        <v>227</v>
      </c>
      <c r="AF220" t="s">
        <v>227</v>
      </c>
      <c r="AG220" t="s">
        <v>286</v>
      </c>
      <c r="AI220" t="s">
        <v>227</v>
      </c>
      <c r="AJ220">
        <v>45496</v>
      </c>
      <c r="AK220" t="s">
        <v>328</v>
      </c>
      <c r="AL220" t="s">
        <v>288</v>
      </c>
    </row>
    <row r="221" spans="1:38" x14ac:dyDescent="0.2">
      <c r="A221">
        <v>257</v>
      </c>
      <c r="B221" t="s">
        <v>551</v>
      </c>
      <c r="D221" t="s">
        <v>1194</v>
      </c>
      <c r="E221" t="s">
        <v>57</v>
      </c>
      <c r="F221" t="s">
        <v>1195</v>
      </c>
      <c r="G221" t="s">
        <v>1196</v>
      </c>
      <c r="H221" t="s">
        <v>27</v>
      </c>
      <c r="I221" t="s">
        <v>907</v>
      </c>
      <c r="J221" s="91">
        <v>-216130.58</v>
      </c>
      <c r="K221" s="91">
        <v>-216130.58</v>
      </c>
      <c r="L221" s="91">
        <v>-216130.58</v>
      </c>
      <c r="M221" t="s">
        <v>278</v>
      </c>
      <c r="N221" t="s">
        <v>278</v>
      </c>
      <c r="O221" t="s">
        <v>1197</v>
      </c>
      <c r="P221" t="s">
        <v>280</v>
      </c>
      <c r="Q221" t="s">
        <v>281</v>
      </c>
      <c r="R221" t="s">
        <v>282</v>
      </c>
      <c r="S221" t="s">
        <v>283</v>
      </c>
      <c r="T221" t="s">
        <v>366</v>
      </c>
      <c r="U221" t="s">
        <v>461</v>
      </c>
      <c r="V221">
        <v>101</v>
      </c>
      <c r="W221">
        <v>12014</v>
      </c>
      <c r="X221">
        <v>245011</v>
      </c>
      <c r="Y221">
        <v>9999</v>
      </c>
      <c r="Z221">
        <v>999</v>
      </c>
      <c r="AA221">
        <v>999</v>
      </c>
      <c r="AB221">
        <v>9999</v>
      </c>
      <c r="AC221">
        <v>9999</v>
      </c>
      <c r="AD221" t="s">
        <v>1</v>
      </c>
      <c r="AE221" t="s">
        <v>227</v>
      </c>
      <c r="AF221" t="s">
        <v>227</v>
      </c>
      <c r="AG221" t="s">
        <v>286</v>
      </c>
      <c r="AI221" t="s">
        <v>227</v>
      </c>
      <c r="AJ221">
        <v>45260</v>
      </c>
      <c r="AK221" t="s">
        <v>287</v>
      </c>
      <c r="AL221" t="s">
        <v>288</v>
      </c>
    </row>
    <row r="222" spans="1:38" x14ac:dyDescent="0.2">
      <c r="A222">
        <v>44</v>
      </c>
      <c r="B222" t="s">
        <v>47</v>
      </c>
      <c r="D222" t="s">
        <v>1198</v>
      </c>
      <c r="E222" t="s">
        <v>57</v>
      </c>
      <c r="F222" t="s">
        <v>1199</v>
      </c>
      <c r="G222" t="s">
        <v>1200</v>
      </c>
      <c r="H222" t="s">
        <v>16</v>
      </c>
      <c r="I222" t="s">
        <v>1134</v>
      </c>
      <c r="J222" s="91">
        <v>176158.76</v>
      </c>
      <c r="K222" s="91">
        <v>176158.76</v>
      </c>
      <c r="L222" s="91">
        <v>176158.76</v>
      </c>
      <c r="M222" t="s">
        <v>278</v>
      </c>
      <c r="N222" t="s">
        <v>278</v>
      </c>
      <c r="O222" t="s">
        <v>1201</v>
      </c>
      <c r="P222" t="s">
        <v>280</v>
      </c>
      <c r="Q222" t="s">
        <v>281</v>
      </c>
      <c r="R222" t="s">
        <v>282</v>
      </c>
      <c r="S222" t="s">
        <v>283</v>
      </c>
      <c r="T222" t="s">
        <v>366</v>
      </c>
      <c r="U222" t="s">
        <v>461</v>
      </c>
      <c r="V222">
        <v>101</v>
      </c>
      <c r="W222">
        <v>12014</v>
      </c>
      <c r="X222">
        <v>245011</v>
      </c>
      <c r="Y222">
        <v>9999</v>
      </c>
      <c r="Z222">
        <v>999</v>
      </c>
      <c r="AA222">
        <v>999</v>
      </c>
      <c r="AB222">
        <v>9999</v>
      </c>
      <c r="AC222">
        <v>9999</v>
      </c>
      <c r="AD222" t="s">
        <v>1</v>
      </c>
      <c r="AE222" t="s">
        <v>227</v>
      </c>
      <c r="AF222" t="s">
        <v>227</v>
      </c>
      <c r="AG222" t="s">
        <v>286</v>
      </c>
      <c r="AI222" t="s">
        <v>227</v>
      </c>
      <c r="AJ222">
        <v>45473</v>
      </c>
      <c r="AK222" t="s">
        <v>287</v>
      </c>
      <c r="AL222" t="s">
        <v>288</v>
      </c>
    </row>
    <row r="223" spans="1:38" x14ac:dyDescent="0.2">
      <c r="A223">
        <v>13</v>
      </c>
      <c r="B223" t="s">
        <v>46</v>
      </c>
      <c r="E223" t="s">
        <v>57</v>
      </c>
      <c r="F223" t="s">
        <v>1202</v>
      </c>
      <c r="G223" t="s">
        <v>1203</v>
      </c>
      <c r="H223" t="s">
        <v>12</v>
      </c>
      <c r="I223" t="s">
        <v>1171</v>
      </c>
      <c r="J223" s="91">
        <v>1515.54</v>
      </c>
      <c r="K223" s="91">
        <v>1515.54</v>
      </c>
      <c r="L223" s="91">
        <v>1515.54</v>
      </c>
      <c r="M223" t="s">
        <v>278</v>
      </c>
      <c r="N223" t="s">
        <v>278</v>
      </c>
      <c r="O223" t="s">
        <v>1204</v>
      </c>
      <c r="P223" t="s">
        <v>280</v>
      </c>
      <c r="Q223" t="s">
        <v>281</v>
      </c>
      <c r="R223" t="s">
        <v>282</v>
      </c>
      <c r="S223" t="s">
        <v>283</v>
      </c>
      <c r="T223" t="s">
        <v>366</v>
      </c>
      <c r="U223" t="s">
        <v>1205</v>
      </c>
      <c r="V223">
        <v>101</v>
      </c>
      <c r="W223">
        <v>12014</v>
      </c>
      <c r="X223">
        <v>245011</v>
      </c>
      <c r="Y223">
        <v>9999</v>
      </c>
      <c r="Z223">
        <v>204</v>
      </c>
      <c r="AA223">
        <v>999</v>
      </c>
      <c r="AB223">
        <v>9999</v>
      </c>
      <c r="AC223">
        <v>9999</v>
      </c>
      <c r="AD223" t="s">
        <v>1</v>
      </c>
      <c r="AE223" t="s">
        <v>1206</v>
      </c>
      <c r="AF223" t="s">
        <v>227</v>
      </c>
      <c r="AG223" t="s">
        <v>286</v>
      </c>
      <c r="AI223" t="s">
        <v>227</v>
      </c>
      <c r="AJ223">
        <v>45504</v>
      </c>
      <c r="AK223" t="s">
        <v>315</v>
      </c>
      <c r="AL223" t="s">
        <v>288</v>
      </c>
    </row>
    <row r="224" spans="1:38" x14ac:dyDescent="0.2">
      <c r="A224">
        <v>13</v>
      </c>
      <c r="B224" t="s">
        <v>46</v>
      </c>
      <c r="E224" t="s">
        <v>57</v>
      </c>
      <c r="F224" t="s">
        <v>1207</v>
      </c>
      <c r="G224" t="s">
        <v>1208</v>
      </c>
      <c r="H224" t="s">
        <v>12</v>
      </c>
      <c r="I224" t="s">
        <v>1171</v>
      </c>
      <c r="J224" s="91">
        <v>-1515.54</v>
      </c>
      <c r="K224" s="91">
        <v>-1515.54</v>
      </c>
      <c r="L224" s="91">
        <v>-1515.54</v>
      </c>
      <c r="M224" t="s">
        <v>278</v>
      </c>
      <c r="N224" t="s">
        <v>278</v>
      </c>
      <c r="O224" t="s">
        <v>1209</v>
      </c>
      <c r="P224" t="s">
        <v>280</v>
      </c>
      <c r="Q224" t="s">
        <v>281</v>
      </c>
      <c r="R224" t="s">
        <v>282</v>
      </c>
      <c r="S224" t="s">
        <v>283</v>
      </c>
      <c r="T224" t="s">
        <v>366</v>
      </c>
      <c r="U224" t="s">
        <v>1205</v>
      </c>
      <c r="V224">
        <v>101</v>
      </c>
      <c r="W224">
        <v>12014</v>
      </c>
      <c r="X224">
        <v>245011</v>
      </c>
      <c r="Y224">
        <v>9999</v>
      </c>
      <c r="Z224">
        <v>204</v>
      </c>
      <c r="AA224">
        <v>999</v>
      </c>
      <c r="AB224">
        <v>9999</v>
      </c>
      <c r="AC224">
        <v>9999</v>
      </c>
      <c r="AD224" t="s">
        <v>1</v>
      </c>
      <c r="AE224" t="s">
        <v>1206</v>
      </c>
      <c r="AF224" t="s">
        <v>227</v>
      </c>
      <c r="AG224" t="s">
        <v>286</v>
      </c>
      <c r="AI224" t="s">
        <v>227</v>
      </c>
      <c r="AJ224">
        <v>45504</v>
      </c>
      <c r="AK224" t="s">
        <v>315</v>
      </c>
      <c r="AL224" t="s">
        <v>288</v>
      </c>
    </row>
    <row r="225" spans="1:38" x14ac:dyDescent="0.2">
      <c r="A225">
        <v>13</v>
      </c>
      <c r="B225" t="s">
        <v>46</v>
      </c>
      <c r="E225" t="s">
        <v>57</v>
      </c>
      <c r="F225" t="s">
        <v>1210</v>
      </c>
      <c r="G225" t="s">
        <v>1211</v>
      </c>
      <c r="H225" t="s">
        <v>27</v>
      </c>
      <c r="I225" t="s">
        <v>1171</v>
      </c>
      <c r="J225" s="91">
        <v>216130.58</v>
      </c>
      <c r="K225" s="91">
        <v>216130.58</v>
      </c>
      <c r="L225" s="91">
        <v>216130.58</v>
      </c>
      <c r="M225" t="s">
        <v>278</v>
      </c>
      <c r="N225" t="s">
        <v>278</v>
      </c>
      <c r="O225" t="s">
        <v>1212</v>
      </c>
      <c r="P225" t="s">
        <v>280</v>
      </c>
      <c r="Q225" t="s">
        <v>281</v>
      </c>
      <c r="R225" t="s">
        <v>282</v>
      </c>
      <c r="S225" t="s">
        <v>283</v>
      </c>
      <c r="T225" t="s">
        <v>366</v>
      </c>
      <c r="U225" t="s">
        <v>461</v>
      </c>
      <c r="V225">
        <v>101</v>
      </c>
      <c r="W225">
        <v>12014</v>
      </c>
      <c r="X225">
        <v>245011</v>
      </c>
      <c r="Y225">
        <v>9999</v>
      </c>
      <c r="Z225">
        <v>999</v>
      </c>
      <c r="AA225">
        <v>999</v>
      </c>
      <c r="AB225">
        <v>9999</v>
      </c>
      <c r="AC225">
        <v>9999</v>
      </c>
      <c r="AD225" t="s">
        <v>1</v>
      </c>
      <c r="AE225" t="s">
        <v>227</v>
      </c>
      <c r="AF225" t="s">
        <v>227</v>
      </c>
      <c r="AG225" t="s">
        <v>286</v>
      </c>
      <c r="AI225" t="s">
        <v>227</v>
      </c>
      <c r="AJ225">
        <v>45504</v>
      </c>
      <c r="AK225" t="s">
        <v>287</v>
      </c>
      <c r="AL225" t="s">
        <v>288</v>
      </c>
    </row>
    <row r="226" spans="1:38" x14ac:dyDescent="0.2">
      <c r="A226">
        <v>13</v>
      </c>
      <c r="B226" t="s">
        <v>46</v>
      </c>
      <c r="E226" t="s">
        <v>57</v>
      </c>
      <c r="F226" t="s">
        <v>1213</v>
      </c>
      <c r="G226" t="s">
        <v>1214</v>
      </c>
      <c r="H226" t="s">
        <v>16</v>
      </c>
      <c r="I226" t="s">
        <v>1171</v>
      </c>
      <c r="J226" s="91">
        <v>-176158.76</v>
      </c>
      <c r="K226" s="91">
        <v>-176158.76</v>
      </c>
      <c r="L226" s="91">
        <v>-176158.76</v>
      </c>
      <c r="M226" t="s">
        <v>278</v>
      </c>
      <c r="N226" t="s">
        <v>278</v>
      </c>
      <c r="O226" t="s">
        <v>1215</v>
      </c>
      <c r="P226" t="s">
        <v>280</v>
      </c>
      <c r="Q226" t="s">
        <v>281</v>
      </c>
      <c r="R226" t="s">
        <v>282</v>
      </c>
      <c r="S226" t="s">
        <v>283</v>
      </c>
      <c r="T226" t="s">
        <v>366</v>
      </c>
      <c r="U226" t="s">
        <v>461</v>
      </c>
      <c r="V226">
        <v>101</v>
      </c>
      <c r="W226">
        <v>12014</v>
      </c>
      <c r="X226">
        <v>245011</v>
      </c>
      <c r="Y226">
        <v>9999</v>
      </c>
      <c r="Z226">
        <v>999</v>
      </c>
      <c r="AA226">
        <v>999</v>
      </c>
      <c r="AB226">
        <v>9999</v>
      </c>
      <c r="AC226">
        <v>9999</v>
      </c>
      <c r="AD226" t="s">
        <v>1</v>
      </c>
      <c r="AE226" t="s">
        <v>227</v>
      </c>
      <c r="AF226" t="s">
        <v>227</v>
      </c>
      <c r="AG226" t="s">
        <v>286</v>
      </c>
      <c r="AI226" t="s">
        <v>227</v>
      </c>
      <c r="AJ226">
        <v>45504</v>
      </c>
      <c r="AK226" t="s">
        <v>287</v>
      </c>
      <c r="AL226" t="s">
        <v>288</v>
      </c>
    </row>
    <row r="227" spans="1:38" x14ac:dyDescent="0.2">
      <c r="A227">
        <v>440</v>
      </c>
      <c r="B227" t="s">
        <v>54</v>
      </c>
      <c r="D227" t="s">
        <v>1216</v>
      </c>
      <c r="E227" t="s">
        <v>23</v>
      </c>
      <c r="F227" t="s">
        <v>1217</v>
      </c>
      <c r="G227" t="s">
        <v>1218</v>
      </c>
      <c r="H227" t="s">
        <v>16</v>
      </c>
      <c r="I227">
        <v>45069</v>
      </c>
      <c r="J227" s="91">
        <v>-53647</v>
      </c>
      <c r="K227" s="91">
        <v>-53647</v>
      </c>
      <c r="L227" s="91">
        <v>-53647</v>
      </c>
      <c r="M227" t="s">
        <v>278</v>
      </c>
      <c r="N227" t="s">
        <v>278</v>
      </c>
      <c r="O227" t="s">
        <v>1219</v>
      </c>
      <c r="P227" t="s">
        <v>280</v>
      </c>
      <c r="Q227" t="s">
        <v>281</v>
      </c>
      <c r="R227" t="s">
        <v>282</v>
      </c>
      <c r="S227" t="s">
        <v>283</v>
      </c>
      <c r="T227" t="s">
        <v>313</v>
      </c>
      <c r="U227" t="s">
        <v>415</v>
      </c>
      <c r="V227">
        <v>101</v>
      </c>
      <c r="W227">
        <v>11003</v>
      </c>
      <c r="X227">
        <v>245011</v>
      </c>
      <c r="Y227">
        <v>9999</v>
      </c>
      <c r="Z227">
        <v>999</v>
      </c>
      <c r="AA227">
        <v>999</v>
      </c>
      <c r="AB227">
        <v>9999</v>
      </c>
      <c r="AC227">
        <v>9999</v>
      </c>
      <c r="AD227" t="s">
        <v>1</v>
      </c>
      <c r="AE227" t="s">
        <v>227</v>
      </c>
      <c r="AF227" t="s">
        <v>227</v>
      </c>
      <c r="AG227" t="s">
        <v>286</v>
      </c>
      <c r="AH227" t="s">
        <v>227</v>
      </c>
      <c r="AI227" t="s">
        <v>227</v>
      </c>
      <c r="AJ227">
        <v>45077</v>
      </c>
      <c r="AK227" t="s">
        <v>287</v>
      </c>
      <c r="AL227" t="s">
        <v>288</v>
      </c>
    </row>
    <row r="228" spans="1:38" x14ac:dyDescent="0.2">
      <c r="A228">
        <v>13</v>
      </c>
      <c r="B228" t="s">
        <v>46</v>
      </c>
      <c r="E228" t="s">
        <v>23</v>
      </c>
      <c r="F228" t="s">
        <v>1220</v>
      </c>
      <c r="G228" t="s">
        <v>1221</v>
      </c>
      <c r="H228" t="s">
        <v>17</v>
      </c>
      <c r="I228" t="s">
        <v>1171</v>
      </c>
      <c r="J228" s="91">
        <v>53647</v>
      </c>
      <c r="K228" s="91">
        <v>53647</v>
      </c>
      <c r="L228" s="91">
        <v>53647</v>
      </c>
      <c r="M228" t="s">
        <v>278</v>
      </c>
      <c r="N228" t="s">
        <v>278</v>
      </c>
      <c r="O228" t="s">
        <v>1222</v>
      </c>
      <c r="P228" t="s">
        <v>280</v>
      </c>
      <c r="Q228" t="s">
        <v>281</v>
      </c>
      <c r="R228" t="s">
        <v>282</v>
      </c>
      <c r="S228" t="s">
        <v>283</v>
      </c>
      <c r="T228" t="s">
        <v>313</v>
      </c>
      <c r="U228" t="s">
        <v>415</v>
      </c>
      <c r="V228">
        <v>101</v>
      </c>
      <c r="W228">
        <v>11003</v>
      </c>
      <c r="X228">
        <v>245011</v>
      </c>
      <c r="Y228">
        <v>9999</v>
      </c>
      <c r="Z228">
        <v>999</v>
      </c>
      <c r="AA228">
        <v>999</v>
      </c>
      <c r="AB228">
        <v>9999</v>
      </c>
      <c r="AC228">
        <v>9999</v>
      </c>
      <c r="AD228" t="s">
        <v>1</v>
      </c>
      <c r="AE228" t="s">
        <v>227</v>
      </c>
      <c r="AF228" t="s">
        <v>227</v>
      </c>
      <c r="AG228" t="s">
        <v>286</v>
      </c>
      <c r="AI228" t="s">
        <v>227</v>
      </c>
      <c r="AJ228">
        <v>45504</v>
      </c>
      <c r="AK228" t="s">
        <v>287</v>
      </c>
      <c r="AL228" t="s">
        <v>288</v>
      </c>
    </row>
    <row r="229" spans="1:38" x14ac:dyDescent="0.2">
      <c r="A229">
        <v>195</v>
      </c>
      <c r="B229" t="s">
        <v>559</v>
      </c>
      <c r="D229" t="s">
        <v>1223</v>
      </c>
      <c r="E229" t="s">
        <v>77</v>
      </c>
      <c r="F229" t="s">
        <v>1224</v>
      </c>
      <c r="G229" t="s">
        <v>1225</v>
      </c>
      <c r="H229" t="s">
        <v>16</v>
      </c>
      <c r="I229" t="s">
        <v>970</v>
      </c>
      <c r="J229" s="91">
        <v>-259345.94</v>
      </c>
      <c r="K229" s="91">
        <v>-259345.94</v>
      </c>
      <c r="L229" s="91">
        <v>-259345.94</v>
      </c>
      <c r="M229" t="s">
        <v>278</v>
      </c>
      <c r="N229" t="s">
        <v>278</v>
      </c>
      <c r="O229" t="s">
        <v>1226</v>
      </c>
      <c r="P229" t="s">
        <v>280</v>
      </c>
      <c r="Q229" t="s">
        <v>281</v>
      </c>
      <c r="R229" t="s">
        <v>282</v>
      </c>
      <c r="S229" t="s">
        <v>283</v>
      </c>
      <c r="T229" t="s">
        <v>313</v>
      </c>
      <c r="U229" t="s">
        <v>594</v>
      </c>
      <c r="V229">
        <v>101</v>
      </c>
      <c r="W229">
        <v>11001</v>
      </c>
      <c r="X229">
        <v>245011</v>
      </c>
      <c r="Y229">
        <v>9999</v>
      </c>
      <c r="Z229">
        <v>999</v>
      </c>
      <c r="AA229">
        <v>999</v>
      </c>
      <c r="AB229">
        <v>9999</v>
      </c>
      <c r="AC229">
        <v>9999</v>
      </c>
      <c r="AD229" t="s">
        <v>1</v>
      </c>
      <c r="AE229" t="s">
        <v>227</v>
      </c>
      <c r="AF229" t="s">
        <v>227</v>
      </c>
      <c r="AG229" t="s">
        <v>286</v>
      </c>
      <c r="AI229" t="s">
        <v>227</v>
      </c>
      <c r="AJ229">
        <v>45322</v>
      </c>
      <c r="AK229" t="s">
        <v>287</v>
      </c>
      <c r="AL229" t="s">
        <v>288</v>
      </c>
    </row>
    <row r="230" spans="1:38" x14ac:dyDescent="0.2">
      <c r="A230">
        <v>13</v>
      </c>
      <c r="B230" t="s">
        <v>46</v>
      </c>
      <c r="E230" t="s">
        <v>77</v>
      </c>
      <c r="F230" t="s">
        <v>1227</v>
      </c>
      <c r="G230" t="s">
        <v>1228</v>
      </c>
      <c r="H230" t="s">
        <v>12</v>
      </c>
      <c r="I230" t="s">
        <v>1171</v>
      </c>
      <c r="J230" s="91">
        <v>745055.74</v>
      </c>
      <c r="K230" s="91">
        <v>745055.74</v>
      </c>
      <c r="L230" s="91">
        <v>745055.74</v>
      </c>
      <c r="M230" t="s">
        <v>278</v>
      </c>
      <c r="N230" t="s">
        <v>278</v>
      </c>
      <c r="O230" t="s">
        <v>1229</v>
      </c>
      <c r="P230" t="s">
        <v>280</v>
      </c>
      <c r="Q230" t="s">
        <v>281</v>
      </c>
      <c r="R230" t="s">
        <v>282</v>
      </c>
      <c r="S230" t="s">
        <v>283</v>
      </c>
      <c r="T230" t="s">
        <v>313</v>
      </c>
      <c r="U230" t="s">
        <v>1230</v>
      </c>
      <c r="V230">
        <v>101</v>
      </c>
      <c r="W230">
        <v>11001</v>
      </c>
      <c r="X230">
        <v>245011</v>
      </c>
      <c r="Y230">
        <v>9999</v>
      </c>
      <c r="Z230">
        <v>204</v>
      </c>
      <c r="AA230">
        <v>999</v>
      </c>
      <c r="AB230">
        <v>9999</v>
      </c>
      <c r="AC230">
        <v>9999</v>
      </c>
      <c r="AD230" t="s">
        <v>1</v>
      </c>
      <c r="AE230" t="s">
        <v>1231</v>
      </c>
      <c r="AF230" t="s">
        <v>227</v>
      </c>
      <c r="AG230" t="s">
        <v>286</v>
      </c>
      <c r="AI230" t="s">
        <v>227</v>
      </c>
      <c r="AJ230">
        <v>45504</v>
      </c>
      <c r="AK230" t="s">
        <v>315</v>
      </c>
      <c r="AL230" t="s">
        <v>288</v>
      </c>
    </row>
    <row r="231" spans="1:38" x14ac:dyDescent="0.2">
      <c r="A231">
        <v>13</v>
      </c>
      <c r="B231" t="s">
        <v>46</v>
      </c>
      <c r="E231" t="s">
        <v>77</v>
      </c>
      <c r="F231" t="s">
        <v>1232</v>
      </c>
      <c r="G231" t="s">
        <v>1233</v>
      </c>
      <c r="H231" t="s">
        <v>12</v>
      </c>
      <c r="I231" t="s">
        <v>1171</v>
      </c>
      <c r="J231" s="91">
        <v>-745055.74</v>
      </c>
      <c r="K231" s="91">
        <v>-745055.74</v>
      </c>
      <c r="L231" s="91">
        <v>-745055.74</v>
      </c>
      <c r="M231" t="s">
        <v>278</v>
      </c>
      <c r="N231" t="s">
        <v>278</v>
      </c>
      <c r="O231" t="s">
        <v>1234</v>
      </c>
      <c r="P231" t="s">
        <v>280</v>
      </c>
      <c r="Q231" t="s">
        <v>281</v>
      </c>
      <c r="R231" t="s">
        <v>282</v>
      </c>
      <c r="S231" t="s">
        <v>283</v>
      </c>
      <c r="T231" t="s">
        <v>313</v>
      </c>
      <c r="U231" t="s">
        <v>1230</v>
      </c>
      <c r="V231">
        <v>101</v>
      </c>
      <c r="W231">
        <v>11001</v>
      </c>
      <c r="X231">
        <v>245011</v>
      </c>
      <c r="Y231">
        <v>9999</v>
      </c>
      <c r="Z231">
        <v>204</v>
      </c>
      <c r="AA231">
        <v>999</v>
      </c>
      <c r="AB231">
        <v>9999</v>
      </c>
      <c r="AC231">
        <v>9999</v>
      </c>
      <c r="AD231" t="s">
        <v>1</v>
      </c>
      <c r="AE231" t="s">
        <v>1231</v>
      </c>
      <c r="AF231" t="s">
        <v>227</v>
      </c>
      <c r="AG231" t="s">
        <v>286</v>
      </c>
      <c r="AI231" t="s">
        <v>227</v>
      </c>
      <c r="AJ231">
        <v>45504</v>
      </c>
      <c r="AK231" t="s">
        <v>315</v>
      </c>
      <c r="AL231" t="s">
        <v>288</v>
      </c>
    </row>
    <row r="232" spans="1:38" x14ac:dyDescent="0.2">
      <c r="A232">
        <v>35</v>
      </c>
      <c r="B232" t="s">
        <v>47</v>
      </c>
      <c r="E232" t="s">
        <v>77</v>
      </c>
      <c r="F232" t="s">
        <v>1235</v>
      </c>
      <c r="G232" t="s">
        <v>1236</v>
      </c>
      <c r="H232" t="s">
        <v>16</v>
      </c>
      <c r="I232" t="s">
        <v>1171</v>
      </c>
      <c r="J232" s="91">
        <v>259345.94</v>
      </c>
      <c r="K232" s="91">
        <v>259345.94</v>
      </c>
      <c r="L232" s="91">
        <v>259345.94</v>
      </c>
      <c r="M232" t="s">
        <v>278</v>
      </c>
      <c r="N232" t="s">
        <v>278</v>
      </c>
      <c r="O232" t="s">
        <v>1237</v>
      </c>
      <c r="P232" t="s">
        <v>280</v>
      </c>
      <c r="Q232" t="s">
        <v>281</v>
      </c>
      <c r="R232" t="s">
        <v>282</v>
      </c>
      <c r="S232" t="s">
        <v>283</v>
      </c>
      <c r="T232" t="s">
        <v>313</v>
      </c>
      <c r="U232" t="s">
        <v>594</v>
      </c>
      <c r="V232">
        <v>101</v>
      </c>
      <c r="W232">
        <v>11001</v>
      </c>
      <c r="X232">
        <v>245011</v>
      </c>
      <c r="Y232">
        <v>9999</v>
      </c>
      <c r="Z232">
        <v>999</v>
      </c>
      <c r="AA232">
        <v>999</v>
      </c>
      <c r="AB232">
        <v>9999</v>
      </c>
      <c r="AC232">
        <v>9999</v>
      </c>
      <c r="AD232" t="s">
        <v>1</v>
      </c>
      <c r="AE232" t="s">
        <v>227</v>
      </c>
      <c r="AF232" t="s">
        <v>227</v>
      </c>
      <c r="AG232" t="s">
        <v>286</v>
      </c>
      <c r="AI232" t="s">
        <v>227</v>
      </c>
      <c r="AJ232">
        <v>45482</v>
      </c>
      <c r="AK232" t="s">
        <v>287</v>
      </c>
      <c r="AL232" t="s">
        <v>288</v>
      </c>
    </row>
    <row r="233" spans="1:38" x14ac:dyDescent="0.2">
      <c r="A233">
        <v>135</v>
      </c>
      <c r="B233" t="s">
        <v>50</v>
      </c>
      <c r="D233" t="s">
        <v>1238</v>
      </c>
      <c r="E233" t="s">
        <v>39</v>
      </c>
      <c r="F233" t="s">
        <v>1239</v>
      </c>
      <c r="G233" t="s">
        <v>1240</v>
      </c>
      <c r="H233" t="s">
        <v>16</v>
      </c>
      <c r="I233" t="s">
        <v>1037</v>
      </c>
      <c r="J233" s="91">
        <v>2241266</v>
      </c>
      <c r="K233" s="91">
        <v>2241266</v>
      </c>
      <c r="L233" s="91">
        <v>2241266</v>
      </c>
      <c r="M233" t="s">
        <v>278</v>
      </c>
      <c r="N233" t="s">
        <v>278</v>
      </c>
      <c r="O233" t="s">
        <v>1241</v>
      </c>
      <c r="P233" t="s">
        <v>280</v>
      </c>
      <c r="Q233" t="s">
        <v>281</v>
      </c>
      <c r="R233" t="s">
        <v>282</v>
      </c>
      <c r="S233" t="s">
        <v>283</v>
      </c>
      <c r="T233" t="s">
        <v>366</v>
      </c>
      <c r="U233" t="s">
        <v>733</v>
      </c>
      <c r="V233">
        <v>101</v>
      </c>
      <c r="W233">
        <v>12013</v>
      </c>
      <c r="X233">
        <v>245011</v>
      </c>
      <c r="Y233">
        <v>9999</v>
      </c>
      <c r="Z233">
        <v>999</v>
      </c>
      <c r="AA233">
        <v>999</v>
      </c>
      <c r="AB233">
        <v>9999</v>
      </c>
      <c r="AC233">
        <v>9999</v>
      </c>
      <c r="AD233" t="s">
        <v>1</v>
      </c>
      <c r="AE233" t="s">
        <v>227</v>
      </c>
      <c r="AF233" t="s">
        <v>227</v>
      </c>
      <c r="AG233" t="s">
        <v>286</v>
      </c>
      <c r="AI233" t="s">
        <v>227</v>
      </c>
      <c r="AJ233">
        <v>45382</v>
      </c>
      <c r="AK233" t="s">
        <v>315</v>
      </c>
      <c r="AL233" t="s">
        <v>288</v>
      </c>
    </row>
    <row r="234" spans="1:38" x14ac:dyDescent="0.2">
      <c r="A234">
        <v>44</v>
      </c>
      <c r="B234" t="s">
        <v>47</v>
      </c>
      <c r="D234" t="s">
        <v>1242</v>
      </c>
      <c r="E234" t="s">
        <v>39</v>
      </c>
      <c r="F234" t="s">
        <v>1243</v>
      </c>
      <c r="G234" t="s">
        <v>1244</v>
      </c>
      <c r="H234" t="s">
        <v>12</v>
      </c>
      <c r="I234" t="s">
        <v>1134</v>
      </c>
      <c r="J234" s="91">
        <v>-2296.29</v>
      </c>
      <c r="K234" s="91">
        <v>-2296.29</v>
      </c>
      <c r="L234" s="91">
        <v>-2296.29</v>
      </c>
      <c r="M234" t="s">
        <v>278</v>
      </c>
      <c r="N234" t="s">
        <v>278</v>
      </c>
      <c r="O234" t="s">
        <v>1245</v>
      </c>
      <c r="P234" t="s">
        <v>280</v>
      </c>
      <c r="Q234" t="s">
        <v>281</v>
      </c>
      <c r="R234" t="s">
        <v>282</v>
      </c>
      <c r="S234" t="s">
        <v>283</v>
      </c>
      <c r="T234" t="s">
        <v>366</v>
      </c>
      <c r="U234" t="s">
        <v>1246</v>
      </c>
      <c r="V234">
        <v>101</v>
      </c>
      <c r="W234">
        <v>12013</v>
      </c>
      <c r="X234">
        <v>245011</v>
      </c>
      <c r="Y234">
        <v>9999</v>
      </c>
      <c r="Z234">
        <v>204</v>
      </c>
      <c r="AA234">
        <v>999</v>
      </c>
      <c r="AB234">
        <v>9999</v>
      </c>
      <c r="AC234">
        <v>9999</v>
      </c>
      <c r="AD234" t="s">
        <v>1</v>
      </c>
      <c r="AE234" t="s">
        <v>1247</v>
      </c>
      <c r="AF234" t="s">
        <v>227</v>
      </c>
      <c r="AG234" t="s">
        <v>286</v>
      </c>
      <c r="AI234" t="s">
        <v>227</v>
      </c>
      <c r="AJ234">
        <v>45473</v>
      </c>
      <c r="AK234" t="s">
        <v>315</v>
      </c>
      <c r="AL234" t="s">
        <v>288</v>
      </c>
    </row>
    <row r="235" spans="1:38" x14ac:dyDescent="0.2">
      <c r="A235">
        <v>13</v>
      </c>
      <c r="B235" t="s">
        <v>46</v>
      </c>
      <c r="E235" t="s">
        <v>39</v>
      </c>
      <c r="F235" t="s">
        <v>1248</v>
      </c>
      <c r="G235" t="s">
        <v>1249</v>
      </c>
      <c r="H235" t="s">
        <v>227</v>
      </c>
      <c r="I235" t="s">
        <v>1171</v>
      </c>
      <c r="J235" s="91">
        <v>-2241266</v>
      </c>
      <c r="K235" s="91">
        <v>-2241266</v>
      </c>
      <c r="L235" s="91">
        <v>-2241266</v>
      </c>
      <c r="M235" t="s">
        <v>278</v>
      </c>
      <c r="N235" t="s">
        <v>278</v>
      </c>
      <c r="O235" t="s">
        <v>1250</v>
      </c>
      <c r="P235" t="s">
        <v>280</v>
      </c>
      <c r="Q235" t="s">
        <v>281</v>
      </c>
      <c r="R235" t="s">
        <v>282</v>
      </c>
      <c r="S235" t="s">
        <v>283</v>
      </c>
      <c r="T235" t="s">
        <v>366</v>
      </c>
      <c r="U235" t="s">
        <v>733</v>
      </c>
      <c r="V235">
        <v>101</v>
      </c>
      <c r="W235">
        <v>12013</v>
      </c>
      <c r="X235">
        <v>245011</v>
      </c>
      <c r="Y235">
        <v>9999</v>
      </c>
      <c r="Z235">
        <v>999</v>
      </c>
      <c r="AA235">
        <v>999</v>
      </c>
      <c r="AB235">
        <v>9999</v>
      </c>
      <c r="AC235">
        <v>9999</v>
      </c>
      <c r="AD235" t="s">
        <v>1</v>
      </c>
      <c r="AE235" t="s">
        <v>227</v>
      </c>
      <c r="AF235" t="s">
        <v>227</v>
      </c>
      <c r="AG235" t="s">
        <v>286</v>
      </c>
      <c r="AI235" t="s">
        <v>227</v>
      </c>
      <c r="AJ235">
        <v>45504</v>
      </c>
      <c r="AK235" t="s">
        <v>315</v>
      </c>
      <c r="AL235" t="s">
        <v>288</v>
      </c>
    </row>
    <row r="236" spans="1:38" x14ac:dyDescent="0.2">
      <c r="A236">
        <v>27</v>
      </c>
      <c r="B236" t="s">
        <v>46</v>
      </c>
      <c r="E236" t="s">
        <v>39</v>
      </c>
      <c r="F236" t="s">
        <v>1251</v>
      </c>
      <c r="G236" t="s">
        <v>1252</v>
      </c>
      <c r="H236" t="s">
        <v>12</v>
      </c>
      <c r="I236" t="s">
        <v>1171</v>
      </c>
      <c r="J236" s="91">
        <v>2296.29</v>
      </c>
      <c r="K236" s="91">
        <v>2296.29</v>
      </c>
      <c r="L236" s="91">
        <v>2296.29</v>
      </c>
      <c r="M236" t="s">
        <v>278</v>
      </c>
      <c r="N236" t="s">
        <v>278</v>
      </c>
      <c r="O236" t="s">
        <v>1253</v>
      </c>
      <c r="P236" t="s">
        <v>280</v>
      </c>
      <c r="Q236" t="s">
        <v>281</v>
      </c>
      <c r="R236" t="s">
        <v>282</v>
      </c>
      <c r="S236" t="s">
        <v>283</v>
      </c>
      <c r="T236" t="s">
        <v>366</v>
      </c>
      <c r="U236" t="s">
        <v>1246</v>
      </c>
      <c r="V236">
        <v>101</v>
      </c>
      <c r="W236">
        <v>12013</v>
      </c>
      <c r="X236">
        <v>245011</v>
      </c>
      <c r="Y236">
        <v>9999</v>
      </c>
      <c r="Z236">
        <v>204</v>
      </c>
      <c r="AA236">
        <v>999</v>
      </c>
      <c r="AB236">
        <v>9999</v>
      </c>
      <c r="AC236">
        <v>9999</v>
      </c>
      <c r="AD236" t="s">
        <v>1</v>
      </c>
      <c r="AE236" t="s">
        <v>1247</v>
      </c>
      <c r="AF236" t="s">
        <v>227</v>
      </c>
      <c r="AG236" t="s">
        <v>286</v>
      </c>
      <c r="AI236" t="s">
        <v>227</v>
      </c>
      <c r="AJ236">
        <v>45490</v>
      </c>
      <c r="AK236" t="s">
        <v>315</v>
      </c>
      <c r="AL236" t="s">
        <v>288</v>
      </c>
    </row>
    <row r="237" spans="1:38" x14ac:dyDescent="0.2">
      <c r="A237">
        <v>805</v>
      </c>
      <c r="B237" t="s">
        <v>54</v>
      </c>
      <c r="D237" t="s">
        <v>1254</v>
      </c>
      <c r="E237" t="s">
        <v>11</v>
      </c>
      <c r="F237" t="s">
        <v>1255</v>
      </c>
      <c r="G237" t="s">
        <v>1256</v>
      </c>
      <c r="H237" t="s">
        <v>9</v>
      </c>
      <c r="I237" t="s">
        <v>1257</v>
      </c>
      <c r="J237" s="91">
        <v>68161.14</v>
      </c>
      <c r="K237" s="91">
        <v>68161.14</v>
      </c>
      <c r="L237" s="91">
        <v>68161.14</v>
      </c>
      <c r="M237" t="s">
        <v>278</v>
      </c>
      <c r="N237" t="s">
        <v>278</v>
      </c>
      <c r="O237" t="s">
        <v>1258</v>
      </c>
      <c r="P237" t="s">
        <v>280</v>
      </c>
      <c r="Q237" t="s">
        <v>281</v>
      </c>
      <c r="R237" t="s">
        <v>282</v>
      </c>
      <c r="S237" t="s">
        <v>283</v>
      </c>
      <c r="T237" t="s">
        <v>313</v>
      </c>
      <c r="U237" t="s">
        <v>285</v>
      </c>
      <c r="V237">
        <v>101</v>
      </c>
      <c r="W237">
        <v>12012</v>
      </c>
      <c r="X237">
        <v>245011</v>
      </c>
      <c r="Y237">
        <v>9999</v>
      </c>
      <c r="Z237">
        <v>999</v>
      </c>
      <c r="AA237">
        <v>999</v>
      </c>
      <c r="AB237">
        <v>9999</v>
      </c>
      <c r="AC237">
        <v>9999</v>
      </c>
      <c r="AD237" t="s">
        <v>1</v>
      </c>
      <c r="AE237" t="s">
        <v>227</v>
      </c>
      <c r="AF237" t="s">
        <v>227</v>
      </c>
      <c r="AG237" t="s">
        <v>286</v>
      </c>
      <c r="AI237" t="s">
        <v>227</v>
      </c>
      <c r="AJ237">
        <v>44712</v>
      </c>
      <c r="AK237" t="s">
        <v>287</v>
      </c>
      <c r="AL237" t="s">
        <v>288</v>
      </c>
    </row>
    <row r="238" spans="1:38" x14ac:dyDescent="0.2">
      <c r="A238">
        <v>501</v>
      </c>
      <c r="B238" t="s">
        <v>54</v>
      </c>
      <c r="D238" t="s">
        <v>1259</v>
      </c>
      <c r="E238" t="s">
        <v>11</v>
      </c>
      <c r="F238" t="s">
        <v>1260</v>
      </c>
      <c r="G238" t="s">
        <v>1261</v>
      </c>
      <c r="H238" t="s">
        <v>17</v>
      </c>
      <c r="I238" t="s">
        <v>579</v>
      </c>
      <c r="J238" s="91">
        <v>12289.9</v>
      </c>
      <c r="K238" s="91">
        <v>12289.9</v>
      </c>
      <c r="L238" s="91">
        <v>12289.9</v>
      </c>
      <c r="M238" t="s">
        <v>278</v>
      </c>
      <c r="N238" t="s">
        <v>278</v>
      </c>
      <c r="O238" t="s">
        <v>1262</v>
      </c>
      <c r="P238" t="s">
        <v>280</v>
      </c>
      <c r="Q238" t="s">
        <v>281</v>
      </c>
      <c r="R238" t="s">
        <v>282</v>
      </c>
      <c r="S238" t="s">
        <v>283</v>
      </c>
      <c r="T238" t="s">
        <v>313</v>
      </c>
      <c r="U238" t="s">
        <v>285</v>
      </c>
      <c r="V238">
        <v>101</v>
      </c>
      <c r="W238">
        <v>12012</v>
      </c>
      <c r="X238">
        <v>245011</v>
      </c>
      <c r="Y238">
        <v>9999</v>
      </c>
      <c r="Z238">
        <v>999</v>
      </c>
      <c r="AA238">
        <v>999</v>
      </c>
      <c r="AB238">
        <v>9999</v>
      </c>
      <c r="AC238">
        <v>9999</v>
      </c>
      <c r="AD238" t="s">
        <v>1</v>
      </c>
      <c r="AE238" t="s">
        <v>227</v>
      </c>
      <c r="AF238" t="s">
        <v>227</v>
      </c>
      <c r="AG238" t="s">
        <v>286</v>
      </c>
      <c r="AI238" t="s">
        <v>227</v>
      </c>
      <c r="AJ238">
        <v>45016</v>
      </c>
      <c r="AK238" t="s">
        <v>287</v>
      </c>
      <c r="AL238" t="s">
        <v>288</v>
      </c>
    </row>
    <row r="239" spans="1:38" x14ac:dyDescent="0.2">
      <c r="A239">
        <v>74</v>
      </c>
      <c r="B239" t="s">
        <v>48</v>
      </c>
      <c r="D239" t="s">
        <v>1263</v>
      </c>
      <c r="E239" t="s">
        <v>11</v>
      </c>
      <c r="F239" t="s">
        <v>1264</v>
      </c>
      <c r="G239" t="s">
        <v>1265</v>
      </c>
      <c r="H239" t="s">
        <v>16</v>
      </c>
      <c r="I239" t="s">
        <v>1125</v>
      </c>
      <c r="J239" s="91">
        <v>182084.22</v>
      </c>
      <c r="K239" s="91">
        <v>182084.22</v>
      </c>
      <c r="L239" s="91">
        <v>182084.22</v>
      </c>
      <c r="M239" t="s">
        <v>278</v>
      </c>
      <c r="N239" t="s">
        <v>278</v>
      </c>
      <c r="O239" t="s">
        <v>1266</v>
      </c>
      <c r="P239" t="s">
        <v>280</v>
      </c>
      <c r="Q239" t="s">
        <v>281</v>
      </c>
      <c r="R239" t="s">
        <v>282</v>
      </c>
      <c r="S239" t="s">
        <v>283</v>
      </c>
      <c r="T239" t="s">
        <v>284</v>
      </c>
      <c r="U239" t="s">
        <v>285</v>
      </c>
      <c r="V239">
        <v>101</v>
      </c>
      <c r="W239">
        <v>12012</v>
      </c>
      <c r="X239">
        <v>245011</v>
      </c>
      <c r="Y239">
        <v>9999</v>
      </c>
      <c r="Z239">
        <v>999</v>
      </c>
      <c r="AA239">
        <v>999</v>
      </c>
      <c r="AB239">
        <v>9999</v>
      </c>
      <c r="AC239">
        <v>9999</v>
      </c>
      <c r="AD239" t="s">
        <v>1</v>
      </c>
      <c r="AE239" t="s">
        <v>227</v>
      </c>
      <c r="AF239" t="s">
        <v>227</v>
      </c>
      <c r="AG239" t="s">
        <v>286</v>
      </c>
      <c r="AI239" t="s">
        <v>227</v>
      </c>
      <c r="AJ239">
        <v>45443</v>
      </c>
      <c r="AK239" t="s">
        <v>287</v>
      </c>
      <c r="AL239" t="s">
        <v>288</v>
      </c>
    </row>
    <row r="240" spans="1:38" x14ac:dyDescent="0.2">
      <c r="A240">
        <v>44</v>
      </c>
      <c r="B240" t="s">
        <v>47</v>
      </c>
      <c r="D240" t="s">
        <v>1267</v>
      </c>
      <c r="E240" t="s">
        <v>11</v>
      </c>
      <c r="F240" t="s">
        <v>1268</v>
      </c>
      <c r="G240" t="s">
        <v>1269</v>
      </c>
      <c r="H240" t="s">
        <v>221</v>
      </c>
      <c r="I240" t="s">
        <v>1134</v>
      </c>
      <c r="J240" s="91">
        <v>-1033328.59</v>
      </c>
      <c r="K240" s="91">
        <v>-1033328.59</v>
      </c>
      <c r="L240" s="91">
        <v>-1033328.59</v>
      </c>
      <c r="M240" t="s">
        <v>278</v>
      </c>
      <c r="N240" t="s">
        <v>278</v>
      </c>
      <c r="O240" t="s">
        <v>1270</v>
      </c>
      <c r="P240" t="s">
        <v>280</v>
      </c>
      <c r="Q240" t="s">
        <v>281</v>
      </c>
      <c r="R240" t="s">
        <v>282</v>
      </c>
      <c r="S240" t="s">
        <v>283</v>
      </c>
      <c r="T240" t="s">
        <v>284</v>
      </c>
      <c r="U240" t="s">
        <v>285</v>
      </c>
      <c r="V240">
        <v>101</v>
      </c>
      <c r="W240">
        <v>12012</v>
      </c>
      <c r="X240">
        <v>245011</v>
      </c>
      <c r="Y240">
        <v>9999</v>
      </c>
      <c r="Z240">
        <v>999</v>
      </c>
      <c r="AA240">
        <v>999</v>
      </c>
      <c r="AB240">
        <v>9999</v>
      </c>
      <c r="AC240">
        <v>9999</v>
      </c>
      <c r="AD240" t="s">
        <v>1</v>
      </c>
      <c r="AE240" t="s">
        <v>227</v>
      </c>
      <c r="AF240" t="s">
        <v>227</v>
      </c>
      <c r="AG240" t="s">
        <v>286</v>
      </c>
      <c r="AI240" t="s">
        <v>227</v>
      </c>
      <c r="AJ240">
        <v>45473</v>
      </c>
      <c r="AK240" t="s">
        <v>287</v>
      </c>
      <c r="AL240" t="s">
        <v>288</v>
      </c>
    </row>
    <row r="241" spans="1:38" x14ac:dyDescent="0.2">
      <c r="A241">
        <v>13</v>
      </c>
      <c r="B241" t="s">
        <v>46</v>
      </c>
      <c r="E241" t="s">
        <v>11</v>
      </c>
      <c r="F241" t="s">
        <v>1271</v>
      </c>
      <c r="G241" t="s">
        <v>1272</v>
      </c>
      <c r="H241" t="s">
        <v>16</v>
      </c>
      <c r="I241" t="s">
        <v>1171</v>
      </c>
      <c r="J241" s="91">
        <v>-182084.22</v>
      </c>
      <c r="K241" s="91">
        <v>-182084.22</v>
      </c>
      <c r="L241" s="91">
        <v>-182084.22</v>
      </c>
      <c r="M241" t="s">
        <v>278</v>
      </c>
      <c r="N241" t="s">
        <v>278</v>
      </c>
      <c r="O241" t="s">
        <v>1273</v>
      </c>
      <c r="P241" t="s">
        <v>280</v>
      </c>
      <c r="Q241" t="s">
        <v>281</v>
      </c>
      <c r="R241" t="s">
        <v>282</v>
      </c>
      <c r="S241" t="s">
        <v>283</v>
      </c>
      <c r="T241" t="s">
        <v>284</v>
      </c>
      <c r="U241" t="s">
        <v>285</v>
      </c>
      <c r="V241">
        <v>101</v>
      </c>
      <c r="W241">
        <v>12012</v>
      </c>
      <c r="X241">
        <v>245011</v>
      </c>
      <c r="Y241">
        <v>9999</v>
      </c>
      <c r="Z241">
        <v>999</v>
      </c>
      <c r="AA241">
        <v>999</v>
      </c>
      <c r="AB241">
        <v>9999</v>
      </c>
      <c r="AC241">
        <v>9999</v>
      </c>
      <c r="AD241" t="s">
        <v>1</v>
      </c>
      <c r="AE241" t="s">
        <v>227</v>
      </c>
      <c r="AF241" t="s">
        <v>227</v>
      </c>
      <c r="AG241" t="s">
        <v>286</v>
      </c>
      <c r="AI241" t="s">
        <v>227</v>
      </c>
      <c r="AJ241">
        <v>45504</v>
      </c>
      <c r="AK241" t="s">
        <v>287</v>
      </c>
      <c r="AL241" t="s">
        <v>288</v>
      </c>
    </row>
    <row r="242" spans="1:38" x14ac:dyDescent="0.2">
      <c r="A242">
        <v>21</v>
      </c>
      <c r="B242" t="s">
        <v>46</v>
      </c>
      <c r="E242" t="s">
        <v>11</v>
      </c>
      <c r="F242" t="s">
        <v>1274</v>
      </c>
      <c r="G242" t="s">
        <v>1275</v>
      </c>
      <c r="H242" t="s">
        <v>17</v>
      </c>
      <c r="I242" t="s">
        <v>1171</v>
      </c>
      <c r="J242" s="91">
        <v>-12289.9</v>
      </c>
      <c r="K242" s="91">
        <v>-12289.9</v>
      </c>
      <c r="L242" s="91">
        <v>-12289.9</v>
      </c>
      <c r="M242" t="s">
        <v>278</v>
      </c>
      <c r="N242" t="s">
        <v>278</v>
      </c>
      <c r="O242" t="s">
        <v>1276</v>
      </c>
      <c r="P242" t="s">
        <v>280</v>
      </c>
      <c r="Q242" t="s">
        <v>281</v>
      </c>
      <c r="R242" t="s">
        <v>282</v>
      </c>
      <c r="S242" t="s">
        <v>283</v>
      </c>
      <c r="T242" t="s">
        <v>284</v>
      </c>
      <c r="U242" t="s">
        <v>285</v>
      </c>
      <c r="V242">
        <v>101</v>
      </c>
      <c r="W242">
        <v>12012</v>
      </c>
      <c r="X242">
        <v>245011</v>
      </c>
      <c r="Y242">
        <v>9999</v>
      </c>
      <c r="Z242">
        <v>999</v>
      </c>
      <c r="AA242">
        <v>999</v>
      </c>
      <c r="AB242">
        <v>9999</v>
      </c>
      <c r="AC242">
        <v>9999</v>
      </c>
      <c r="AD242" t="s">
        <v>1</v>
      </c>
      <c r="AE242" t="s">
        <v>227</v>
      </c>
      <c r="AF242" t="s">
        <v>227</v>
      </c>
      <c r="AG242" t="s">
        <v>286</v>
      </c>
      <c r="AI242" t="s">
        <v>227</v>
      </c>
      <c r="AJ242">
        <v>45496</v>
      </c>
      <c r="AK242" t="s">
        <v>287</v>
      </c>
      <c r="AL242" t="s">
        <v>288</v>
      </c>
    </row>
    <row r="243" spans="1:38" x14ac:dyDescent="0.2">
      <c r="A243">
        <v>21</v>
      </c>
      <c r="B243" t="s">
        <v>46</v>
      </c>
      <c r="E243" t="s">
        <v>11</v>
      </c>
      <c r="F243" t="s">
        <v>1277</v>
      </c>
      <c r="G243" t="s">
        <v>1278</v>
      </c>
      <c r="H243" t="s">
        <v>9</v>
      </c>
      <c r="I243" t="s">
        <v>1171</v>
      </c>
      <c r="J243" s="91">
        <v>-68161.14</v>
      </c>
      <c r="K243" s="91">
        <v>-68161.14</v>
      </c>
      <c r="L243" s="91">
        <v>-68161.14</v>
      </c>
      <c r="M243" t="s">
        <v>278</v>
      </c>
      <c r="N243" t="s">
        <v>278</v>
      </c>
      <c r="O243" t="s">
        <v>1279</v>
      </c>
      <c r="P243" t="s">
        <v>280</v>
      </c>
      <c r="Q243" t="s">
        <v>281</v>
      </c>
      <c r="R243" t="s">
        <v>282</v>
      </c>
      <c r="S243" t="s">
        <v>283</v>
      </c>
      <c r="T243" t="s">
        <v>284</v>
      </c>
      <c r="U243" t="s">
        <v>285</v>
      </c>
      <c r="V243">
        <v>101</v>
      </c>
      <c r="W243">
        <v>12012</v>
      </c>
      <c r="X243">
        <v>245011</v>
      </c>
      <c r="Y243">
        <v>9999</v>
      </c>
      <c r="Z243">
        <v>999</v>
      </c>
      <c r="AA243">
        <v>999</v>
      </c>
      <c r="AB243">
        <v>9999</v>
      </c>
      <c r="AC243">
        <v>9999</v>
      </c>
      <c r="AD243" t="s">
        <v>1</v>
      </c>
      <c r="AE243" t="s">
        <v>227</v>
      </c>
      <c r="AF243" t="s">
        <v>227</v>
      </c>
      <c r="AG243" t="s">
        <v>286</v>
      </c>
      <c r="AI243" t="s">
        <v>227</v>
      </c>
      <c r="AJ243">
        <v>45496</v>
      </c>
      <c r="AK243" t="s">
        <v>287</v>
      </c>
      <c r="AL243" t="s">
        <v>288</v>
      </c>
    </row>
    <row r="244" spans="1:38" x14ac:dyDescent="0.2">
      <c r="A244">
        <v>40</v>
      </c>
      <c r="B244" t="s">
        <v>47</v>
      </c>
      <c r="E244" t="s">
        <v>11</v>
      </c>
      <c r="F244" t="s">
        <v>1280</v>
      </c>
      <c r="G244" t="s">
        <v>1281</v>
      </c>
      <c r="H244" t="s">
        <v>221</v>
      </c>
      <c r="I244" t="s">
        <v>1171</v>
      </c>
      <c r="J244" s="91">
        <v>1033328.59</v>
      </c>
      <c r="K244" s="91">
        <v>1033328.59</v>
      </c>
      <c r="L244" s="91">
        <v>1033328.59</v>
      </c>
      <c r="M244" t="s">
        <v>278</v>
      </c>
      <c r="N244" t="s">
        <v>278</v>
      </c>
      <c r="O244" t="s">
        <v>1282</v>
      </c>
      <c r="P244" t="s">
        <v>280</v>
      </c>
      <c r="Q244" t="s">
        <v>281</v>
      </c>
      <c r="R244" t="s">
        <v>282</v>
      </c>
      <c r="S244" t="s">
        <v>283</v>
      </c>
      <c r="T244" t="s">
        <v>284</v>
      </c>
      <c r="U244" t="s">
        <v>285</v>
      </c>
      <c r="V244">
        <v>101</v>
      </c>
      <c r="W244">
        <v>12012</v>
      </c>
      <c r="X244">
        <v>245011</v>
      </c>
      <c r="Y244">
        <v>9999</v>
      </c>
      <c r="Z244">
        <v>999</v>
      </c>
      <c r="AA244">
        <v>999</v>
      </c>
      <c r="AB244">
        <v>9999</v>
      </c>
      <c r="AC244">
        <v>9999</v>
      </c>
      <c r="AD244" t="s">
        <v>1</v>
      </c>
      <c r="AE244" t="s">
        <v>227</v>
      </c>
      <c r="AF244" t="s">
        <v>227</v>
      </c>
      <c r="AG244" t="s">
        <v>286</v>
      </c>
      <c r="AI244" t="s">
        <v>227</v>
      </c>
      <c r="AJ244">
        <v>45477</v>
      </c>
      <c r="AK244" t="s">
        <v>287</v>
      </c>
      <c r="AL244" t="s">
        <v>288</v>
      </c>
    </row>
    <row r="245" spans="1:38" x14ac:dyDescent="0.2">
      <c r="A245">
        <v>74</v>
      </c>
      <c r="B245" t="s">
        <v>48</v>
      </c>
      <c r="D245" t="s">
        <v>1283</v>
      </c>
      <c r="E245" t="s">
        <v>228</v>
      </c>
      <c r="F245" t="s">
        <v>1284</v>
      </c>
      <c r="G245" t="s">
        <v>1285</v>
      </c>
      <c r="H245" t="s">
        <v>19</v>
      </c>
      <c r="I245" t="s">
        <v>1125</v>
      </c>
      <c r="J245" s="91">
        <v>-39039</v>
      </c>
      <c r="K245" s="91">
        <v>-39039</v>
      </c>
      <c r="L245" s="91">
        <v>-39039</v>
      </c>
      <c r="M245" t="s">
        <v>278</v>
      </c>
      <c r="N245" t="s">
        <v>278</v>
      </c>
      <c r="O245" t="s">
        <v>1286</v>
      </c>
      <c r="P245" t="s">
        <v>280</v>
      </c>
      <c r="Q245" t="s">
        <v>281</v>
      </c>
      <c r="R245" t="s">
        <v>282</v>
      </c>
      <c r="S245" t="s">
        <v>283</v>
      </c>
      <c r="T245" t="s">
        <v>313</v>
      </c>
      <c r="U245" t="s">
        <v>1287</v>
      </c>
      <c r="V245">
        <v>101</v>
      </c>
      <c r="W245">
        <v>12011</v>
      </c>
      <c r="X245">
        <v>245011</v>
      </c>
      <c r="Y245">
        <v>9999</v>
      </c>
      <c r="Z245">
        <v>999</v>
      </c>
      <c r="AA245">
        <v>999</v>
      </c>
      <c r="AB245">
        <v>9999</v>
      </c>
      <c r="AC245">
        <v>9999</v>
      </c>
      <c r="AD245" t="s">
        <v>1</v>
      </c>
      <c r="AE245" t="s">
        <v>227</v>
      </c>
      <c r="AF245" t="s">
        <v>227</v>
      </c>
      <c r="AG245" t="s">
        <v>286</v>
      </c>
      <c r="AI245" t="s">
        <v>227</v>
      </c>
      <c r="AJ245">
        <v>45443</v>
      </c>
      <c r="AK245" t="s">
        <v>287</v>
      </c>
      <c r="AL245" t="s">
        <v>288</v>
      </c>
    </row>
    <row r="246" spans="1:38" x14ac:dyDescent="0.2">
      <c r="A246">
        <v>21</v>
      </c>
      <c r="B246" t="s">
        <v>46</v>
      </c>
      <c r="E246" t="s">
        <v>228</v>
      </c>
      <c r="F246" t="s">
        <v>1288</v>
      </c>
      <c r="G246" t="s">
        <v>1289</v>
      </c>
      <c r="H246" t="s">
        <v>19</v>
      </c>
      <c r="I246" t="s">
        <v>1171</v>
      </c>
      <c r="J246" s="91">
        <v>39039</v>
      </c>
      <c r="K246" s="91">
        <v>39039</v>
      </c>
      <c r="L246" s="91">
        <v>39039</v>
      </c>
      <c r="M246" t="s">
        <v>278</v>
      </c>
      <c r="N246" t="s">
        <v>278</v>
      </c>
      <c r="O246" t="s">
        <v>1290</v>
      </c>
      <c r="P246" t="s">
        <v>280</v>
      </c>
      <c r="Q246" t="s">
        <v>281</v>
      </c>
      <c r="R246" t="s">
        <v>282</v>
      </c>
      <c r="S246" t="s">
        <v>283</v>
      </c>
      <c r="T246" t="s">
        <v>313</v>
      </c>
      <c r="U246" t="s">
        <v>1287</v>
      </c>
      <c r="V246">
        <v>101</v>
      </c>
      <c r="W246">
        <v>12011</v>
      </c>
      <c r="X246">
        <v>245011</v>
      </c>
      <c r="Y246">
        <v>9999</v>
      </c>
      <c r="Z246">
        <v>999</v>
      </c>
      <c r="AA246">
        <v>999</v>
      </c>
      <c r="AB246">
        <v>9999</v>
      </c>
      <c r="AC246">
        <v>9999</v>
      </c>
      <c r="AD246" t="s">
        <v>1</v>
      </c>
      <c r="AE246" t="s">
        <v>227</v>
      </c>
      <c r="AF246" t="s">
        <v>227</v>
      </c>
      <c r="AG246" t="s">
        <v>286</v>
      </c>
      <c r="AI246" t="s">
        <v>227</v>
      </c>
      <c r="AJ246">
        <v>45496</v>
      </c>
      <c r="AK246" t="s">
        <v>287</v>
      </c>
      <c r="AL246" t="s">
        <v>288</v>
      </c>
    </row>
    <row r="247" spans="1:38" x14ac:dyDescent="0.2">
      <c r="A247">
        <v>318</v>
      </c>
      <c r="B247" t="s">
        <v>52</v>
      </c>
      <c r="D247" t="s">
        <v>1291</v>
      </c>
      <c r="E247" t="s">
        <v>8</v>
      </c>
      <c r="F247" t="s">
        <v>1292</v>
      </c>
      <c r="G247" t="s">
        <v>1292</v>
      </c>
      <c r="H247" t="s">
        <v>17</v>
      </c>
      <c r="I247" t="s">
        <v>845</v>
      </c>
      <c r="J247" s="91">
        <v>-1557.97</v>
      </c>
      <c r="K247" s="91">
        <v>-1557.97</v>
      </c>
      <c r="L247" s="91">
        <v>-1557.97</v>
      </c>
      <c r="M247" t="s">
        <v>278</v>
      </c>
      <c r="N247" t="s">
        <v>278</v>
      </c>
      <c r="O247" t="s">
        <v>1293</v>
      </c>
      <c r="P247" t="s">
        <v>1293</v>
      </c>
      <c r="Q247" t="s">
        <v>281</v>
      </c>
      <c r="R247" t="s">
        <v>282</v>
      </c>
      <c r="S247" t="s">
        <v>294</v>
      </c>
      <c r="T247" t="s">
        <v>295</v>
      </c>
      <c r="U247" t="s">
        <v>296</v>
      </c>
      <c r="V247">
        <v>101</v>
      </c>
      <c r="W247">
        <v>13008</v>
      </c>
      <c r="X247">
        <v>245011</v>
      </c>
      <c r="Y247">
        <v>9999</v>
      </c>
      <c r="Z247">
        <v>999</v>
      </c>
      <c r="AA247">
        <v>999</v>
      </c>
      <c r="AB247">
        <v>9999</v>
      </c>
      <c r="AC247">
        <v>9999</v>
      </c>
      <c r="AD247" t="s">
        <v>1</v>
      </c>
      <c r="AE247" t="s">
        <v>227</v>
      </c>
      <c r="AF247" t="s">
        <v>227</v>
      </c>
      <c r="AG247" t="s">
        <v>286</v>
      </c>
      <c r="AI247" t="s">
        <v>227</v>
      </c>
      <c r="AJ247">
        <v>45199</v>
      </c>
      <c r="AK247" t="s">
        <v>328</v>
      </c>
      <c r="AL247" t="s">
        <v>288</v>
      </c>
    </row>
    <row r="248" spans="1:38" x14ac:dyDescent="0.2">
      <c r="A248">
        <v>135</v>
      </c>
      <c r="B248" t="s">
        <v>50</v>
      </c>
      <c r="D248" t="s">
        <v>1294</v>
      </c>
      <c r="E248" t="s">
        <v>8</v>
      </c>
      <c r="F248" t="s">
        <v>1295</v>
      </c>
      <c r="G248" t="s">
        <v>1295</v>
      </c>
      <c r="H248" t="s">
        <v>17</v>
      </c>
      <c r="I248" t="s">
        <v>1037</v>
      </c>
      <c r="J248" s="91">
        <v>-337.92</v>
      </c>
      <c r="K248" s="91">
        <v>-337.92</v>
      </c>
      <c r="L248" s="91">
        <v>-337.92</v>
      </c>
      <c r="M248" t="s">
        <v>278</v>
      </c>
      <c r="N248" t="s">
        <v>278</v>
      </c>
      <c r="O248" t="s">
        <v>1296</v>
      </c>
      <c r="P248" t="s">
        <v>227</v>
      </c>
      <c r="Q248" t="s">
        <v>281</v>
      </c>
      <c r="R248" t="s">
        <v>282</v>
      </c>
      <c r="S248" t="s">
        <v>294</v>
      </c>
      <c r="T248" t="s">
        <v>295</v>
      </c>
      <c r="U248" t="s">
        <v>296</v>
      </c>
      <c r="V248">
        <v>101</v>
      </c>
      <c r="W248">
        <v>13008</v>
      </c>
      <c r="X248">
        <v>245011</v>
      </c>
      <c r="Y248">
        <v>9999</v>
      </c>
      <c r="Z248">
        <v>999</v>
      </c>
      <c r="AA248">
        <v>999</v>
      </c>
      <c r="AB248">
        <v>9999</v>
      </c>
      <c r="AC248">
        <v>9999</v>
      </c>
      <c r="AD248" t="s">
        <v>1</v>
      </c>
      <c r="AE248" t="s">
        <v>227</v>
      </c>
      <c r="AF248" t="s">
        <v>227</v>
      </c>
      <c r="AG248" t="s">
        <v>286</v>
      </c>
      <c r="AI248" t="s">
        <v>227</v>
      </c>
      <c r="AJ248">
        <v>45382</v>
      </c>
      <c r="AK248" t="s">
        <v>328</v>
      </c>
      <c r="AL248" t="s">
        <v>288</v>
      </c>
    </row>
    <row r="249" spans="1:38" x14ac:dyDescent="0.2">
      <c r="A249">
        <v>21</v>
      </c>
      <c r="B249" t="s">
        <v>46</v>
      </c>
      <c r="E249" t="s">
        <v>8</v>
      </c>
      <c r="F249" t="s">
        <v>1297</v>
      </c>
      <c r="G249" t="s">
        <v>1298</v>
      </c>
      <c r="H249" t="s">
        <v>222</v>
      </c>
      <c r="I249" t="s">
        <v>1171</v>
      </c>
      <c r="J249" s="91">
        <v>1557.97</v>
      </c>
      <c r="K249" s="91">
        <v>1557.97</v>
      </c>
      <c r="L249" s="91">
        <v>1557.97</v>
      </c>
      <c r="M249" t="s">
        <v>278</v>
      </c>
      <c r="N249" t="s">
        <v>278</v>
      </c>
      <c r="O249" t="s">
        <v>1299</v>
      </c>
      <c r="P249" t="s">
        <v>1293</v>
      </c>
      <c r="Q249" t="s">
        <v>281</v>
      </c>
      <c r="R249" t="s">
        <v>282</v>
      </c>
      <c r="S249" t="s">
        <v>294</v>
      </c>
      <c r="T249" t="s">
        <v>295</v>
      </c>
      <c r="U249" t="s">
        <v>296</v>
      </c>
      <c r="V249">
        <v>101</v>
      </c>
      <c r="W249">
        <v>13008</v>
      </c>
      <c r="X249">
        <v>245011</v>
      </c>
      <c r="Y249">
        <v>9999</v>
      </c>
      <c r="Z249">
        <v>999</v>
      </c>
      <c r="AA249">
        <v>999</v>
      </c>
      <c r="AB249">
        <v>9999</v>
      </c>
      <c r="AC249">
        <v>9999</v>
      </c>
      <c r="AD249" t="s">
        <v>1</v>
      </c>
      <c r="AE249" t="s">
        <v>227</v>
      </c>
      <c r="AF249" t="s">
        <v>227</v>
      </c>
      <c r="AG249" t="s">
        <v>286</v>
      </c>
      <c r="AI249" t="s">
        <v>227</v>
      </c>
      <c r="AJ249">
        <v>45496</v>
      </c>
      <c r="AK249" t="s">
        <v>328</v>
      </c>
      <c r="AL249" t="s">
        <v>288</v>
      </c>
    </row>
    <row r="250" spans="1:38" x14ac:dyDescent="0.2">
      <c r="A250">
        <v>21</v>
      </c>
      <c r="B250" t="s">
        <v>46</v>
      </c>
      <c r="E250" t="s">
        <v>8</v>
      </c>
      <c r="F250" t="s">
        <v>1300</v>
      </c>
      <c r="G250" t="s">
        <v>1301</v>
      </c>
      <c r="H250" t="s">
        <v>17</v>
      </c>
      <c r="I250" t="s">
        <v>1171</v>
      </c>
      <c r="J250" s="91">
        <v>337.92</v>
      </c>
      <c r="K250" s="91">
        <v>337.92</v>
      </c>
      <c r="L250" s="91">
        <v>337.92</v>
      </c>
      <c r="M250" t="s">
        <v>278</v>
      </c>
      <c r="N250" t="s">
        <v>278</v>
      </c>
      <c r="O250" t="s">
        <v>1302</v>
      </c>
      <c r="P250" t="s">
        <v>227</v>
      </c>
      <c r="Q250" t="s">
        <v>281</v>
      </c>
      <c r="R250" t="s">
        <v>282</v>
      </c>
      <c r="S250" t="s">
        <v>294</v>
      </c>
      <c r="T250" t="s">
        <v>295</v>
      </c>
      <c r="U250" t="s">
        <v>296</v>
      </c>
      <c r="V250">
        <v>101</v>
      </c>
      <c r="W250">
        <v>13008</v>
      </c>
      <c r="X250">
        <v>245011</v>
      </c>
      <c r="Y250">
        <v>9999</v>
      </c>
      <c r="Z250">
        <v>999</v>
      </c>
      <c r="AA250">
        <v>999</v>
      </c>
      <c r="AB250">
        <v>9999</v>
      </c>
      <c r="AC250">
        <v>9999</v>
      </c>
      <c r="AD250" t="s">
        <v>1</v>
      </c>
      <c r="AE250" t="s">
        <v>227</v>
      </c>
      <c r="AF250" t="s">
        <v>227</v>
      </c>
      <c r="AG250" t="s">
        <v>286</v>
      </c>
      <c r="AI250" t="s">
        <v>227</v>
      </c>
      <c r="AJ250">
        <v>45496</v>
      </c>
      <c r="AK250" t="s">
        <v>328</v>
      </c>
      <c r="AL250" t="s">
        <v>288</v>
      </c>
    </row>
    <row r="251" spans="1:38" x14ac:dyDescent="0.2">
      <c r="A251">
        <v>44</v>
      </c>
      <c r="B251" t="s">
        <v>47</v>
      </c>
      <c r="D251" t="s">
        <v>1303</v>
      </c>
      <c r="E251" t="s">
        <v>1304</v>
      </c>
      <c r="F251" t="s">
        <v>1305</v>
      </c>
      <c r="G251" t="s">
        <v>1306</v>
      </c>
      <c r="H251" t="s">
        <v>19</v>
      </c>
      <c r="I251" t="s">
        <v>1134</v>
      </c>
      <c r="J251" s="91">
        <v>3389850</v>
      </c>
      <c r="K251" s="91">
        <v>3389850</v>
      </c>
      <c r="L251" s="91">
        <v>3389850</v>
      </c>
      <c r="M251" t="s">
        <v>278</v>
      </c>
      <c r="N251" t="s">
        <v>278</v>
      </c>
      <c r="O251" t="s">
        <v>1307</v>
      </c>
      <c r="P251" t="s">
        <v>280</v>
      </c>
      <c r="Q251" t="s">
        <v>281</v>
      </c>
      <c r="R251" t="s">
        <v>282</v>
      </c>
      <c r="S251" t="s">
        <v>283</v>
      </c>
      <c r="T251" t="s">
        <v>65</v>
      </c>
      <c r="U251" t="s">
        <v>1308</v>
      </c>
      <c r="V251">
        <v>101</v>
      </c>
      <c r="W251">
        <v>12024</v>
      </c>
      <c r="X251">
        <v>245011</v>
      </c>
      <c r="Y251">
        <v>9999</v>
      </c>
      <c r="Z251">
        <v>999</v>
      </c>
      <c r="AA251">
        <v>999</v>
      </c>
      <c r="AB251">
        <v>9999</v>
      </c>
      <c r="AC251">
        <v>9999</v>
      </c>
      <c r="AD251" t="s">
        <v>1</v>
      </c>
      <c r="AE251" t="s">
        <v>227</v>
      </c>
      <c r="AF251" t="s">
        <v>227</v>
      </c>
      <c r="AG251" t="s">
        <v>286</v>
      </c>
      <c r="AI251" t="s">
        <v>227</v>
      </c>
      <c r="AJ251">
        <v>45473</v>
      </c>
      <c r="AK251" t="s">
        <v>287</v>
      </c>
      <c r="AL251" t="s">
        <v>288</v>
      </c>
    </row>
    <row r="252" spans="1:38" x14ac:dyDescent="0.2">
      <c r="A252">
        <v>29</v>
      </c>
      <c r="B252" t="s">
        <v>46</v>
      </c>
      <c r="E252" t="s">
        <v>1304</v>
      </c>
      <c r="F252" t="s">
        <v>1309</v>
      </c>
      <c r="G252" t="s">
        <v>1310</v>
      </c>
      <c r="H252" t="s">
        <v>19</v>
      </c>
      <c r="I252" t="s">
        <v>1171</v>
      </c>
      <c r="J252" s="91">
        <v>-3389850</v>
      </c>
      <c r="K252" s="91">
        <v>-3389850</v>
      </c>
      <c r="L252" s="91">
        <v>-3389850</v>
      </c>
      <c r="M252" t="s">
        <v>278</v>
      </c>
      <c r="N252" t="s">
        <v>278</v>
      </c>
      <c r="O252" t="s">
        <v>1311</v>
      </c>
      <c r="P252" t="s">
        <v>280</v>
      </c>
      <c r="Q252" t="s">
        <v>281</v>
      </c>
      <c r="R252" t="s">
        <v>282</v>
      </c>
      <c r="S252" t="s">
        <v>283</v>
      </c>
      <c r="T252" t="s">
        <v>65</v>
      </c>
      <c r="U252" t="s">
        <v>1308</v>
      </c>
      <c r="V252">
        <v>101</v>
      </c>
      <c r="W252">
        <v>12024</v>
      </c>
      <c r="X252">
        <v>245011</v>
      </c>
      <c r="Y252">
        <v>9999</v>
      </c>
      <c r="Z252">
        <v>999</v>
      </c>
      <c r="AA252">
        <v>999</v>
      </c>
      <c r="AB252">
        <v>9999</v>
      </c>
      <c r="AC252">
        <v>9999</v>
      </c>
      <c r="AD252" t="s">
        <v>1</v>
      </c>
      <c r="AE252" t="s">
        <v>227</v>
      </c>
      <c r="AF252" t="s">
        <v>227</v>
      </c>
      <c r="AG252" t="s">
        <v>286</v>
      </c>
      <c r="AI252" t="s">
        <v>227</v>
      </c>
      <c r="AJ252">
        <v>45488</v>
      </c>
      <c r="AK252" t="s">
        <v>287</v>
      </c>
      <c r="AL252" t="s">
        <v>288</v>
      </c>
    </row>
    <row r="253" spans="1:38" x14ac:dyDescent="0.2">
      <c r="A253">
        <v>44</v>
      </c>
      <c r="B253" t="s">
        <v>47</v>
      </c>
      <c r="D253" t="s">
        <v>1312</v>
      </c>
      <c r="E253" t="s">
        <v>32</v>
      </c>
      <c r="F253" t="s">
        <v>1313</v>
      </c>
      <c r="G253" t="s">
        <v>1314</v>
      </c>
      <c r="H253" t="s">
        <v>12</v>
      </c>
      <c r="I253" t="s">
        <v>1134</v>
      </c>
      <c r="J253" s="91">
        <v>-7519.41</v>
      </c>
      <c r="K253" s="91">
        <v>-7519.41</v>
      </c>
      <c r="L253" s="91">
        <v>-7519.41</v>
      </c>
      <c r="M253" t="s">
        <v>278</v>
      </c>
      <c r="N253" t="s">
        <v>278</v>
      </c>
      <c r="O253" t="s">
        <v>1315</v>
      </c>
      <c r="P253" t="s">
        <v>280</v>
      </c>
      <c r="Q253" t="s">
        <v>281</v>
      </c>
      <c r="R253" t="s">
        <v>282</v>
      </c>
      <c r="S253" t="s">
        <v>283</v>
      </c>
      <c r="T253" t="s">
        <v>313</v>
      </c>
      <c r="U253" t="s">
        <v>1316</v>
      </c>
      <c r="V253">
        <v>101</v>
      </c>
      <c r="W253">
        <v>12015</v>
      </c>
      <c r="X253">
        <v>245011</v>
      </c>
      <c r="Y253">
        <v>9999</v>
      </c>
      <c r="Z253">
        <v>207</v>
      </c>
      <c r="AA253">
        <v>999</v>
      </c>
      <c r="AB253">
        <v>9999</v>
      </c>
      <c r="AC253">
        <v>9999</v>
      </c>
      <c r="AD253" t="s">
        <v>1</v>
      </c>
      <c r="AE253" t="s">
        <v>1317</v>
      </c>
      <c r="AF253" t="s">
        <v>227</v>
      </c>
      <c r="AG253" t="s">
        <v>286</v>
      </c>
      <c r="AI253" t="s">
        <v>227</v>
      </c>
      <c r="AJ253">
        <v>45473</v>
      </c>
      <c r="AK253" t="s">
        <v>315</v>
      </c>
      <c r="AL253" t="s">
        <v>288</v>
      </c>
    </row>
    <row r="254" spans="1:38" x14ac:dyDescent="0.2">
      <c r="A254">
        <v>27</v>
      </c>
      <c r="B254" t="s">
        <v>46</v>
      </c>
      <c r="E254" t="s">
        <v>32</v>
      </c>
      <c r="F254" t="s">
        <v>1318</v>
      </c>
      <c r="G254" t="s">
        <v>1319</v>
      </c>
      <c r="H254" t="s">
        <v>12</v>
      </c>
      <c r="I254" t="s">
        <v>1171</v>
      </c>
      <c r="J254" s="91">
        <v>7519.41</v>
      </c>
      <c r="K254" s="91">
        <v>7519.41</v>
      </c>
      <c r="L254" s="91">
        <v>7519.41</v>
      </c>
      <c r="M254" t="s">
        <v>278</v>
      </c>
      <c r="N254" t="s">
        <v>278</v>
      </c>
      <c r="O254" t="s">
        <v>1320</v>
      </c>
      <c r="P254" t="s">
        <v>280</v>
      </c>
      <c r="Q254" t="s">
        <v>281</v>
      </c>
      <c r="R254" t="s">
        <v>282</v>
      </c>
      <c r="S254" t="s">
        <v>283</v>
      </c>
      <c r="T254" t="s">
        <v>313</v>
      </c>
      <c r="U254" t="s">
        <v>1316</v>
      </c>
      <c r="V254">
        <v>101</v>
      </c>
      <c r="W254">
        <v>12015</v>
      </c>
      <c r="X254">
        <v>245011</v>
      </c>
      <c r="Y254">
        <v>9999</v>
      </c>
      <c r="Z254">
        <v>207</v>
      </c>
      <c r="AA254">
        <v>999</v>
      </c>
      <c r="AB254">
        <v>9999</v>
      </c>
      <c r="AC254">
        <v>9999</v>
      </c>
      <c r="AD254" t="s">
        <v>1</v>
      </c>
      <c r="AE254" t="s">
        <v>1317</v>
      </c>
      <c r="AF254" t="s">
        <v>227</v>
      </c>
      <c r="AG254" t="s">
        <v>286</v>
      </c>
      <c r="AI254" t="s">
        <v>227</v>
      </c>
      <c r="AJ254">
        <v>45490</v>
      </c>
      <c r="AK254" t="s">
        <v>315</v>
      </c>
      <c r="AL254" t="s">
        <v>288</v>
      </c>
    </row>
    <row r="255" spans="1:38" x14ac:dyDescent="0.2">
      <c r="A255">
        <v>44</v>
      </c>
      <c r="B255" t="s">
        <v>47</v>
      </c>
      <c r="D255" t="s">
        <v>1321</v>
      </c>
      <c r="E255" t="s">
        <v>14</v>
      </c>
      <c r="F255" t="s">
        <v>1322</v>
      </c>
      <c r="G255" t="s">
        <v>1322</v>
      </c>
      <c r="H255" t="s">
        <v>16</v>
      </c>
      <c r="I255" t="s">
        <v>1134</v>
      </c>
      <c r="J255" s="91">
        <v>-136309.68</v>
      </c>
      <c r="K255" s="91">
        <v>-136309.68</v>
      </c>
      <c r="L255" s="91">
        <v>-136309.68</v>
      </c>
      <c r="M255" t="s">
        <v>278</v>
      </c>
      <c r="N255" t="s">
        <v>278</v>
      </c>
      <c r="O255" t="s">
        <v>1323</v>
      </c>
      <c r="P255" t="s">
        <v>227</v>
      </c>
      <c r="Q255" t="s">
        <v>281</v>
      </c>
      <c r="R255" t="s">
        <v>282</v>
      </c>
      <c r="S255" t="s">
        <v>294</v>
      </c>
      <c r="T255" t="s">
        <v>305</v>
      </c>
      <c r="U255" t="s">
        <v>306</v>
      </c>
      <c r="V255">
        <v>101</v>
      </c>
      <c r="W255">
        <v>13016</v>
      </c>
      <c r="X255">
        <v>245011</v>
      </c>
      <c r="Y255">
        <v>9999</v>
      </c>
      <c r="Z255">
        <v>999</v>
      </c>
      <c r="AA255">
        <v>999</v>
      </c>
      <c r="AB255">
        <v>9999</v>
      </c>
      <c r="AC255">
        <v>9999</v>
      </c>
      <c r="AD255" t="s">
        <v>1</v>
      </c>
      <c r="AE255" t="s">
        <v>227</v>
      </c>
      <c r="AF255" t="s">
        <v>227</v>
      </c>
      <c r="AG255" t="s">
        <v>286</v>
      </c>
      <c r="AI255" t="s">
        <v>227</v>
      </c>
      <c r="AJ255">
        <v>45473</v>
      </c>
      <c r="AK255" t="s">
        <v>328</v>
      </c>
      <c r="AL255" t="s">
        <v>288</v>
      </c>
    </row>
    <row r="256" spans="1:38" x14ac:dyDescent="0.2">
      <c r="A256">
        <v>40</v>
      </c>
      <c r="B256" t="s">
        <v>47</v>
      </c>
      <c r="E256" t="s">
        <v>14</v>
      </c>
      <c r="F256" t="s">
        <v>1324</v>
      </c>
      <c r="G256" t="s">
        <v>1325</v>
      </c>
      <c r="H256" t="s">
        <v>16</v>
      </c>
      <c r="I256" t="s">
        <v>1171</v>
      </c>
      <c r="J256" s="91">
        <v>136309.68</v>
      </c>
      <c r="K256" s="91">
        <v>136309.68</v>
      </c>
      <c r="L256" s="91">
        <v>136309.68</v>
      </c>
      <c r="M256" t="s">
        <v>278</v>
      </c>
      <c r="N256" t="s">
        <v>278</v>
      </c>
      <c r="O256" t="s">
        <v>1326</v>
      </c>
      <c r="P256" t="s">
        <v>227</v>
      </c>
      <c r="Q256" t="s">
        <v>281</v>
      </c>
      <c r="R256" t="s">
        <v>282</v>
      </c>
      <c r="S256" t="s">
        <v>294</v>
      </c>
      <c r="T256" t="s">
        <v>305</v>
      </c>
      <c r="U256" t="s">
        <v>306</v>
      </c>
      <c r="V256">
        <v>101</v>
      </c>
      <c r="W256">
        <v>13016</v>
      </c>
      <c r="X256">
        <v>245011</v>
      </c>
      <c r="Y256">
        <v>9999</v>
      </c>
      <c r="Z256">
        <v>999</v>
      </c>
      <c r="AA256">
        <v>999</v>
      </c>
      <c r="AB256">
        <v>9999</v>
      </c>
      <c r="AC256">
        <v>9999</v>
      </c>
      <c r="AD256" t="s">
        <v>1</v>
      </c>
      <c r="AE256" t="s">
        <v>227</v>
      </c>
      <c r="AF256" t="s">
        <v>227</v>
      </c>
      <c r="AG256" t="s">
        <v>286</v>
      </c>
      <c r="AI256" t="s">
        <v>227</v>
      </c>
      <c r="AJ256">
        <v>45477</v>
      </c>
      <c r="AK256" t="s">
        <v>328</v>
      </c>
      <c r="AL256" t="s">
        <v>288</v>
      </c>
    </row>
    <row r="257" spans="1:38" x14ac:dyDescent="0.2">
      <c r="A257">
        <v>229</v>
      </c>
      <c r="B257" t="s">
        <v>864</v>
      </c>
      <c r="D257" t="s">
        <v>1327</v>
      </c>
      <c r="E257" t="s">
        <v>75</v>
      </c>
      <c r="F257" t="s">
        <v>1328</v>
      </c>
      <c r="G257" t="s">
        <v>1329</v>
      </c>
      <c r="H257" t="s">
        <v>221</v>
      </c>
      <c r="I257" t="s">
        <v>970</v>
      </c>
      <c r="J257" s="91">
        <v>202500</v>
      </c>
      <c r="K257" s="91">
        <v>202500</v>
      </c>
      <c r="L257" s="91">
        <v>202500</v>
      </c>
      <c r="M257" t="s">
        <v>278</v>
      </c>
      <c r="N257" t="s">
        <v>278</v>
      </c>
      <c r="O257" t="s">
        <v>1330</v>
      </c>
      <c r="P257" t="s">
        <v>280</v>
      </c>
      <c r="Q257" t="s">
        <v>281</v>
      </c>
      <c r="R257" t="s">
        <v>282</v>
      </c>
      <c r="S257" t="s">
        <v>294</v>
      </c>
      <c r="T257" t="s">
        <v>295</v>
      </c>
      <c r="U257" t="s">
        <v>474</v>
      </c>
      <c r="V257">
        <v>101</v>
      </c>
      <c r="W257">
        <v>13006</v>
      </c>
      <c r="X257">
        <v>245011</v>
      </c>
      <c r="Y257">
        <v>9999</v>
      </c>
      <c r="Z257">
        <v>999</v>
      </c>
      <c r="AA257">
        <v>999</v>
      </c>
      <c r="AB257">
        <v>9999</v>
      </c>
      <c r="AC257">
        <v>9999</v>
      </c>
      <c r="AD257" t="s">
        <v>1</v>
      </c>
      <c r="AE257" t="s">
        <v>227</v>
      </c>
      <c r="AF257" t="s">
        <v>227</v>
      </c>
      <c r="AG257" t="s">
        <v>286</v>
      </c>
      <c r="AI257" t="s">
        <v>227</v>
      </c>
      <c r="AJ257">
        <v>45322</v>
      </c>
      <c r="AK257" t="s">
        <v>287</v>
      </c>
      <c r="AL257" t="s">
        <v>288</v>
      </c>
    </row>
    <row r="258" spans="1:38" x14ac:dyDescent="0.2">
      <c r="A258">
        <v>201</v>
      </c>
      <c r="B258" t="s">
        <v>559</v>
      </c>
      <c r="D258" t="s">
        <v>1331</v>
      </c>
      <c r="E258" t="s">
        <v>34</v>
      </c>
      <c r="F258" t="s">
        <v>1332</v>
      </c>
      <c r="G258" t="s">
        <v>1333</v>
      </c>
      <c r="H258" t="s">
        <v>27</v>
      </c>
      <c r="I258" t="s">
        <v>1033</v>
      </c>
      <c r="J258" s="91">
        <v>-227204.53</v>
      </c>
      <c r="K258" s="91">
        <v>-227204.53</v>
      </c>
      <c r="L258" s="91">
        <v>-227204.53</v>
      </c>
      <c r="M258" t="s">
        <v>278</v>
      </c>
      <c r="N258" t="s">
        <v>278</v>
      </c>
      <c r="O258" t="s">
        <v>213</v>
      </c>
      <c r="P258" t="s">
        <v>280</v>
      </c>
      <c r="Q258" t="s">
        <v>281</v>
      </c>
      <c r="R258" t="s">
        <v>282</v>
      </c>
      <c r="S258" t="s">
        <v>294</v>
      </c>
      <c r="T258" t="s">
        <v>295</v>
      </c>
      <c r="U258" t="s">
        <v>398</v>
      </c>
      <c r="V258">
        <v>101</v>
      </c>
      <c r="W258">
        <v>13014</v>
      </c>
      <c r="X258">
        <v>245011</v>
      </c>
      <c r="Y258">
        <v>9999</v>
      </c>
      <c r="Z258">
        <v>999</v>
      </c>
      <c r="AA258">
        <v>999</v>
      </c>
      <c r="AB258">
        <v>9999</v>
      </c>
      <c r="AC258">
        <v>9999</v>
      </c>
      <c r="AD258" t="s">
        <v>1</v>
      </c>
      <c r="AE258" t="s">
        <v>227</v>
      </c>
      <c r="AF258" t="s">
        <v>227</v>
      </c>
      <c r="AG258" t="s">
        <v>286</v>
      </c>
      <c r="AI258" t="s">
        <v>227</v>
      </c>
      <c r="AJ258">
        <v>45350</v>
      </c>
      <c r="AK258" t="s">
        <v>287</v>
      </c>
      <c r="AL258" t="s">
        <v>288</v>
      </c>
    </row>
    <row r="259" spans="1:38" x14ac:dyDescent="0.2">
      <c r="A259">
        <v>169</v>
      </c>
      <c r="B259" t="s">
        <v>522</v>
      </c>
      <c r="D259" t="s">
        <v>1334</v>
      </c>
      <c r="E259" t="s">
        <v>34</v>
      </c>
      <c r="F259" t="s">
        <v>1335</v>
      </c>
      <c r="G259" t="s">
        <v>1336</v>
      </c>
      <c r="H259" t="s">
        <v>24</v>
      </c>
      <c r="I259" t="s">
        <v>1037</v>
      </c>
      <c r="J259" s="91">
        <v>-57000</v>
      </c>
      <c r="K259" s="91">
        <v>-57000</v>
      </c>
      <c r="L259" s="91">
        <v>-57000</v>
      </c>
      <c r="M259" t="s">
        <v>278</v>
      </c>
      <c r="N259" t="s">
        <v>278</v>
      </c>
      <c r="O259" t="s">
        <v>1337</v>
      </c>
      <c r="P259" t="s">
        <v>280</v>
      </c>
      <c r="Q259" t="s">
        <v>281</v>
      </c>
      <c r="R259" t="s">
        <v>282</v>
      </c>
      <c r="S259" t="s">
        <v>294</v>
      </c>
      <c r="T259" t="s">
        <v>295</v>
      </c>
      <c r="U259" t="s">
        <v>398</v>
      </c>
      <c r="V259">
        <v>101</v>
      </c>
      <c r="W259">
        <v>13014</v>
      </c>
      <c r="X259">
        <v>245011</v>
      </c>
      <c r="Y259">
        <v>9999</v>
      </c>
      <c r="Z259">
        <v>999</v>
      </c>
      <c r="AA259">
        <v>999</v>
      </c>
      <c r="AB259">
        <v>9999</v>
      </c>
      <c r="AC259">
        <v>9999</v>
      </c>
      <c r="AD259" t="s">
        <v>1</v>
      </c>
      <c r="AE259" t="s">
        <v>227</v>
      </c>
      <c r="AF259" t="s">
        <v>227</v>
      </c>
      <c r="AG259" t="s">
        <v>286</v>
      </c>
      <c r="AI259" t="s">
        <v>227</v>
      </c>
      <c r="AJ259">
        <v>45382</v>
      </c>
      <c r="AK259" t="s">
        <v>287</v>
      </c>
      <c r="AL259" t="s">
        <v>288</v>
      </c>
    </row>
    <row r="260" spans="1:38" x14ac:dyDescent="0.2">
      <c r="A260">
        <v>108</v>
      </c>
      <c r="B260" t="s">
        <v>49</v>
      </c>
      <c r="D260" t="s">
        <v>1338</v>
      </c>
      <c r="E260" t="s">
        <v>34</v>
      </c>
      <c r="F260" t="s">
        <v>1339</v>
      </c>
      <c r="G260" t="s">
        <v>1340</v>
      </c>
      <c r="H260" t="s">
        <v>27</v>
      </c>
      <c r="I260" t="s">
        <v>1125</v>
      </c>
      <c r="J260" s="91">
        <v>-16000</v>
      </c>
      <c r="K260" s="91">
        <v>-16000</v>
      </c>
      <c r="L260" s="91">
        <v>-16000</v>
      </c>
      <c r="M260" t="s">
        <v>278</v>
      </c>
      <c r="N260" t="s">
        <v>278</v>
      </c>
      <c r="O260" t="s">
        <v>1341</v>
      </c>
      <c r="P260" t="s">
        <v>280</v>
      </c>
      <c r="Q260" t="s">
        <v>281</v>
      </c>
      <c r="R260" t="s">
        <v>282</v>
      </c>
      <c r="S260" t="s">
        <v>294</v>
      </c>
      <c r="T260" t="s">
        <v>295</v>
      </c>
      <c r="U260" t="s">
        <v>398</v>
      </c>
      <c r="V260">
        <v>101</v>
      </c>
      <c r="W260">
        <v>13014</v>
      </c>
      <c r="X260">
        <v>245011</v>
      </c>
      <c r="Y260">
        <v>9999</v>
      </c>
      <c r="Z260">
        <v>999</v>
      </c>
      <c r="AA260">
        <v>999</v>
      </c>
      <c r="AB260">
        <v>9999</v>
      </c>
      <c r="AC260">
        <v>9999</v>
      </c>
      <c r="AD260" t="s">
        <v>1</v>
      </c>
      <c r="AE260" t="s">
        <v>227</v>
      </c>
      <c r="AF260" t="s">
        <v>227</v>
      </c>
      <c r="AG260" t="s">
        <v>286</v>
      </c>
      <c r="AI260" t="s">
        <v>227</v>
      </c>
      <c r="AJ260">
        <v>45443</v>
      </c>
      <c r="AK260" t="s">
        <v>287</v>
      </c>
      <c r="AL260" t="s">
        <v>288</v>
      </c>
    </row>
    <row r="261" spans="1:38" x14ac:dyDescent="0.2">
      <c r="A261">
        <v>78</v>
      </c>
      <c r="B261" t="s">
        <v>48</v>
      </c>
      <c r="D261" t="s">
        <v>1342</v>
      </c>
      <c r="E261" t="s">
        <v>32</v>
      </c>
      <c r="F261" t="s">
        <v>1343</v>
      </c>
      <c r="G261" t="s">
        <v>1344</v>
      </c>
      <c r="H261" t="s">
        <v>16</v>
      </c>
      <c r="I261" t="s">
        <v>1134</v>
      </c>
      <c r="J261" s="91">
        <v>320342.21000000002</v>
      </c>
      <c r="K261" s="91">
        <v>320342.21000000002</v>
      </c>
      <c r="L261" s="91">
        <v>320342.21000000002</v>
      </c>
      <c r="M261" t="s">
        <v>278</v>
      </c>
      <c r="N261" t="s">
        <v>278</v>
      </c>
      <c r="O261" t="s">
        <v>1345</v>
      </c>
      <c r="P261" t="s">
        <v>280</v>
      </c>
      <c r="Q261" t="s">
        <v>281</v>
      </c>
      <c r="R261" t="s">
        <v>282</v>
      </c>
      <c r="S261" t="s">
        <v>283</v>
      </c>
      <c r="T261" t="s">
        <v>313</v>
      </c>
      <c r="U261" t="s">
        <v>381</v>
      </c>
      <c r="V261">
        <v>101</v>
      </c>
      <c r="W261">
        <v>12015</v>
      </c>
      <c r="X261">
        <v>245011</v>
      </c>
      <c r="Y261">
        <v>9999</v>
      </c>
      <c r="Z261">
        <v>999</v>
      </c>
      <c r="AA261">
        <v>999</v>
      </c>
      <c r="AB261">
        <v>9999</v>
      </c>
      <c r="AC261">
        <v>9999</v>
      </c>
      <c r="AD261" t="s">
        <v>1</v>
      </c>
      <c r="AE261" t="s">
        <v>227</v>
      </c>
      <c r="AF261" t="s">
        <v>227</v>
      </c>
      <c r="AG261" t="s">
        <v>286</v>
      </c>
      <c r="AI261" t="s">
        <v>227</v>
      </c>
      <c r="AJ261">
        <v>45473</v>
      </c>
      <c r="AK261" t="s">
        <v>287</v>
      </c>
      <c r="AL261" t="s">
        <v>288</v>
      </c>
    </row>
    <row r="262" spans="1:38" x14ac:dyDescent="0.2">
      <c r="A262">
        <v>81</v>
      </c>
      <c r="B262" t="s">
        <v>48</v>
      </c>
      <c r="D262" t="s">
        <v>1327</v>
      </c>
      <c r="E262" t="s">
        <v>68</v>
      </c>
      <c r="F262" t="s">
        <v>1346</v>
      </c>
      <c r="G262" t="s">
        <v>1347</v>
      </c>
      <c r="H262" t="s">
        <v>19</v>
      </c>
      <c r="I262" t="s">
        <v>1134</v>
      </c>
      <c r="J262" s="91">
        <v>36744.94</v>
      </c>
      <c r="K262" s="91">
        <v>36744.94</v>
      </c>
      <c r="L262" s="91">
        <v>36744.94</v>
      </c>
      <c r="M262" t="s">
        <v>278</v>
      </c>
      <c r="N262" t="s">
        <v>278</v>
      </c>
      <c r="O262" t="s">
        <v>1348</v>
      </c>
      <c r="P262" t="s">
        <v>280</v>
      </c>
      <c r="Q262" t="s">
        <v>281</v>
      </c>
      <c r="R262" t="s">
        <v>282</v>
      </c>
      <c r="S262" t="s">
        <v>283</v>
      </c>
      <c r="T262" t="s">
        <v>284</v>
      </c>
      <c r="U262" t="s">
        <v>547</v>
      </c>
      <c r="V262">
        <v>101</v>
      </c>
      <c r="W262">
        <v>12022</v>
      </c>
      <c r="X262">
        <v>245011</v>
      </c>
      <c r="Y262">
        <v>9999</v>
      </c>
      <c r="Z262">
        <v>999</v>
      </c>
      <c r="AA262">
        <v>999</v>
      </c>
      <c r="AB262">
        <v>9999</v>
      </c>
      <c r="AC262">
        <v>9999</v>
      </c>
      <c r="AD262" t="s">
        <v>1</v>
      </c>
      <c r="AE262" t="s">
        <v>227</v>
      </c>
      <c r="AF262" t="s">
        <v>227</v>
      </c>
      <c r="AG262" t="s">
        <v>286</v>
      </c>
      <c r="AI262" t="s">
        <v>227</v>
      </c>
      <c r="AJ262">
        <v>45470</v>
      </c>
      <c r="AK262" t="s">
        <v>315</v>
      </c>
      <c r="AL262" t="s">
        <v>288</v>
      </c>
    </row>
    <row r="263" spans="1:38" x14ac:dyDescent="0.2">
      <c r="A263">
        <v>81</v>
      </c>
      <c r="B263" t="s">
        <v>48</v>
      </c>
      <c r="D263" t="s">
        <v>1327</v>
      </c>
      <c r="E263" t="s">
        <v>68</v>
      </c>
      <c r="F263" t="s">
        <v>1349</v>
      </c>
      <c r="G263" t="s">
        <v>1350</v>
      </c>
      <c r="H263" t="s">
        <v>19</v>
      </c>
      <c r="I263" t="s">
        <v>1134</v>
      </c>
      <c r="J263" s="91">
        <v>57417.2</v>
      </c>
      <c r="K263" s="91">
        <v>57417.2</v>
      </c>
      <c r="L263" s="91">
        <v>57417.2</v>
      </c>
      <c r="M263" t="s">
        <v>278</v>
      </c>
      <c r="N263" t="s">
        <v>278</v>
      </c>
      <c r="O263" t="s">
        <v>1351</v>
      </c>
      <c r="P263" t="s">
        <v>280</v>
      </c>
      <c r="Q263" t="s">
        <v>281</v>
      </c>
      <c r="R263" t="s">
        <v>282</v>
      </c>
      <c r="S263" t="s">
        <v>283</v>
      </c>
      <c r="T263" t="s">
        <v>284</v>
      </c>
      <c r="U263" t="s">
        <v>547</v>
      </c>
      <c r="V263">
        <v>101</v>
      </c>
      <c r="W263">
        <v>12022</v>
      </c>
      <c r="X263">
        <v>245011</v>
      </c>
      <c r="Y263">
        <v>9999</v>
      </c>
      <c r="Z263">
        <v>999</v>
      </c>
      <c r="AA263">
        <v>999</v>
      </c>
      <c r="AB263">
        <v>9999</v>
      </c>
      <c r="AC263">
        <v>9999</v>
      </c>
      <c r="AD263" t="s">
        <v>1</v>
      </c>
      <c r="AE263" t="s">
        <v>227</v>
      </c>
      <c r="AF263" t="s">
        <v>227</v>
      </c>
      <c r="AG263" t="s">
        <v>286</v>
      </c>
      <c r="AI263" t="s">
        <v>227</v>
      </c>
      <c r="AJ263">
        <v>45470</v>
      </c>
      <c r="AK263" t="s">
        <v>315</v>
      </c>
      <c r="AL263" t="s">
        <v>288</v>
      </c>
    </row>
    <row r="264" spans="1:38" x14ac:dyDescent="0.2">
      <c r="A264">
        <v>47</v>
      </c>
      <c r="B264" t="s">
        <v>47</v>
      </c>
      <c r="D264" t="s">
        <v>1352</v>
      </c>
      <c r="E264" t="s">
        <v>23</v>
      </c>
      <c r="F264" t="s">
        <v>1353</v>
      </c>
      <c r="G264" t="s">
        <v>1354</v>
      </c>
      <c r="H264" t="s">
        <v>16</v>
      </c>
      <c r="I264" t="s">
        <v>1171</v>
      </c>
      <c r="J264" s="91">
        <v>-326048.8</v>
      </c>
      <c r="K264" s="91">
        <v>-326048.8</v>
      </c>
      <c r="L264" s="91">
        <v>-326048.8</v>
      </c>
      <c r="M264" t="s">
        <v>278</v>
      </c>
      <c r="N264" t="s">
        <v>278</v>
      </c>
      <c r="O264" t="s">
        <v>1355</v>
      </c>
      <c r="P264" t="s">
        <v>280</v>
      </c>
      <c r="Q264" t="s">
        <v>281</v>
      </c>
      <c r="R264" t="s">
        <v>282</v>
      </c>
      <c r="S264" t="s">
        <v>283</v>
      </c>
      <c r="T264" t="s">
        <v>313</v>
      </c>
      <c r="U264" t="s">
        <v>415</v>
      </c>
      <c r="V264">
        <v>101</v>
      </c>
      <c r="W264">
        <v>11003</v>
      </c>
      <c r="X264">
        <v>245011</v>
      </c>
      <c r="Y264">
        <v>9999</v>
      </c>
      <c r="Z264">
        <v>999</v>
      </c>
      <c r="AA264">
        <v>999</v>
      </c>
      <c r="AB264">
        <v>9999</v>
      </c>
      <c r="AC264">
        <v>9999</v>
      </c>
      <c r="AD264" t="s">
        <v>1</v>
      </c>
      <c r="AE264" t="s">
        <v>227</v>
      </c>
      <c r="AF264" t="s">
        <v>227</v>
      </c>
      <c r="AG264" t="s">
        <v>286</v>
      </c>
      <c r="AI264" t="s">
        <v>227</v>
      </c>
      <c r="AJ264">
        <v>45504</v>
      </c>
      <c r="AK264" t="s">
        <v>287</v>
      </c>
      <c r="AL264" t="s">
        <v>288</v>
      </c>
    </row>
    <row r="265" spans="1:38" x14ac:dyDescent="0.2">
      <c r="A265">
        <v>47</v>
      </c>
      <c r="B265" t="s">
        <v>47</v>
      </c>
      <c r="D265" t="s">
        <v>1356</v>
      </c>
      <c r="E265" t="s">
        <v>1304</v>
      </c>
      <c r="F265" t="s">
        <v>1357</v>
      </c>
      <c r="G265" t="s">
        <v>1358</v>
      </c>
      <c r="H265" t="s">
        <v>16</v>
      </c>
      <c r="I265" t="s">
        <v>1171</v>
      </c>
      <c r="J265" s="91">
        <v>376650</v>
      </c>
      <c r="K265" s="91">
        <v>376650</v>
      </c>
      <c r="L265" s="91">
        <v>376650</v>
      </c>
      <c r="M265" t="s">
        <v>278</v>
      </c>
      <c r="N265" t="s">
        <v>278</v>
      </c>
      <c r="O265" t="s">
        <v>1359</v>
      </c>
      <c r="P265" t="s">
        <v>280</v>
      </c>
      <c r="Q265" t="s">
        <v>281</v>
      </c>
      <c r="R265" t="s">
        <v>282</v>
      </c>
      <c r="S265" t="s">
        <v>283</v>
      </c>
      <c r="T265" t="s">
        <v>65</v>
      </c>
      <c r="U265" t="s">
        <v>1308</v>
      </c>
      <c r="V265">
        <v>101</v>
      </c>
      <c r="W265">
        <v>12024</v>
      </c>
      <c r="X265">
        <v>245011</v>
      </c>
      <c r="Y265">
        <v>9999</v>
      </c>
      <c r="Z265">
        <v>999</v>
      </c>
      <c r="AA265">
        <v>999</v>
      </c>
      <c r="AB265">
        <v>9999</v>
      </c>
      <c r="AC265">
        <v>9999</v>
      </c>
      <c r="AD265" t="s">
        <v>1</v>
      </c>
      <c r="AE265" t="s">
        <v>227</v>
      </c>
      <c r="AF265" t="s">
        <v>227</v>
      </c>
      <c r="AG265" t="s">
        <v>286</v>
      </c>
      <c r="AI265" t="s">
        <v>227</v>
      </c>
      <c r="AJ265">
        <v>45504</v>
      </c>
      <c r="AK265" t="s">
        <v>287</v>
      </c>
      <c r="AL265" t="s">
        <v>288</v>
      </c>
    </row>
    <row r="266" spans="1:38" x14ac:dyDescent="0.2">
      <c r="E266" t="s">
        <v>75</v>
      </c>
      <c r="F266" t="s">
        <v>1360</v>
      </c>
      <c r="G266" t="s">
        <v>1361</v>
      </c>
      <c r="H266" t="s">
        <v>19</v>
      </c>
      <c r="I266" t="s">
        <v>1362</v>
      </c>
      <c r="J266" s="91">
        <v>233217.62</v>
      </c>
      <c r="K266" s="91">
        <v>233217.62</v>
      </c>
      <c r="L266" s="91">
        <v>233217.62</v>
      </c>
      <c r="M266" t="s">
        <v>278</v>
      </c>
      <c r="N266" t="s">
        <v>278</v>
      </c>
      <c r="O266" t="s">
        <v>1363</v>
      </c>
      <c r="P266" t="s">
        <v>280</v>
      </c>
      <c r="Q266" t="s">
        <v>281</v>
      </c>
      <c r="R266" t="s">
        <v>282</v>
      </c>
      <c r="S266" t="s">
        <v>294</v>
      </c>
      <c r="T266" t="s">
        <v>295</v>
      </c>
      <c r="U266" t="s">
        <v>474</v>
      </c>
      <c r="V266">
        <v>101</v>
      </c>
      <c r="W266">
        <v>13006</v>
      </c>
      <c r="X266">
        <v>245011</v>
      </c>
      <c r="Y266">
        <v>9999</v>
      </c>
      <c r="Z266">
        <v>999</v>
      </c>
      <c r="AA266">
        <v>999</v>
      </c>
      <c r="AB266">
        <v>9999</v>
      </c>
      <c r="AC266">
        <v>9999</v>
      </c>
      <c r="AD266" t="s">
        <v>1</v>
      </c>
      <c r="AE266" t="s">
        <v>227</v>
      </c>
      <c r="AF266" t="s">
        <v>227</v>
      </c>
      <c r="AG266" t="s">
        <v>286</v>
      </c>
      <c r="AI266" t="s">
        <v>227</v>
      </c>
      <c r="AJ266">
        <v>45524</v>
      </c>
      <c r="AK266" t="s">
        <v>315</v>
      </c>
      <c r="AL266" t="s">
        <v>288</v>
      </c>
    </row>
    <row r="267" spans="1:38" x14ac:dyDescent="0.2">
      <c r="E267" t="s">
        <v>23</v>
      </c>
      <c r="F267" t="s">
        <v>1364</v>
      </c>
      <c r="G267" t="s">
        <v>1365</v>
      </c>
      <c r="H267" t="s">
        <v>16</v>
      </c>
      <c r="I267" t="s">
        <v>1362</v>
      </c>
      <c r="J267" s="91">
        <v>326048.8</v>
      </c>
      <c r="K267" s="91">
        <v>326048.8</v>
      </c>
      <c r="L267" s="91">
        <v>326048.8</v>
      </c>
      <c r="M267" t="s">
        <v>278</v>
      </c>
      <c r="N267" t="s">
        <v>278</v>
      </c>
      <c r="O267" t="s">
        <v>1366</v>
      </c>
      <c r="P267" t="s">
        <v>280</v>
      </c>
      <c r="Q267" t="s">
        <v>281</v>
      </c>
      <c r="R267" t="s">
        <v>282</v>
      </c>
      <c r="S267" t="s">
        <v>283</v>
      </c>
      <c r="T267" t="s">
        <v>313</v>
      </c>
      <c r="U267" t="s">
        <v>415</v>
      </c>
      <c r="V267">
        <v>101</v>
      </c>
      <c r="W267">
        <v>11003</v>
      </c>
      <c r="X267">
        <v>245011</v>
      </c>
      <c r="Y267">
        <v>9999</v>
      </c>
      <c r="Z267">
        <v>999</v>
      </c>
      <c r="AA267">
        <v>999</v>
      </c>
      <c r="AB267">
        <v>9999</v>
      </c>
      <c r="AC267">
        <v>9999</v>
      </c>
      <c r="AD267" t="s">
        <v>1</v>
      </c>
      <c r="AE267" t="s">
        <v>227</v>
      </c>
      <c r="AF267" t="s">
        <v>227</v>
      </c>
      <c r="AG267" t="s">
        <v>286</v>
      </c>
      <c r="AI267" t="s">
        <v>227</v>
      </c>
      <c r="AJ267">
        <v>45525</v>
      </c>
      <c r="AK267" t="s">
        <v>287</v>
      </c>
      <c r="AL267" t="s">
        <v>288</v>
      </c>
    </row>
    <row r="268" spans="1:38" x14ac:dyDescent="0.2">
      <c r="E268" t="s">
        <v>34</v>
      </c>
      <c r="F268" t="s">
        <v>1367</v>
      </c>
      <c r="G268" t="s">
        <v>1368</v>
      </c>
      <c r="H268" t="s">
        <v>27</v>
      </c>
      <c r="I268" t="s">
        <v>1362</v>
      </c>
      <c r="J268" s="91">
        <v>16000</v>
      </c>
      <c r="K268" s="91">
        <v>16000</v>
      </c>
      <c r="L268" s="91">
        <v>16000</v>
      </c>
      <c r="M268" t="s">
        <v>278</v>
      </c>
      <c r="N268" t="s">
        <v>278</v>
      </c>
      <c r="O268" t="s">
        <v>1369</v>
      </c>
      <c r="P268" t="s">
        <v>280</v>
      </c>
      <c r="Q268" t="s">
        <v>281</v>
      </c>
      <c r="R268" t="s">
        <v>282</v>
      </c>
      <c r="S268" t="s">
        <v>294</v>
      </c>
      <c r="T268" t="s">
        <v>295</v>
      </c>
      <c r="U268" t="s">
        <v>398</v>
      </c>
      <c r="V268">
        <v>101</v>
      </c>
      <c r="W268">
        <v>13014</v>
      </c>
      <c r="X268">
        <v>245011</v>
      </c>
      <c r="Y268">
        <v>9999</v>
      </c>
      <c r="Z268">
        <v>999</v>
      </c>
      <c r="AA268">
        <v>999</v>
      </c>
      <c r="AB268">
        <v>9999</v>
      </c>
      <c r="AC268">
        <v>9999</v>
      </c>
      <c r="AD268" t="s">
        <v>1</v>
      </c>
      <c r="AE268" t="s">
        <v>227</v>
      </c>
      <c r="AF268" t="s">
        <v>227</v>
      </c>
      <c r="AG268" t="s">
        <v>286</v>
      </c>
      <c r="AI268" t="s">
        <v>227</v>
      </c>
      <c r="AJ268">
        <v>45527</v>
      </c>
      <c r="AK268" t="s">
        <v>287</v>
      </c>
      <c r="AL268" t="s">
        <v>288</v>
      </c>
    </row>
    <row r="269" spans="1:38" x14ac:dyDescent="0.2">
      <c r="E269" t="s">
        <v>1304</v>
      </c>
      <c r="F269" t="s">
        <v>1370</v>
      </c>
      <c r="G269" t="s">
        <v>1371</v>
      </c>
      <c r="H269" t="s">
        <v>16</v>
      </c>
      <c r="I269" t="s">
        <v>1362</v>
      </c>
      <c r="J269" s="91">
        <v>-376650</v>
      </c>
      <c r="K269" s="91">
        <v>-376650</v>
      </c>
      <c r="L269" s="91">
        <v>-376650</v>
      </c>
      <c r="M269" t="s">
        <v>278</v>
      </c>
      <c r="N269" t="s">
        <v>278</v>
      </c>
      <c r="O269" t="s">
        <v>1372</v>
      </c>
      <c r="P269" t="s">
        <v>280</v>
      </c>
      <c r="Q269" t="s">
        <v>281</v>
      </c>
      <c r="R269" t="s">
        <v>282</v>
      </c>
      <c r="S269" t="s">
        <v>283</v>
      </c>
      <c r="T269" t="s">
        <v>65</v>
      </c>
      <c r="U269" t="s">
        <v>1308</v>
      </c>
      <c r="V269">
        <v>101</v>
      </c>
      <c r="W269">
        <v>12024</v>
      </c>
      <c r="X269">
        <v>245011</v>
      </c>
      <c r="Y269">
        <v>9999</v>
      </c>
      <c r="Z269">
        <v>999</v>
      </c>
      <c r="AA269">
        <v>999</v>
      </c>
      <c r="AB269">
        <v>9999</v>
      </c>
      <c r="AC269">
        <v>9999</v>
      </c>
      <c r="AD269" t="s">
        <v>1</v>
      </c>
      <c r="AE269" t="s">
        <v>227</v>
      </c>
      <c r="AF269" t="s">
        <v>227</v>
      </c>
      <c r="AG269" t="s">
        <v>286</v>
      </c>
      <c r="AI269" t="s">
        <v>227</v>
      </c>
      <c r="AJ269">
        <v>45524</v>
      </c>
      <c r="AK269" t="s">
        <v>287</v>
      </c>
      <c r="AL269" t="s">
        <v>288</v>
      </c>
    </row>
    <row r="270" spans="1:38" x14ac:dyDescent="0.2">
      <c r="E270" t="s">
        <v>68</v>
      </c>
      <c r="F270" t="s">
        <v>1373</v>
      </c>
      <c r="G270" t="s">
        <v>1374</v>
      </c>
      <c r="H270" t="s">
        <v>19</v>
      </c>
      <c r="I270" t="s">
        <v>1362</v>
      </c>
      <c r="J270" s="91">
        <v>-57417.2</v>
      </c>
      <c r="K270" s="91">
        <v>-57417.2</v>
      </c>
      <c r="L270" s="91">
        <v>-57417.2</v>
      </c>
      <c r="M270" t="s">
        <v>278</v>
      </c>
      <c r="N270" t="s">
        <v>278</v>
      </c>
      <c r="O270" t="s">
        <v>1375</v>
      </c>
      <c r="P270" t="s">
        <v>280</v>
      </c>
      <c r="Q270" t="s">
        <v>281</v>
      </c>
      <c r="R270" t="s">
        <v>282</v>
      </c>
      <c r="S270" t="s">
        <v>283</v>
      </c>
      <c r="T270" t="s">
        <v>284</v>
      </c>
      <c r="U270" t="s">
        <v>547</v>
      </c>
      <c r="V270">
        <v>101</v>
      </c>
      <c r="W270">
        <v>12022</v>
      </c>
      <c r="X270">
        <v>245011</v>
      </c>
      <c r="Y270">
        <v>9999</v>
      </c>
      <c r="Z270">
        <v>999</v>
      </c>
      <c r="AA270">
        <v>999</v>
      </c>
      <c r="AB270">
        <v>9999</v>
      </c>
      <c r="AC270">
        <v>9999</v>
      </c>
      <c r="AD270" t="s">
        <v>1</v>
      </c>
      <c r="AE270" t="s">
        <v>227</v>
      </c>
      <c r="AF270" t="s">
        <v>227</v>
      </c>
      <c r="AG270" t="s">
        <v>286</v>
      </c>
      <c r="AI270" t="s">
        <v>227</v>
      </c>
      <c r="AJ270">
        <v>45518</v>
      </c>
      <c r="AK270" t="s">
        <v>315</v>
      </c>
      <c r="AL270" t="s">
        <v>288</v>
      </c>
    </row>
    <row r="271" spans="1:38" x14ac:dyDescent="0.2">
      <c r="E271" t="s">
        <v>75</v>
      </c>
      <c r="F271" t="s">
        <v>1376</v>
      </c>
      <c r="G271" t="s">
        <v>1377</v>
      </c>
      <c r="H271" t="s">
        <v>19</v>
      </c>
      <c r="I271" t="s">
        <v>1362</v>
      </c>
      <c r="J271" s="91">
        <v>-233217.62</v>
      </c>
      <c r="K271" s="91">
        <v>-233217.62</v>
      </c>
      <c r="L271" s="91">
        <v>-233217.62</v>
      </c>
      <c r="M271" t="s">
        <v>278</v>
      </c>
      <c r="N271" t="s">
        <v>278</v>
      </c>
      <c r="O271" t="s">
        <v>1378</v>
      </c>
      <c r="P271" t="s">
        <v>280</v>
      </c>
      <c r="Q271" t="s">
        <v>281</v>
      </c>
      <c r="R271" t="s">
        <v>282</v>
      </c>
      <c r="S271" t="s">
        <v>294</v>
      </c>
      <c r="T271" t="s">
        <v>295</v>
      </c>
      <c r="U271" t="s">
        <v>474</v>
      </c>
      <c r="V271">
        <v>101</v>
      </c>
      <c r="W271">
        <v>13006</v>
      </c>
      <c r="X271">
        <v>245011</v>
      </c>
      <c r="Y271">
        <v>9999</v>
      </c>
      <c r="Z271">
        <v>999</v>
      </c>
      <c r="AA271">
        <v>999</v>
      </c>
      <c r="AB271">
        <v>9999</v>
      </c>
      <c r="AC271">
        <v>9999</v>
      </c>
      <c r="AD271" t="s">
        <v>1</v>
      </c>
      <c r="AE271" t="s">
        <v>227</v>
      </c>
      <c r="AF271" t="s">
        <v>227</v>
      </c>
      <c r="AG271" t="s">
        <v>286</v>
      </c>
      <c r="AI271" t="s">
        <v>227</v>
      </c>
      <c r="AJ271">
        <v>45524</v>
      </c>
      <c r="AK271" t="s">
        <v>315</v>
      </c>
      <c r="AL271" t="s">
        <v>288</v>
      </c>
    </row>
    <row r="272" spans="1:38" x14ac:dyDescent="0.2">
      <c r="E272" t="s">
        <v>34</v>
      </c>
      <c r="F272" t="s">
        <v>1379</v>
      </c>
      <c r="G272" t="s">
        <v>1380</v>
      </c>
      <c r="H272" t="s">
        <v>24</v>
      </c>
      <c r="I272" t="s">
        <v>1362</v>
      </c>
      <c r="J272" s="91">
        <v>57000</v>
      </c>
      <c r="K272" s="91">
        <v>57000</v>
      </c>
      <c r="L272" s="91">
        <v>57000</v>
      </c>
      <c r="M272" t="s">
        <v>278</v>
      </c>
      <c r="N272" t="s">
        <v>278</v>
      </c>
      <c r="O272" t="s">
        <v>1381</v>
      </c>
      <c r="P272" t="s">
        <v>280</v>
      </c>
      <c r="Q272" t="s">
        <v>281</v>
      </c>
      <c r="R272" t="s">
        <v>282</v>
      </c>
      <c r="S272" t="s">
        <v>294</v>
      </c>
      <c r="T272" t="s">
        <v>295</v>
      </c>
      <c r="U272" t="s">
        <v>398</v>
      </c>
      <c r="V272">
        <v>101</v>
      </c>
      <c r="W272">
        <v>13014</v>
      </c>
      <c r="X272">
        <v>245011</v>
      </c>
      <c r="Y272">
        <v>9999</v>
      </c>
      <c r="Z272">
        <v>999</v>
      </c>
      <c r="AA272">
        <v>999</v>
      </c>
      <c r="AB272">
        <v>9999</v>
      </c>
      <c r="AC272">
        <v>9999</v>
      </c>
      <c r="AD272" t="s">
        <v>1</v>
      </c>
      <c r="AE272" t="s">
        <v>227</v>
      </c>
      <c r="AF272" t="s">
        <v>227</v>
      </c>
      <c r="AG272" t="s">
        <v>286</v>
      </c>
      <c r="AI272" t="s">
        <v>227</v>
      </c>
      <c r="AJ272">
        <v>45520</v>
      </c>
      <c r="AK272" t="s">
        <v>287</v>
      </c>
      <c r="AL272" t="s">
        <v>288</v>
      </c>
    </row>
    <row r="273" spans="1:38" x14ac:dyDescent="0.2">
      <c r="E273" t="s">
        <v>34</v>
      </c>
      <c r="F273" t="s">
        <v>1382</v>
      </c>
      <c r="G273" t="s">
        <v>1383</v>
      </c>
      <c r="H273" t="s">
        <v>27</v>
      </c>
      <c r="I273" t="s">
        <v>1362</v>
      </c>
      <c r="J273" s="91">
        <v>227204.53</v>
      </c>
      <c r="K273" s="91">
        <v>227204.53</v>
      </c>
      <c r="L273" s="91">
        <v>227204.53</v>
      </c>
      <c r="M273" t="s">
        <v>278</v>
      </c>
      <c r="N273" t="s">
        <v>278</v>
      </c>
      <c r="O273" t="s">
        <v>1384</v>
      </c>
      <c r="P273" t="s">
        <v>280</v>
      </c>
      <c r="Q273" t="s">
        <v>281</v>
      </c>
      <c r="R273" t="s">
        <v>282</v>
      </c>
      <c r="S273" t="s">
        <v>294</v>
      </c>
      <c r="T273" t="s">
        <v>295</v>
      </c>
      <c r="U273" t="s">
        <v>398</v>
      </c>
      <c r="V273">
        <v>101</v>
      </c>
      <c r="W273">
        <v>13014</v>
      </c>
      <c r="X273">
        <v>245011</v>
      </c>
      <c r="Y273">
        <v>9999</v>
      </c>
      <c r="Z273">
        <v>999</v>
      </c>
      <c r="AA273">
        <v>999</v>
      </c>
      <c r="AB273">
        <v>9999</v>
      </c>
      <c r="AC273">
        <v>9999</v>
      </c>
      <c r="AD273" t="s">
        <v>1</v>
      </c>
      <c r="AE273" t="s">
        <v>227</v>
      </c>
      <c r="AF273" t="s">
        <v>227</v>
      </c>
      <c r="AG273" t="s">
        <v>286</v>
      </c>
      <c r="AI273" t="s">
        <v>227</v>
      </c>
      <c r="AJ273">
        <v>45520</v>
      </c>
      <c r="AK273" t="s">
        <v>287</v>
      </c>
      <c r="AL273" t="s">
        <v>288</v>
      </c>
    </row>
    <row r="274" spans="1:38" x14ac:dyDescent="0.2">
      <c r="E274" t="s">
        <v>68</v>
      </c>
      <c r="F274" t="s">
        <v>1385</v>
      </c>
      <c r="G274" t="s">
        <v>1386</v>
      </c>
      <c r="H274" t="s">
        <v>19</v>
      </c>
      <c r="I274" t="s">
        <v>1362</v>
      </c>
      <c r="J274" s="91">
        <v>-36744.94</v>
      </c>
      <c r="K274" s="91">
        <v>-36744.94</v>
      </c>
      <c r="L274" s="91">
        <v>-36744.94</v>
      </c>
      <c r="M274" t="s">
        <v>278</v>
      </c>
      <c r="N274" t="s">
        <v>278</v>
      </c>
      <c r="O274" t="s">
        <v>1387</v>
      </c>
      <c r="P274" t="s">
        <v>280</v>
      </c>
      <c r="Q274" t="s">
        <v>281</v>
      </c>
      <c r="R274" t="s">
        <v>282</v>
      </c>
      <c r="S274" t="s">
        <v>283</v>
      </c>
      <c r="T274" t="s">
        <v>284</v>
      </c>
      <c r="U274" t="s">
        <v>547</v>
      </c>
      <c r="V274">
        <v>101</v>
      </c>
      <c r="W274">
        <v>12022</v>
      </c>
      <c r="X274">
        <v>245011</v>
      </c>
      <c r="Y274">
        <v>9999</v>
      </c>
      <c r="Z274">
        <v>999</v>
      </c>
      <c r="AA274">
        <v>999</v>
      </c>
      <c r="AB274">
        <v>9999</v>
      </c>
      <c r="AC274">
        <v>9999</v>
      </c>
      <c r="AD274" t="s">
        <v>1</v>
      </c>
      <c r="AE274" t="s">
        <v>227</v>
      </c>
      <c r="AF274" t="s">
        <v>227</v>
      </c>
      <c r="AG274" t="s">
        <v>286</v>
      </c>
      <c r="AI274" t="s">
        <v>227</v>
      </c>
      <c r="AJ274">
        <v>45517</v>
      </c>
      <c r="AK274" t="s">
        <v>315</v>
      </c>
      <c r="AL274" t="s">
        <v>288</v>
      </c>
    </row>
    <row r="275" spans="1:38" x14ac:dyDescent="0.2">
      <c r="E275" t="s">
        <v>32</v>
      </c>
      <c r="F275" t="s">
        <v>1388</v>
      </c>
      <c r="G275" t="s">
        <v>1389</v>
      </c>
      <c r="H275" t="s">
        <v>16</v>
      </c>
      <c r="I275" t="s">
        <v>1362</v>
      </c>
      <c r="J275" s="91">
        <v>-320342.21000000002</v>
      </c>
      <c r="K275" s="91">
        <v>-320342.21000000002</v>
      </c>
      <c r="L275" s="91">
        <v>-320342.21000000002</v>
      </c>
      <c r="M275" t="s">
        <v>278</v>
      </c>
      <c r="N275" t="s">
        <v>278</v>
      </c>
      <c r="O275" t="s">
        <v>1390</v>
      </c>
      <c r="P275" t="s">
        <v>280</v>
      </c>
      <c r="Q275" t="s">
        <v>281</v>
      </c>
      <c r="R275" t="s">
        <v>282</v>
      </c>
      <c r="S275" t="s">
        <v>283</v>
      </c>
      <c r="T275" t="s">
        <v>313</v>
      </c>
      <c r="U275" t="s">
        <v>381</v>
      </c>
      <c r="V275">
        <v>101</v>
      </c>
      <c r="W275">
        <v>12015</v>
      </c>
      <c r="X275">
        <v>245011</v>
      </c>
      <c r="Y275">
        <v>9999</v>
      </c>
      <c r="Z275">
        <v>999</v>
      </c>
      <c r="AA275">
        <v>999</v>
      </c>
      <c r="AB275">
        <v>9999</v>
      </c>
      <c r="AC275">
        <v>9999</v>
      </c>
      <c r="AD275" t="s">
        <v>1</v>
      </c>
      <c r="AE275" t="s">
        <v>227</v>
      </c>
      <c r="AF275" t="s">
        <v>227</v>
      </c>
      <c r="AG275" t="s">
        <v>286</v>
      </c>
      <c r="AI275" t="s">
        <v>227</v>
      </c>
      <c r="AJ275">
        <v>45517</v>
      </c>
      <c r="AK275" t="s">
        <v>287</v>
      </c>
      <c r="AL275" t="s">
        <v>288</v>
      </c>
    </row>
    <row r="276" spans="1:38" x14ac:dyDescent="0.2">
      <c r="E276" t="s">
        <v>75</v>
      </c>
      <c r="F276" t="s">
        <v>1391</v>
      </c>
      <c r="G276" t="s">
        <v>1392</v>
      </c>
      <c r="H276" t="s">
        <v>221</v>
      </c>
      <c r="I276" t="s">
        <v>1362</v>
      </c>
      <c r="J276" s="91">
        <v>-202500</v>
      </c>
      <c r="K276" s="91">
        <v>-202500</v>
      </c>
      <c r="L276" s="91">
        <v>-202500</v>
      </c>
      <c r="M276" t="s">
        <v>278</v>
      </c>
      <c r="N276" t="s">
        <v>278</v>
      </c>
      <c r="O276" t="s">
        <v>1393</v>
      </c>
      <c r="P276" t="s">
        <v>280</v>
      </c>
      <c r="Q276" t="s">
        <v>281</v>
      </c>
      <c r="R276" t="s">
        <v>282</v>
      </c>
      <c r="S276" t="s">
        <v>294</v>
      </c>
      <c r="T276" t="s">
        <v>295</v>
      </c>
      <c r="U276" t="s">
        <v>474</v>
      </c>
      <c r="V276">
        <v>101</v>
      </c>
      <c r="W276">
        <v>13006</v>
      </c>
      <c r="X276">
        <v>245011</v>
      </c>
      <c r="Y276">
        <v>9999</v>
      </c>
      <c r="Z276">
        <v>999</v>
      </c>
      <c r="AA276">
        <v>999</v>
      </c>
      <c r="AB276">
        <v>9999</v>
      </c>
      <c r="AC276">
        <v>9999</v>
      </c>
      <c r="AD276" t="s">
        <v>1</v>
      </c>
      <c r="AE276" t="s">
        <v>227</v>
      </c>
      <c r="AF276" t="s">
        <v>227</v>
      </c>
      <c r="AG276" t="s">
        <v>286</v>
      </c>
      <c r="AI276" t="s">
        <v>227</v>
      </c>
      <c r="AJ276">
        <v>45511</v>
      </c>
      <c r="AK276" t="s">
        <v>287</v>
      </c>
      <c r="AL276" t="s">
        <v>288</v>
      </c>
    </row>
    <row r="277" spans="1:38" x14ac:dyDescent="0.2">
      <c r="E277" t="s">
        <v>34</v>
      </c>
      <c r="F277" t="s">
        <v>1394</v>
      </c>
      <c r="G277" t="s">
        <v>1395</v>
      </c>
      <c r="H277" t="s">
        <v>27</v>
      </c>
      <c r="I277" t="s">
        <v>1362</v>
      </c>
      <c r="J277" s="91">
        <v>-7844093.2199999997</v>
      </c>
      <c r="K277" s="91">
        <v>-7844093.2199999997</v>
      </c>
      <c r="L277" s="91">
        <v>-7844093.2199999997</v>
      </c>
      <c r="M277" t="s">
        <v>278</v>
      </c>
      <c r="N277" t="s">
        <v>278</v>
      </c>
      <c r="O277" t="s">
        <v>1396</v>
      </c>
      <c r="P277" t="s">
        <v>280</v>
      </c>
      <c r="Q277" t="s">
        <v>281</v>
      </c>
      <c r="R277" t="s">
        <v>282</v>
      </c>
      <c r="S277" t="s">
        <v>294</v>
      </c>
      <c r="T277" t="s">
        <v>295</v>
      </c>
      <c r="U277" t="s">
        <v>1397</v>
      </c>
      <c r="V277">
        <v>101</v>
      </c>
      <c r="W277">
        <v>13014</v>
      </c>
      <c r="X277">
        <v>245011</v>
      </c>
      <c r="Y277">
        <v>9999</v>
      </c>
      <c r="Z277">
        <v>950</v>
      </c>
      <c r="AA277">
        <v>999</v>
      </c>
      <c r="AB277">
        <v>9999</v>
      </c>
      <c r="AC277">
        <v>9999</v>
      </c>
      <c r="AD277" t="s">
        <v>1</v>
      </c>
      <c r="AE277" t="s">
        <v>1398</v>
      </c>
      <c r="AF277" t="s">
        <v>227</v>
      </c>
      <c r="AG277" t="s">
        <v>286</v>
      </c>
      <c r="AI277" t="s">
        <v>227</v>
      </c>
      <c r="AJ277">
        <v>45535</v>
      </c>
      <c r="AK277" t="s">
        <v>287</v>
      </c>
      <c r="AL277" t="s">
        <v>288</v>
      </c>
    </row>
    <row r="278" spans="1:38" x14ac:dyDescent="0.2">
      <c r="E278" t="s">
        <v>34</v>
      </c>
      <c r="F278" t="s">
        <v>1399</v>
      </c>
      <c r="G278" t="s">
        <v>1400</v>
      </c>
      <c r="H278" t="s">
        <v>27</v>
      </c>
      <c r="I278" t="s">
        <v>1362</v>
      </c>
      <c r="J278" s="91">
        <v>7844093.2199999997</v>
      </c>
      <c r="K278" s="91">
        <v>7844093.2199999997</v>
      </c>
      <c r="L278" s="91">
        <v>7844093.2199999997</v>
      </c>
      <c r="M278" t="s">
        <v>278</v>
      </c>
      <c r="N278" t="s">
        <v>278</v>
      </c>
      <c r="O278" t="s">
        <v>1401</v>
      </c>
      <c r="P278" t="s">
        <v>280</v>
      </c>
      <c r="Q278" t="s">
        <v>281</v>
      </c>
      <c r="R278" t="s">
        <v>282</v>
      </c>
      <c r="S278" t="s">
        <v>294</v>
      </c>
      <c r="T278" t="s">
        <v>295</v>
      </c>
      <c r="U278" t="s">
        <v>1397</v>
      </c>
      <c r="V278">
        <v>101</v>
      </c>
      <c r="W278">
        <v>13014</v>
      </c>
      <c r="X278">
        <v>245011</v>
      </c>
      <c r="Y278">
        <v>9999</v>
      </c>
      <c r="Z278">
        <v>950</v>
      </c>
      <c r="AA278">
        <v>999</v>
      </c>
      <c r="AB278">
        <v>9999</v>
      </c>
      <c r="AC278">
        <v>9999</v>
      </c>
      <c r="AD278" t="s">
        <v>1</v>
      </c>
      <c r="AE278" t="s">
        <v>1398</v>
      </c>
      <c r="AF278" t="s">
        <v>227</v>
      </c>
      <c r="AG278" t="s">
        <v>286</v>
      </c>
      <c r="AI278" t="s">
        <v>227</v>
      </c>
      <c r="AJ278">
        <v>45535</v>
      </c>
      <c r="AK278" t="s">
        <v>287</v>
      </c>
      <c r="AL278" t="s">
        <v>288</v>
      </c>
    </row>
    <row r="279" spans="1:38" x14ac:dyDescent="0.2">
      <c r="A279">
        <v>47</v>
      </c>
      <c r="B279" t="s">
        <v>47</v>
      </c>
      <c r="D279" t="s">
        <v>1402</v>
      </c>
      <c r="E279" t="s">
        <v>35</v>
      </c>
      <c r="F279" t="s">
        <v>1403</v>
      </c>
      <c r="G279" t="s">
        <v>1404</v>
      </c>
      <c r="H279" t="s">
        <v>19</v>
      </c>
      <c r="I279" t="s">
        <v>1171</v>
      </c>
      <c r="J279" s="91">
        <v>115743</v>
      </c>
      <c r="K279" s="91">
        <v>115743</v>
      </c>
      <c r="L279" s="91">
        <v>115743</v>
      </c>
      <c r="M279" t="s">
        <v>278</v>
      </c>
      <c r="N279" t="s">
        <v>278</v>
      </c>
      <c r="O279" t="s">
        <v>1405</v>
      </c>
      <c r="P279" t="s">
        <v>280</v>
      </c>
      <c r="Q279" t="s">
        <v>281</v>
      </c>
      <c r="R279" t="s">
        <v>282</v>
      </c>
      <c r="S279" t="s">
        <v>283</v>
      </c>
      <c r="T279" t="s">
        <v>366</v>
      </c>
      <c r="U279" t="s">
        <v>490</v>
      </c>
      <c r="V279">
        <v>101</v>
      </c>
      <c r="W279">
        <v>11010</v>
      </c>
      <c r="X279">
        <v>245011</v>
      </c>
      <c r="Y279">
        <v>9999</v>
      </c>
      <c r="Z279">
        <v>999</v>
      </c>
      <c r="AA279">
        <v>999</v>
      </c>
      <c r="AB279">
        <v>9999</v>
      </c>
      <c r="AC279">
        <v>9999</v>
      </c>
      <c r="AD279" t="s">
        <v>1</v>
      </c>
      <c r="AE279" t="s">
        <v>227</v>
      </c>
      <c r="AF279" t="s">
        <v>227</v>
      </c>
      <c r="AG279" t="s">
        <v>286</v>
      </c>
      <c r="AI279" t="s">
        <v>227</v>
      </c>
      <c r="AJ279">
        <v>45504</v>
      </c>
      <c r="AK279" t="s">
        <v>287</v>
      </c>
      <c r="AL279" t="s">
        <v>288</v>
      </c>
    </row>
    <row r="280" spans="1:38" x14ac:dyDescent="0.2">
      <c r="A280">
        <v>34</v>
      </c>
      <c r="B280" t="s">
        <v>47</v>
      </c>
      <c r="E280" t="s">
        <v>35</v>
      </c>
      <c r="F280" t="s">
        <v>1406</v>
      </c>
      <c r="G280" t="s">
        <v>1407</v>
      </c>
      <c r="H280" t="s">
        <v>19</v>
      </c>
      <c r="I280" t="s">
        <v>1362</v>
      </c>
      <c r="J280" s="91">
        <v>-115743</v>
      </c>
      <c r="K280" s="91">
        <v>-115743</v>
      </c>
      <c r="L280" s="91">
        <v>-115743</v>
      </c>
      <c r="M280" t="s">
        <v>278</v>
      </c>
      <c r="N280" t="s">
        <v>278</v>
      </c>
      <c r="O280" t="s">
        <v>1408</v>
      </c>
      <c r="P280" t="s">
        <v>280</v>
      </c>
      <c r="Q280" t="s">
        <v>281</v>
      </c>
      <c r="R280" t="s">
        <v>282</v>
      </c>
      <c r="S280" t="s">
        <v>283</v>
      </c>
      <c r="T280" t="s">
        <v>366</v>
      </c>
      <c r="U280" t="s">
        <v>490</v>
      </c>
      <c r="V280">
        <v>101</v>
      </c>
      <c r="W280">
        <v>11010</v>
      </c>
      <c r="X280">
        <v>245011</v>
      </c>
      <c r="Y280">
        <v>9999</v>
      </c>
      <c r="Z280">
        <v>999</v>
      </c>
      <c r="AA280">
        <v>999</v>
      </c>
      <c r="AB280">
        <v>9999</v>
      </c>
      <c r="AC280">
        <v>9999</v>
      </c>
      <c r="AD280" t="s">
        <v>1</v>
      </c>
      <c r="AE280" t="s">
        <v>227</v>
      </c>
      <c r="AF280" t="s">
        <v>227</v>
      </c>
      <c r="AG280" t="s">
        <v>286</v>
      </c>
      <c r="AI280" t="s">
        <v>227</v>
      </c>
      <c r="AJ280">
        <v>45517</v>
      </c>
      <c r="AK280" t="s">
        <v>287</v>
      </c>
      <c r="AL280" t="s">
        <v>288</v>
      </c>
    </row>
    <row r="281" spans="1:38" x14ac:dyDescent="0.2">
      <c r="E281" t="s">
        <v>77</v>
      </c>
      <c r="F281" t="s">
        <v>1409</v>
      </c>
      <c r="G281" t="s">
        <v>1410</v>
      </c>
      <c r="H281" t="s">
        <v>36</v>
      </c>
      <c r="I281" t="s">
        <v>1411</v>
      </c>
      <c r="J281" s="91">
        <v>-937417.86</v>
      </c>
      <c r="K281" s="91">
        <v>-937417.86</v>
      </c>
      <c r="L281" s="91">
        <v>-937417.86</v>
      </c>
      <c r="M281" t="s">
        <v>278</v>
      </c>
      <c r="N281" t="s">
        <v>278</v>
      </c>
      <c r="O281" t="s">
        <v>1412</v>
      </c>
      <c r="P281" t="s">
        <v>280</v>
      </c>
      <c r="Q281" t="s">
        <v>281</v>
      </c>
      <c r="R281" t="s">
        <v>282</v>
      </c>
      <c r="S281" t="s">
        <v>283</v>
      </c>
      <c r="T281" t="s">
        <v>313</v>
      </c>
      <c r="U281" t="s">
        <v>1230</v>
      </c>
      <c r="V281">
        <v>101</v>
      </c>
      <c r="W281">
        <v>11001</v>
      </c>
      <c r="X281">
        <v>245011</v>
      </c>
      <c r="Y281">
        <v>9999</v>
      </c>
      <c r="Z281">
        <v>204</v>
      </c>
      <c r="AA281">
        <v>999</v>
      </c>
      <c r="AB281">
        <v>9999</v>
      </c>
      <c r="AC281">
        <v>9999</v>
      </c>
      <c r="AD281" t="s">
        <v>1</v>
      </c>
      <c r="AE281" t="s">
        <v>1413</v>
      </c>
      <c r="AF281" t="s">
        <v>227</v>
      </c>
      <c r="AG281" t="s">
        <v>286</v>
      </c>
      <c r="AI281" t="s">
        <v>227</v>
      </c>
      <c r="AJ281">
        <v>45565</v>
      </c>
      <c r="AK281" t="s">
        <v>315</v>
      </c>
      <c r="AL281" t="s">
        <v>288</v>
      </c>
    </row>
    <row r="282" spans="1:38" x14ac:dyDescent="0.2">
      <c r="E282" t="s">
        <v>77</v>
      </c>
      <c r="F282" t="s">
        <v>1414</v>
      </c>
      <c r="G282" t="s">
        <v>1415</v>
      </c>
      <c r="H282" t="s">
        <v>36</v>
      </c>
      <c r="I282" t="s">
        <v>1411</v>
      </c>
      <c r="J282" s="91">
        <v>937417.86</v>
      </c>
      <c r="K282" s="91">
        <v>937417.86</v>
      </c>
      <c r="L282" s="91">
        <v>937417.86</v>
      </c>
      <c r="M282" t="s">
        <v>278</v>
      </c>
      <c r="N282" t="s">
        <v>278</v>
      </c>
      <c r="O282" t="s">
        <v>1416</v>
      </c>
      <c r="P282" t="s">
        <v>280</v>
      </c>
      <c r="Q282" t="s">
        <v>281</v>
      </c>
      <c r="R282" t="s">
        <v>282</v>
      </c>
      <c r="S282" t="s">
        <v>283</v>
      </c>
      <c r="T282" t="s">
        <v>313</v>
      </c>
      <c r="U282" t="s">
        <v>1230</v>
      </c>
      <c r="V282">
        <v>101</v>
      </c>
      <c r="W282">
        <v>11001</v>
      </c>
      <c r="X282">
        <v>245011</v>
      </c>
      <c r="Y282">
        <v>9999</v>
      </c>
      <c r="Z282">
        <v>204</v>
      </c>
      <c r="AA282">
        <v>999</v>
      </c>
      <c r="AB282">
        <v>9999</v>
      </c>
      <c r="AC282">
        <v>9999</v>
      </c>
      <c r="AD282" t="s">
        <v>1</v>
      </c>
      <c r="AE282" t="s">
        <v>1413</v>
      </c>
      <c r="AF282" t="s">
        <v>227</v>
      </c>
      <c r="AG282" t="s">
        <v>286</v>
      </c>
      <c r="AI282" t="s">
        <v>227</v>
      </c>
      <c r="AJ282">
        <v>45565</v>
      </c>
      <c r="AK282" t="s">
        <v>315</v>
      </c>
      <c r="AL282" t="s">
        <v>288</v>
      </c>
    </row>
    <row r="283" spans="1:38" x14ac:dyDescent="0.2">
      <c r="E283" t="s">
        <v>77</v>
      </c>
      <c r="F283" t="s">
        <v>1417</v>
      </c>
      <c r="G283" t="s">
        <v>1418</v>
      </c>
      <c r="H283" t="s">
        <v>36</v>
      </c>
      <c r="I283" t="s">
        <v>1411</v>
      </c>
      <c r="J283" s="91">
        <v>-937417.86</v>
      </c>
      <c r="K283" s="91">
        <v>-937417.86</v>
      </c>
      <c r="L283" s="91">
        <v>-937417.86</v>
      </c>
      <c r="M283" t="s">
        <v>278</v>
      </c>
      <c r="N283" t="s">
        <v>278</v>
      </c>
      <c r="O283" t="s">
        <v>1419</v>
      </c>
      <c r="P283" t="s">
        <v>280</v>
      </c>
      <c r="Q283" t="s">
        <v>281</v>
      </c>
      <c r="R283" t="s">
        <v>282</v>
      </c>
      <c r="S283" t="s">
        <v>283</v>
      </c>
      <c r="T283" t="s">
        <v>313</v>
      </c>
      <c r="U283" t="s">
        <v>1230</v>
      </c>
      <c r="V283">
        <v>101</v>
      </c>
      <c r="W283">
        <v>11001</v>
      </c>
      <c r="X283">
        <v>245011</v>
      </c>
      <c r="Y283">
        <v>9999</v>
      </c>
      <c r="Z283">
        <v>204</v>
      </c>
      <c r="AA283">
        <v>999</v>
      </c>
      <c r="AB283">
        <v>9999</v>
      </c>
      <c r="AC283">
        <v>9999</v>
      </c>
      <c r="AD283" t="s">
        <v>1</v>
      </c>
      <c r="AE283" t="s">
        <v>1413</v>
      </c>
      <c r="AF283" t="s">
        <v>227</v>
      </c>
      <c r="AG283" t="s">
        <v>286</v>
      </c>
      <c r="AI283" t="s">
        <v>227</v>
      </c>
      <c r="AJ283">
        <v>45565</v>
      </c>
      <c r="AK283" t="s">
        <v>315</v>
      </c>
      <c r="AL283" t="s">
        <v>288</v>
      </c>
    </row>
    <row r="284" spans="1:38" x14ac:dyDescent="0.2">
      <c r="E284" t="s">
        <v>77</v>
      </c>
      <c r="F284" t="s">
        <v>1420</v>
      </c>
      <c r="G284" t="s">
        <v>1421</v>
      </c>
      <c r="H284" t="s">
        <v>36</v>
      </c>
      <c r="I284" t="s">
        <v>1411</v>
      </c>
      <c r="J284" s="91">
        <v>937417.86</v>
      </c>
      <c r="K284" s="91">
        <v>937417.86</v>
      </c>
      <c r="L284" s="91">
        <v>937417.86</v>
      </c>
      <c r="M284" t="s">
        <v>278</v>
      </c>
      <c r="N284" t="s">
        <v>278</v>
      </c>
      <c r="O284" t="s">
        <v>1416</v>
      </c>
      <c r="P284" t="s">
        <v>280</v>
      </c>
      <c r="Q284" t="s">
        <v>281</v>
      </c>
      <c r="R284" t="s">
        <v>282</v>
      </c>
      <c r="S284" t="s">
        <v>283</v>
      </c>
      <c r="T284" t="s">
        <v>313</v>
      </c>
      <c r="U284" t="s">
        <v>1230</v>
      </c>
      <c r="V284">
        <v>101</v>
      </c>
      <c r="W284">
        <v>11001</v>
      </c>
      <c r="X284">
        <v>245011</v>
      </c>
      <c r="Y284">
        <v>9999</v>
      </c>
      <c r="Z284">
        <v>204</v>
      </c>
      <c r="AA284">
        <v>999</v>
      </c>
      <c r="AB284">
        <v>9999</v>
      </c>
      <c r="AC284">
        <v>9999</v>
      </c>
      <c r="AD284" t="s">
        <v>1</v>
      </c>
      <c r="AE284" t="s">
        <v>1413</v>
      </c>
      <c r="AF284" t="s">
        <v>227</v>
      </c>
      <c r="AG284" t="s">
        <v>286</v>
      </c>
      <c r="AI284" t="s">
        <v>227</v>
      </c>
      <c r="AJ284">
        <v>45565</v>
      </c>
      <c r="AK284" t="s">
        <v>315</v>
      </c>
      <c r="AL284" t="s">
        <v>288</v>
      </c>
    </row>
    <row r="285" spans="1:38" x14ac:dyDescent="0.2">
      <c r="E285" t="s">
        <v>77</v>
      </c>
      <c r="F285" t="s">
        <v>1422</v>
      </c>
      <c r="G285" t="s">
        <v>1423</v>
      </c>
      <c r="H285" t="s">
        <v>36</v>
      </c>
      <c r="I285" t="s">
        <v>1411</v>
      </c>
      <c r="J285" s="91">
        <v>-14697.91</v>
      </c>
      <c r="K285" s="91">
        <v>-14697.91</v>
      </c>
      <c r="L285" s="91">
        <v>-14697.91</v>
      </c>
      <c r="M285" t="s">
        <v>278</v>
      </c>
      <c r="N285" t="s">
        <v>278</v>
      </c>
      <c r="O285" t="s">
        <v>1424</v>
      </c>
      <c r="P285" t="s">
        <v>280</v>
      </c>
      <c r="Q285" t="s">
        <v>281</v>
      </c>
      <c r="R285" t="s">
        <v>282</v>
      </c>
      <c r="S285" t="s">
        <v>283</v>
      </c>
      <c r="T285" t="s">
        <v>313</v>
      </c>
      <c r="U285" t="s">
        <v>1230</v>
      </c>
      <c r="V285">
        <v>101</v>
      </c>
      <c r="W285">
        <v>11001</v>
      </c>
      <c r="X285">
        <v>245011</v>
      </c>
      <c r="Y285">
        <v>9999</v>
      </c>
      <c r="Z285">
        <v>204</v>
      </c>
      <c r="AA285">
        <v>999</v>
      </c>
      <c r="AB285">
        <v>9999</v>
      </c>
      <c r="AC285">
        <v>9999</v>
      </c>
      <c r="AD285" t="s">
        <v>1</v>
      </c>
      <c r="AE285" t="s">
        <v>1425</v>
      </c>
      <c r="AF285" t="s">
        <v>227</v>
      </c>
      <c r="AG285" t="s">
        <v>286</v>
      </c>
      <c r="AI285" t="s">
        <v>227</v>
      </c>
      <c r="AJ285">
        <v>45565</v>
      </c>
      <c r="AK285" t="s">
        <v>315</v>
      </c>
      <c r="AL285" t="s">
        <v>288</v>
      </c>
    </row>
    <row r="286" spans="1:38" x14ac:dyDescent="0.2">
      <c r="E286" t="s">
        <v>77</v>
      </c>
      <c r="F286" t="s">
        <v>1426</v>
      </c>
      <c r="G286" t="s">
        <v>1427</v>
      </c>
      <c r="H286" t="s">
        <v>36</v>
      </c>
      <c r="I286" t="s">
        <v>1411</v>
      </c>
      <c r="J286" s="91">
        <v>14697.91</v>
      </c>
      <c r="K286" s="91">
        <v>14697.91</v>
      </c>
      <c r="L286" s="91">
        <v>14697.91</v>
      </c>
      <c r="M286" t="s">
        <v>278</v>
      </c>
      <c r="N286" t="s">
        <v>278</v>
      </c>
      <c r="O286" t="s">
        <v>1428</v>
      </c>
      <c r="P286" t="s">
        <v>280</v>
      </c>
      <c r="Q286" t="s">
        <v>281</v>
      </c>
      <c r="R286" t="s">
        <v>282</v>
      </c>
      <c r="S286" t="s">
        <v>283</v>
      </c>
      <c r="T286" t="s">
        <v>313</v>
      </c>
      <c r="U286" t="s">
        <v>1230</v>
      </c>
      <c r="V286">
        <v>101</v>
      </c>
      <c r="W286">
        <v>11001</v>
      </c>
      <c r="X286">
        <v>245011</v>
      </c>
      <c r="Y286">
        <v>9999</v>
      </c>
      <c r="Z286">
        <v>204</v>
      </c>
      <c r="AA286">
        <v>999</v>
      </c>
      <c r="AB286">
        <v>9999</v>
      </c>
      <c r="AC286">
        <v>9999</v>
      </c>
      <c r="AD286" t="s">
        <v>1</v>
      </c>
      <c r="AE286" t="s">
        <v>1425</v>
      </c>
      <c r="AF286" t="s">
        <v>227</v>
      </c>
      <c r="AG286" t="s">
        <v>286</v>
      </c>
      <c r="AI286" t="s">
        <v>227</v>
      </c>
      <c r="AJ286">
        <v>45565</v>
      </c>
      <c r="AK286" t="s">
        <v>315</v>
      </c>
      <c r="AL286" t="s">
        <v>288</v>
      </c>
    </row>
    <row r="287" spans="1:38" x14ac:dyDescent="0.2">
      <c r="A287">
        <v>711</v>
      </c>
      <c r="B287" t="s">
        <v>54</v>
      </c>
      <c r="D287" t="s">
        <v>1429</v>
      </c>
      <c r="E287" t="s">
        <v>57</v>
      </c>
      <c r="F287" t="s">
        <v>1430</v>
      </c>
      <c r="G287" t="s">
        <v>1431</v>
      </c>
      <c r="H287" t="s">
        <v>217</v>
      </c>
      <c r="I287" t="s">
        <v>532</v>
      </c>
      <c r="J287" s="91">
        <v>322908.79999999999</v>
      </c>
      <c r="K287" s="91">
        <v>322908.79999999999</v>
      </c>
      <c r="L287" s="91">
        <v>322908.79999999999</v>
      </c>
      <c r="M287" t="s">
        <v>278</v>
      </c>
      <c r="N287" t="s">
        <v>278</v>
      </c>
      <c r="O287" t="s">
        <v>1432</v>
      </c>
      <c r="P287" t="s">
        <v>280</v>
      </c>
      <c r="Q287" t="s">
        <v>281</v>
      </c>
      <c r="R287" t="s">
        <v>282</v>
      </c>
      <c r="S287" t="s">
        <v>283</v>
      </c>
      <c r="T287" t="s">
        <v>366</v>
      </c>
      <c r="U287" t="s">
        <v>461</v>
      </c>
      <c r="V287">
        <v>101</v>
      </c>
      <c r="W287">
        <v>12014</v>
      </c>
      <c r="X287">
        <v>245011</v>
      </c>
      <c r="Y287">
        <v>9999</v>
      </c>
      <c r="Z287">
        <v>999</v>
      </c>
      <c r="AA287">
        <v>999</v>
      </c>
      <c r="AB287">
        <v>9999</v>
      </c>
      <c r="AC287">
        <v>9999</v>
      </c>
      <c r="AD287" t="s">
        <v>1</v>
      </c>
      <c r="AE287" t="s">
        <v>227</v>
      </c>
      <c r="AF287" t="s">
        <v>227</v>
      </c>
      <c r="AG287" t="s">
        <v>286</v>
      </c>
      <c r="AI287" t="s">
        <v>227</v>
      </c>
      <c r="AJ287">
        <v>44865</v>
      </c>
      <c r="AK287" t="s">
        <v>287</v>
      </c>
      <c r="AL287" t="s">
        <v>288</v>
      </c>
    </row>
    <row r="288" spans="1:38" x14ac:dyDescent="0.2">
      <c r="E288" t="s">
        <v>57</v>
      </c>
      <c r="F288" t="s">
        <v>1433</v>
      </c>
      <c r="G288" t="s">
        <v>1434</v>
      </c>
      <c r="H288" t="s">
        <v>19</v>
      </c>
      <c r="I288" t="s">
        <v>1411</v>
      </c>
      <c r="J288" s="91">
        <v>-322908.79999999999</v>
      </c>
      <c r="K288" s="91">
        <v>-322908.79999999999</v>
      </c>
      <c r="L288" s="91">
        <v>-322908.79999999999</v>
      </c>
      <c r="M288" t="s">
        <v>278</v>
      </c>
      <c r="N288" t="s">
        <v>278</v>
      </c>
      <c r="O288" t="s">
        <v>1435</v>
      </c>
      <c r="P288" t="s">
        <v>280</v>
      </c>
      <c r="Q288" t="s">
        <v>281</v>
      </c>
      <c r="R288" t="s">
        <v>282</v>
      </c>
      <c r="S288" t="s">
        <v>283</v>
      </c>
      <c r="T288" t="s">
        <v>366</v>
      </c>
      <c r="U288" t="s">
        <v>461</v>
      </c>
      <c r="V288">
        <v>101</v>
      </c>
      <c r="W288">
        <v>12014</v>
      </c>
      <c r="X288">
        <v>245011</v>
      </c>
      <c r="Y288">
        <v>9999</v>
      </c>
      <c r="Z288">
        <v>999</v>
      </c>
      <c r="AA288">
        <v>999</v>
      </c>
      <c r="AB288">
        <v>9999</v>
      </c>
      <c r="AC288">
        <v>9999</v>
      </c>
      <c r="AD288" t="s">
        <v>1</v>
      </c>
      <c r="AE288" t="s">
        <v>227</v>
      </c>
      <c r="AF288" t="s">
        <v>227</v>
      </c>
      <c r="AG288" t="s">
        <v>286</v>
      </c>
      <c r="AI288" t="s">
        <v>227</v>
      </c>
      <c r="AJ288">
        <v>45565</v>
      </c>
      <c r="AK288" t="s">
        <v>287</v>
      </c>
      <c r="AL288" t="s">
        <v>288</v>
      </c>
    </row>
    <row r="289" spans="1:38" x14ac:dyDescent="0.2">
      <c r="A289">
        <v>41</v>
      </c>
      <c r="B289" t="s">
        <v>47</v>
      </c>
      <c r="D289" t="s">
        <v>1436</v>
      </c>
      <c r="E289" t="s">
        <v>32</v>
      </c>
      <c r="F289" t="s">
        <v>1437</v>
      </c>
      <c r="G289" t="s">
        <v>1438</v>
      </c>
      <c r="H289" t="s">
        <v>16</v>
      </c>
      <c r="I289" t="s">
        <v>1362</v>
      </c>
      <c r="J289" s="91">
        <v>-2702135.81</v>
      </c>
      <c r="K289" s="91">
        <v>-2702135.81</v>
      </c>
      <c r="L289" s="91">
        <v>-2702135.81</v>
      </c>
      <c r="M289" t="s">
        <v>278</v>
      </c>
      <c r="N289" t="s">
        <v>278</v>
      </c>
      <c r="O289" t="s">
        <v>1439</v>
      </c>
      <c r="P289" t="s">
        <v>280</v>
      </c>
      <c r="Q289" t="s">
        <v>281</v>
      </c>
      <c r="R289" t="s">
        <v>282</v>
      </c>
      <c r="S289" t="s">
        <v>283</v>
      </c>
      <c r="T289" t="s">
        <v>313</v>
      </c>
      <c r="U289" t="s">
        <v>381</v>
      </c>
      <c r="V289">
        <v>101</v>
      </c>
      <c r="W289">
        <v>12015</v>
      </c>
      <c r="X289">
        <v>245011</v>
      </c>
      <c r="Y289">
        <v>9999</v>
      </c>
      <c r="Z289">
        <v>999</v>
      </c>
      <c r="AA289">
        <v>999</v>
      </c>
      <c r="AB289">
        <v>9999</v>
      </c>
      <c r="AC289">
        <v>9999</v>
      </c>
      <c r="AD289" t="s">
        <v>1</v>
      </c>
      <c r="AE289" t="s">
        <v>227</v>
      </c>
      <c r="AF289" t="s">
        <v>227</v>
      </c>
      <c r="AG289" t="s">
        <v>286</v>
      </c>
      <c r="AI289" t="s">
        <v>227</v>
      </c>
      <c r="AJ289">
        <v>45535</v>
      </c>
      <c r="AK289" t="s">
        <v>287</v>
      </c>
      <c r="AL289" t="s">
        <v>288</v>
      </c>
    </row>
    <row r="290" spans="1:38" x14ac:dyDescent="0.2">
      <c r="E290" t="s">
        <v>32</v>
      </c>
      <c r="F290" t="s">
        <v>1440</v>
      </c>
      <c r="G290" t="s">
        <v>1441</v>
      </c>
      <c r="H290" t="s">
        <v>222</v>
      </c>
      <c r="I290" t="s">
        <v>1411</v>
      </c>
      <c r="J290" s="91">
        <v>2702135.81</v>
      </c>
      <c r="K290" s="91">
        <v>2702135.81</v>
      </c>
      <c r="L290" s="91">
        <v>2702135.81</v>
      </c>
      <c r="M290" t="s">
        <v>278</v>
      </c>
      <c r="N290" t="s">
        <v>278</v>
      </c>
      <c r="O290" t="s">
        <v>1442</v>
      </c>
      <c r="P290" t="s">
        <v>280</v>
      </c>
      <c r="Q290" t="s">
        <v>281</v>
      </c>
      <c r="R290" t="s">
        <v>282</v>
      </c>
      <c r="S290" t="s">
        <v>283</v>
      </c>
      <c r="T290" t="s">
        <v>313</v>
      </c>
      <c r="U290" t="s">
        <v>381</v>
      </c>
      <c r="V290">
        <v>101</v>
      </c>
      <c r="W290">
        <v>12015</v>
      </c>
      <c r="X290">
        <v>245011</v>
      </c>
      <c r="Y290">
        <v>9999</v>
      </c>
      <c r="Z290">
        <v>999</v>
      </c>
      <c r="AA290">
        <v>999</v>
      </c>
      <c r="AB290">
        <v>9999</v>
      </c>
      <c r="AC290">
        <v>9999</v>
      </c>
      <c r="AD290" t="s">
        <v>1</v>
      </c>
      <c r="AE290" t="s">
        <v>227</v>
      </c>
      <c r="AF290" t="s">
        <v>227</v>
      </c>
      <c r="AG290" t="s">
        <v>286</v>
      </c>
      <c r="AI290" t="s">
        <v>227</v>
      </c>
      <c r="AJ290">
        <v>45552</v>
      </c>
      <c r="AK290" t="s">
        <v>287</v>
      </c>
      <c r="AL290" t="s">
        <v>288</v>
      </c>
    </row>
    <row r="291" spans="1:38" x14ac:dyDescent="0.2">
      <c r="A291">
        <v>72</v>
      </c>
      <c r="B291" t="s">
        <v>48</v>
      </c>
      <c r="D291" t="s">
        <v>1443</v>
      </c>
      <c r="E291" t="s">
        <v>35</v>
      </c>
      <c r="F291" t="s">
        <v>1444</v>
      </c>
      <c r="G291" t="s">
        <v>1445</v>
      </c>
      <c r="H291" t="s">
        <v>12</v>
      </c>
      <c r="I291" t="s">
        <v>1171</v>
      </c>
      <c r="J291" s="91">
        <v>745055.74</v>
      </c>
      <c r="K291" s="91">
        <v>745055.74</v>
      </c>
      <c r="L291" s="91">
        <v>745055.74</v>
      </c>
      <c r="M291" t="s">
        <v>278</v>
      </c>
      <c r="N291" t="s">
        <v>278</v>
      </c>
      <c r="O291" t="s">
        <v>1229</v>
      </c>
      <c r="P291" t="s">
        <v>280</v>
      </c>
      <c r="Q291" t="s">
        <v>281</v>
      </c>
      <c r="R291" t="s">
        <v>282</v>
      </c>
      <c r="S291" t="s">
        <v>283</v>
      </c>
      <c r="T291" t="s">
        <v>366</v>
      </c>
      <c r="U291" t="s">
        <v>404</v>
      </c>
      <c r="V291">
        <v>101</v>
      </c>
      <c r="W291">
        <v>11010</v>
      </c>
      <c r="X291">
        <v>245011</v>
      </c>
      <c r="Y291">
        <v>9999</v>
      </c>
      <c r="Z291">
        <v>204</v>
      </c>
      <c r="AA291">
        <v>999</v>
      </c>
      <c r="AB291">
        <v>9999</v>
      </c>
      <c r="AC291">
        <v>9999</v>
      </c>
      <c r="AD291" t="s">
        <v>1</v>
      </c>
      <c r="AE291" t="s">
        <v>1231</v>
      </c>
      <c r="AF291" t="s">
        <v>227</v>
      </c>
      <c r="AG291" t="s">
        <v>286</v>
      </c>
      <c r="AI291" t="s">
        <v>227</v>
      </c>
      <c r="AJ291">
        <v>45504</v>
      </c>
      <c r="AK291" t="s">
        <v>315</v>
      </c>
      <c r="AL291" t="s">
        <v>288</v>
      </c>
    </row>
    <row r="292" spans="1:38" x14ac:dyDescent="0.2">
      <c r="A292">
        <v>41</v>
      </c>
      <c r="B292" t="s">
        <v>47</v>
      </c>
      <c r="D292" t="s">
        <v>1446</v>
      </c>
      <c r="E292" t="s">
        <v>35</v>
      </c>
      <c r="F292" t="s">
        <v>1447</v>
      </c>
      <c r="G292" t="s">
        <v>1448</v>
      </c>
      <c r="H292" t="s">
        <v>36</v>
      </c>
      <c r="I292" t="s">
        <v>1362</v>
      </c>
      <c r="J292" s="91">
        <v>778814.35</v>
      </c>
      <c r="K292" s="91">
        <v>778814.35</v>
      </c>
      <c r="L292" s="91">
        <v>778814.35</v>
      </c>
      <c r="M292" t="s">
        <v>278</v>
      </c>
      <c r="N292" t="s">
        <v>278</v>
      </c>
      <c r="O292" t="s">
        <v>1446</v>
      </c>
      <c r="P292" t="s">
        <v>280</v>
      </c>
      <c r="Q292" t="s">
        <v>281</v>
      </c>
      <c r="R292" t="s">
        <v>282</v>
      </c>
      <c r="S292" t="s">
        <v>283</v>
      </c>
      <c r="T292" t="s">
        <v>366</v>
      </c>
      <c r="U292" t="s">
        <v>526</v>
      </c>
      <c r="V292">
        <v>101</v>
      </c>
      <c r="W292">
        <v>11010</v>
      </c>
      <c r="X292">
        <v>245011</v>
      </c>
      <c r="Y292">
        <v>9999</v>
      </c>
      <c r="Z292">
        <v>950</v>
      </c>
      <c r="AA292">
        <v>999</v>
      </c>
      <c r="AB292">
        <v>9999</v>
      </c>
      <c r="AC292">
        <v>9999</v>
      </c>
      <c r="AD292" t="s">
        <v>1</v>
      </c>
      <c r="AE292" t="s">
        <v>1449</v>
      </c>
      <c r="AF292" t="s">
        <v>227</v>
      </c>
      <c r="AG292" t="s">
        <v>286</v>
      </c>
      <c r="AI292" t="s">
        <v>227</v>
      </c>
      <c r="AJ292">
        <v>45535</v>
      </c>
      <c r="AK292" t="s">
        <v>315</v>
      </c>
      <c r="AL292" t="s">
        <v>288</v>
      </c>
    </row>
    <row r="293" spans="1:38" x14ac:dyDescent="0.2">
      <c r="A293">
        <v>41</v>
      </c>
      <c r="B293" t="s">
        <v>47</v>
      </c>
      <c r="D293" t="s">
        <v>1450</v>
      </c>
      <c r="E293" t="s">
        <v>35</v>
      </c>
      <c r="F293" t="s">
        <v>1451</v>
      </c>
      <c r="G293" t="s">
        <v>1452</v>
      </c>
      <c r="H293" t="s">
        <v>36</v>
      </c>
      <c r="I293" t="s">
        <v>1362</v>
      </c>
      <c r="J293" s="91">
        <v>433137.7</v>
      </c>
      <c r="K293" s="91">
        <v>433137.7</v>
      </c>
      <c r="L293" s="91">
        <v>433137.7</v>
      </c>
      <c r="M293" t="s">
        <v>278</v>
      </c>
      <c r="N293" t="s">
        <v>278</v>
      </c>
      <c r="O293" t="s">
        <v>1450</v>
      </c>
      <c r="P293" t="s">
        <v>280</v>
      </c>
      <c r="Q293" t="s">
        <v>281</v>
      </c>
      <c r="R293" t="s">
        <v>282</v>
      </c>
      <c r="S293" t="s">
        <v>283</v>
      </c>
      <c r="T293" t="s">
        <v>366</v>
      </c>
      <c r="U293" t="s">
        <v>526</v>
      </c>
      <c r="V293">
        <v>101</v>
      </c>
      <c r="W293">
        <v>11010</v>
      </c>
      <c r="X293">
        <v>245011</v>
      </c>
      <c r="Y293">
        <v>9999</v>
      </c>
      <c r="Z293">
        <v>950</v>
      </c>
      <c r="AA293">
        <v>999</v>
      </c>
      <c r="AB293">
        <v>9999</v>
      </c>
      <c r="AC293">
        <v>9999</v>
      </c>
      <c r="AD293" t="s">
        <v>1</v>
      </c>
      <c r="AE293" t="s">
        <v>1453</v>
      </c>
      <c r="AF293" t="s">
        <v>227</v>
      </c>
      <c r="AG293" t="s">
        <v>286</v>
      </c>
      <c r="AI293" t="s">
        <v>227</v>
      </c>
      <c r="AJ293">
        <v>45535</v>
      </c>
      <c r="AK293" t="s">
        <v>315</v>
      </c>
      <c r="AL293" t="s">
        <v>288</v>
      </c>
    </row>
    <row r="294" spans="1:38" x14ac:dyDescent="0.2">
      <c r="A294">
        <v>41</v>
      </c>
      <c r="B294" t="s">
        <v>47</v>
      </c>
      <c r="D294" t="s">
        <v>1454</v>
      </c>
      <c r="E294" t="s">
        <v>35</v>
      </c>
      <c r="F294" t="s">
        <v>1455</v>
      </c>
      <c r="G294" t="s">
        <v>1456</v>
      </c>
      <c r="H294" t="s">
        <v>36</v>
      </c>
      <c r="I294" t="s">
        <v>1362</v>
      </c>
      <c r="J294" s="91">
        <v>1866300</v>
      </c>
      <c r="K294" s="91">
        <v>1866300</v>
      </c>
      <c r="L294" s="91">
        <v>1866300</v>
      </c>
      <c r="M294" t="s">
        <v>278</v>
      </c>
      <c r="N294" t="s">
        <v>278</v>
      </c>
      <c r="O294" t="s">
        <v>1454</v>
      </c>
      <c r="P294" t="s">
        <v>280</v>
      </c>
      <c r="Q294" t="s">
        <v>281</v>
      </c>
      <c r="R294" t="s">
        <v>282</v>
      </c>
      <c r="S294" t="s">
        <v>283</v>
      </c>
      <c r="T294" t="s">
        <v>366</v>
      </c>
      <c r="U294" t="s">
        <v>526</v>
      </c>
      <c r="V294">
        <v>101</v>
      </c>
      <c r="W294">
        <v>11010</v>
      </c>
      <c r="X294">
        <v>245011</v>
      </c>
      <c r="Y294">
        <v>9999</v>
      </c>
      <c r="Z294">
        <v>950</v>
      </c>
      <c r="AA294">
        <v>999</v>
      </c>
      <c r="AB294">
        <v>9999</v>
      </c>
      <c r="AC294">
        <v>9999</v>
      </c>
      <c r="AD294" t="s">
        <v>1</v>
      </c>
      <c r="AE294" t="s">
        <v>1453</v>
      </c>
      <c r="AF294" t="s">
        <v>227</v>
      </c>
      <c r="AG294" t="s">
        <v>286</v>
      </c>
      <c r="AI294" t="s">
        <v>227</v>
      </c>
      <c r="AJ294">
        <v>45535</v>
      </c>
      <c r="AK294" t="s">
        <v>315</v>
      </c>
      <c r="AL294" t="s">
        <v>288</v>
      </c>
    </row>
    <row r="295" spans="1:38" x14ac:dyDescent="0.2">
      <c r="A295">
        <v>41</v>
      </c>
      <c r="B295" t="s">
        <v>47</v>
      </c>
      <c r="D295" t="s">
        <v>1457</v>
      </c>
      <c r="E295" t="s">
        <v>35</v>
      </c>
      <c r="F295" t="s">
        <v>1458</v>
      </c>
      <c r="G295" t="s">
        <v>1459</v>
      </c>
      <c r="H295" t="s">
        <v>19</v>
      </c>
      <c r="I295" t="s">
        <v>1362</v>
      </c>
      <c r="J295" s="91">
        <v>771150</v>
      </c>
      <c r="K295" s="91">
        <v>771150</v>
      </c>
      <c r="L295" s="91">
        <v>771150</v>
      </c>
      <c r="M295" t="s">
        <v>278</v>
      </c>
      <c r="N295" t="s">
        <v>278</v>
      </c>
      <c r="O295" t="s">
        <v>1457</v>
      </c>
      <c r="P295" t="s">
        <v>280</v>
      </c>
      <c r="Q295" t="s">
        <v>281</v>
      </c>
      <c r="R295" t="s">
        <v>282</v>
      </c>
      <c r="S295" t="s">
        <v>283</v>
      </c>
      <c r="T295" t="s">
        <v>366</v>
      </c>
      <c r="U295" t="s">
        <v>490</v>
      </c>
      <c r="V295">
        <v>101</v>
      </c>
      <c r="W295">
        <v>11010</v>
      </c>
      <c r="X295">
        <v>245011</v>
      </c>
      <c r="Y295">
        <v>9999</v>
      </c>
      <c r="Z295">
        <v>999</v>
      </c>
      <c r="AA295">
        <v>999</v>
      </c>
      <c r="AB295">
        <v>9999</v>
      </c>
      <c r="AC295">
        <v>9999</v>
      </c>
      <c r="AD295" t="s">
        <v>1</v>
      </c>
      <c r="AE295" t="s">
        <v>227</v>
      </c>
      <c r="AF295" t="s">
        <v>227</v>
      </c>
      <c r="AG295" t="s">
        <v>286</v>
      </c>
      <c r="AI295" t="s">
        <v>227</v>
      </c>
      <c r="AJ295">
        <v>45535</v>
      </c>
      <c r="AK295" t="s">
        <v>287</v>
      </c>
      <c r="AL295" t="s">
        <v>288</v>
      </c>
    </row>
    <row r="296" spans="1:38" x14ac:dyDescent="0.2">
      <c r="A296">
        <v>41</v>
      </c>
      <c r="B296" t="s">
        <v>47</v>
      </c>
      <c r="D296" t="s">
        <v>1460</v>
      </c>
      <c r="E296" t="s">
        <v>35</v>
      </c>
      <c r="F296" t="s">
        <v>1461</v>
      </c>
      <c r="G296" t="s">
        <v>1462</v>
      </c>
      <c r="H296" t="s">
        <v>36</v>
      </c>
      <c r="I296" t="s">
        <v>1362</v>
      </c>
      <c r="J296" s="91">
        <v>1866300</v>
      </c>
      <c r="K296" s="91">
        <v>1866300</v>
      </c>
      <c r="L296" s="91">
        <v>1866300</v>
      </c>
      <c r="M296" t="s">
        <v>278</v>
      </c>
      <c r="N296" t="s">
        <v>278</v>
      </c>
      <c r="O296" t="s">
        <v>1460</v>
      </c>
      <c r="P296" t="s">
        <v>280</v>
      </c>
      <c r="Q296" t="s">
        <v>281</v>
      </c>
      <c r="R296" t="s">
        <v>282</v>
      </c>
      <c r="S296" t="s">
        <v>283</v>
      </c>
      <c r="T296" t="s">
        <v>366</v>
      </c>
      <c r="U296" t="s">
        <v>526</v>
      </c>
      <c r="V296">
        <v>101</v>
      </c>
      <c r="W296">
        <v>11010</v>
      </c>
      <c r="X296">
        <v>245011</v>
      </c>
      <c r="Y296">
        <v>9999</v>
      </c>
      <c r="Z296">
        <v>950</v>
      </c>
      <c r="AA296">
        <v>999</v>
      </c>
      <c r="AB296">
        <v>9999</v>
      </c>
      <c r="AC296">
        <v>9999</v>
      </c>
      <c r="AD296" t="s">
        <v>1</v>
      </c>
      <c r="AE296" t="s">
        <v>1453</v>
      </c>
      <c r="AF296" t="s">
        <v>227</v>
      </c>
      <c r="AG296" t="s">
        <v>286</v>
      </c>
      <c r="AI296" t="s">
        <v>227</v>
      </c>
      <c r="AJ296">
        <v>45535</v>
      </c>
      <c r="AK296" t="s">
        <v>315</v>
      </c>
      <c r="AL296" t="s">
        <v>288</v>
      </c>
    </row>
    <row r="297" spans="1:38" x14ac:dyDescent="0.2">
      <c r="A297">
        <v>41</v>
      </c>
      <c r="B297" t="s">
        <v>47</v>
      </c>
      <c r="D297" t="s">
        <v>1463</v>
      </c>
      <c r="E297" t="s">
        <v>35</v>
      </c>
      <c r="F297" t="s">
        <v>1464</v>
      </c>
      <c r="G297" t="s">
        <v>1465</v>
      </c>
      <c r="H297" t="s">
        <v>36</v>
      </c>
      <c r="I297" t="s">
        <v>1362</v>
      </c>
      <c r="J297" s="91">
        <v>2489889.63</v>
      </c>
      <c r="K297" s="91">
        <v>2489889.63</v>
      </c>
      <c r="L297" s="91">
        <v>2489889.63</v>
      </c>
      <c r="M297" t="s">
        <v>278</v>
      </c>
      <c r="N297" t="s">
        <v>278</v>
      </c>
      <c r="O297" t="s">
        <v>1463</v>
      </c>
      <c r="P297" t="s">
        <v>280</v>
      </c>
      <c r="Q297" t="s">
        <v>281</v>
      </c>
      <c r="R297" t="s">
        <v>282</v>
      </c>
      <c r="S297" t="s">
        <v>283</v>
      </c>
      <c r="T297" t="s">
        <v>366</v>
      </c>
      <c r="U297" t="s">
        <v>526</v>
      </c>
      <c r="V297">
        <v>101</v>
      </c>
      <c r="W297">
        <v>11010</v>
      </c>
      <c r="X297">
        <v>245011</v>
      </c>
      <c r="Y297">
        <v>9999</v>
      </c>
      <c r="Z297">
        <v>950</v>
      </c>
      <c r="AA297">
        <v>999</v>
      </c>
      <c r="AB297">
        <v>9999</v>
      </c>
      <c r="AC297">
        <v>9999</v>
      </c>
      <c r="AD297" t="s">
        <v>1</v>
      </c>
      <c r="AE297" t="s">
        <v>1453</v>
      </c>
      <c r="AF297" t="s">
        <v>227</v>
      </c>
      <c r="AG297" t="s">
        <v>286</v>
      </c>
      <c r="AI297" t="s">
        <v>227</v>
      </c>
      <c r="AJ297">
        <v>45535</v>
      </c>
      <c r="AK297" t="s">
        <v>315</v>
      </c>
      <c r="AL297" t="s">
        <v>288</v>
      </c>
    </row>
    <row r="298" spans="1:38" x14ac:dyDescent="0.2">
      <c r="E298" t="s">
        <v>35</v>
      </c>
      <c r="F298" t="s">
        <v>1466</v>
      </c>
      <c r="G298" t="s">
        <v>1467</v>
      </c>
      <c r="H298" t="s">
        <v>12</v>
      </c>
      <c r="I298" t="s">
        <v>1411</v>
      </c>
      <c r="J298" s="91">
        <v>-745055.74</v>
      </c>
      <c r="K298" s="91">
        <v>-745055.74</v>
      </c>
      <c r="L298" s="91">
        <v>-745055.74</v>
      </c>
      <c r="M298" t="s">
        <v>278</v>
      </c>
      <c r="N298" t="s">
        <v>278</v>
      </c>
      <c r="O298" t="s">
        <v>1468</v>
      </c>
      <c r="P298" t="s">
        <v>280</v>
      </c>
      <c r="Q298" t="s">
        <v>281</v>
      </c>
      <c r="R298" t="s">
        <v>282</v>
      </c>
      <c r="S298" t="s">
        <v>283</v>
      </c>
      <c r="T298" t="s">
        <v>366</v>
      </c>
      <c r="U298" t="s">
        <v>404</v>
      </c>
      <c r="V298">
        <v>101</v>
      </c>
      <c r="W298">
        <v>11010</v>
      </c>
      <c r="X298">
        <v>245011</v>
      </c>
      <c r="Y298">
        <v>9999</v>
      </c>
      <c r="Z298">
        <v>204</v>
      </c>
      <c r="AA298">
        <v>999</v>
      </c>
      <c r="AB298">
        <v>9999</v>
      </c>
      <c r="AC298">
        <v>9999</v>
      </c>
      <c r="AD298" t="s">
        <v>1</v>
      </c>
      <c r="AE298" t="s">
        <v>1231</v>
      </c>
      <c r="AF298" t="s">
        <v>227</v>
      </c>
      <c r="AG298" t="s">
        <v>286</v>
      </c>
      <c r="AI298" t="s">
        <v>227</v>
      </c>
      <c r="AJ298">
        <v>45562</v>
      </c>
      <c r="AK298" t="s">
        <v>315</v>
      </c>
      <c r="AL298" t="s">
        <v>288</v>
      </c>
    </row>
    <row r="299" spans="1:38" x14ac:dyDescent="0.2">
      <c r="E299" t="s">
        <v>35</v>
      </c>
      <c r="F299" t="s">
        <v>1469</v>
      </c>
      <c r="G299" t="s">
        <v>1470</v>
      </c>
      <c r="H299" t="s">
        <v>36</v>
      </c>
      <c r="I299" t="s">
        <v>1411</v>
      </c>
      <c r="J299" s="91">
        <v>-778814.35</v>
      </c>
      <c r="K299" s="91">
        <v>-778814.35</v>
      </c>
      <c r="L299" s="91">
        <v>-778814.35</v>
      </c>
      <c r="M299" t="s">
        <v>278</v>
      </c>
      <c r="N299" t="s">
        <v>278</v>
      </c>
      <c r="O299" t="s">
        <v>1471</v>
      </c>
      <c r="P299" t="s">
        <v>280</v>
      </c>
      <c r="Q299" t="s">
        <v>281</v>
      </c>
      <c r="R299" t="s">
        <v>282</v>
      </c>
      <c r="S299" t="s">
        <v>283</v>
      </c>
      <c r="T299" t="s">
        <v>366</v>
      </c>
      <c r="U299" t="s">
        <v>526</v>
      </c>
      <c r="V299">
        <v>101</v>
      </c>
      <c r="W299">
        <v>11010</v>
      </c>
      <c r="X299">
        <v>245011</v>
      </c>
      <c r="Y299">
        <v>9999</v>
      </c>
      <c r="Z299">
        <v>950</v>
      </c>
      <c r="AA299">
        <v>999</v>
      </c>
      <c r="AB299">
        <v>9999</v>
      </c>
      <c r="AC299">
        <v>9999</v>
      </c>
      <c r="AD299" t="s">
        <v>1</v>
      </c>
      <c r="AE299" t="s">
        <v>1472</v>
      </c>
      <c r="AF299" t="s">
        <v>227</v>
      </c>
      <c r="AG299" t="s">
        <v>286</v>
      </c>
      <c r="AI299" t="s">
        <v>227</v>
      </c>
      <c r="AJ299">
        <v>45565</v>
      </c>
      <c r="AK299" t="s">
        <v>315</v>
      </c>
      <c r="AL299" t="s">
        <v>288</v>
      </c>
    </row>
    <row r="300" spans="1:38" x14ac:dyDescent="0.2">
      <c r="E300" t="s">
        <v>35</v>
      </c>
      <c r="F300" t="s">
        <v>1473</v>
      </c>
      <c r="G300" t="s">
        <v>1474</v>
      </c>
      <c r="H300" t="s">
        <v>36</v>
      </c>
      <c r="I300" t="s">
        <v>1411</v>
      </c>
      <c r="J300" s="91">
        <v>-2489889.63</v>
      </c>
      <c r="K300" s="91">
        <v>-2489889.63</v>
      </c>
      <c r="L300" s="91">
        <v>-2489889.63</v>
      </c>
      <c r="M300" t="s">
        <v>278</v>
      </c>
      <c r="N300" t="s">
        <v>278</v>
      </c>
      <c r="O300" t="s">
        <v>1475</v>
      </c>
      <c r="P300" t="s">
        <v>280</v>
      </c>
      <c r="Q300" t="s">
        <v>281</v>
      </c>
      <c r="R300" t="s">
        <v>282</v>
      </c>
      <c r="S300" t="s">
        <v>283</v>
      </c>
      <c r="T300" t="s">
        <v>366</v>
      </c>
      <c r="U300" t="s">
        <v>526</v>
      </c>
      <c r="V300">
        <v>101</v>
      </c>
      <c r="W300">
        <v>11010</v>
      </c>
      <c r="X300">
        <v>245011</v>
      </c>
      <c r="Y300">
        <v>9999</v>
      </c>
      <c r="Z300">
        <v>950</v>
      </c>
      <c r="AA300">
        <v>999</v>
      </c>
      <c r="AB300">
        <v>9999</v>
      </c>
      <c r="AC300">
        <v>9999</v>
      </c>
      <c r="AD300" t="s">
        <v>1</v>
      </c>
      <c r="AE300" t="s">
        <v>1453</v>
      </c>
      <c r="AF300" t="s">
        <v>227</v>
      </c>
      <c r="AG300" t="s">
        <v>286</v>
      </c>
      <c r="AI300" t="s">
        <v>227</v>
      </c>
      <c r="AJ300">
        <v>45565</v>
      </c>
      <c r="AK300" t="s">
        <v>315</v>
      </c>
      <c r="AL300" t="s">
        <v>288</v>
      </c>
    </row>
    <row r="301" spans="1:38" x14ac:dyDescent="0.2">
      <c r="E301" t="s">
        <v>35</v>
      </c>
      <c r="F301" t="s">
        <v>1476</v>
      </c>
      <c r="G301" t="s">
        <v>1477</v>
      </c>
      <c r="H301" t="s">
        <v>36</v>
      </c>
      <c r="I301" t="s">
        <v>1411</v>
      </c>
      <c r="J301" s="91">
        <v>-1866300</v>
      </c>
      <c r="K301" s="91">
        <v>-1866300</v>
      </c>
      <c r="L301" s="91">
        <v>-1866300</v>
      </c>
      <c r="M301" t="s">
        <v>278</v>
      </c>
      <c r="N301" t="s">
        <v>278</v>
      </c>
      <c r="O301" t="s">
        <v>1478</v>
      </c>
      <c r="P301" t="s">
        <v>280</v>
      </c>
      <c r="Q301" t="s">
        <v>281</v>
      </c>
      <c r="R301" t="s">
        <v>282</v>
      </c>
      <c r="S301" t="s">
        <v>283</v>
      </c>
      <c r="T301" t="s">
        <v>366</v>
      </c>
      <c r="U301" t="s">
        <v>526</v>
      </c>
      <c r="V301">
        <v>101</v>
      </c>
      <c r="W301">
        <v>11010</v>
      </c>
      <c r="X301">
        <v>245011</v>
      </c>
      <c r="Y301">
        <v>9999</v>
      </c>
      <c r="Z301">
        <v>950</v>
      </c>
      <c r="AA301">
        <v>999</v>
      </c>
      <c r="AB301">
        <v>9999</v>
      </c>
      <c r="AC301">
        <v>9999</v>
      </c>
      <c r="AD301" t="s">
        <v>1</v>
      </c>
      <c r="AE301" t="s">
        <v>1453</v>
      </c>
      <c r="AF301" t="s">
        <v>227</v>
      </c>
      <c r="AG301" t="s">
        <v>286</v>
      </c>
      <c r="AI301" t="s">
        <v>227</v>
      </c>
      <c r="AJ301">
        <v>45565</v>
      </c>
      <c r="AK301" t="s">
        <v>315</v>
      </c>
      <c r="AL301" t="s">
        <v>288</v>
      </c>
    </row>
    <row r="302" spans="1:38" x14ac:dyDescent="0.2">
      <c r="E302" t="s">
        <v>35</v>
      </c>
      <c r="F302" t="s">
        <v>1479</v>
      </c>
      <c r="G302" t="s">
        <v>1480</v>
      </c>
      <c r="H302" t="s">
        <v>36</v>
      </c>
      <c r="I302" t="s">
        <v>1411</v>
      </c>
      <c r="J302" s="91">
        <v>-433137.7</v>
      </c>
      <c r="K302" s="91">
        <v>-433137.7</v>
      </c>
      <c r="L302" s="91">
        <v>-433137.7</v>
      </c>
      <c r="M302" t="s">
        <v>278</v>
      </c>
      <c r="N302" t="s">
        <v>278</v>
      </c>
      <c r="O302" t="s">
        <v>1481</v>
      </c>
      <c r="P302" t="s">
        <v>280</v>
      </c>
      <c r="Q302" t="s">
        <v>281</v>
      </c>
      <c r="R302" t="s">
        <v>282</v>
      </c>
      <c r="S302" t="s">
        <v>283</v>
      </c>
      <c r="T302" t="s">
        <v>366</v>
      </c>
      <c r="U302" t="s">
        <v>526</v>
      </c>
      <c r="V302">
        <v>101</v>
      </c>
      <c r="W302">
        <v>11010</v>
      </c>
      <c r="X302">
        <v>245011</v>
      </c>
      <c r="Y302">
        <v>9999</v>
      </c>
      <c r="Z302">
        <v>950</v>
      </c>
      <c r="AA302">
        <v>999</v>
      </c>
      <c r="AB302">
        <v>9999</v>
      </c>
      <c r="AC302">
        <v>9999</v>
      </c>
      <c r="AD302" t="s">
        <v>1</v>
      </c>
      <c r="AE302" t="s">
        <v>1453</v>
      </c>
      <c r="AF302" t="s">
        <v>227</v>
      </c>
      <c r="AG302" t="s">
        <v>286</v>
      </c>
      <c r="AI302" t="s">
        <v>227</v>
      </c>
      <c r="AJ302">
        <v>45565</v>
      </c>
      <c r="AK302" t="s">
        <v>315</v>
      </c>
      <c r="AL302" t="s">
        <v>288</v>
      </c>
    </row>
    <row r="303" spans="1:38" x14ac:dyDescent="0.2">
      <c r="E303" t="s">
        <v>35</v>
      </c>
      <c r="F303" t="s">
        <v>1482</v>
      </c>
      <c r="G303" t="s">
        <v>1483</v>
      </c>
      <c r="H303" t="s">
        <v>36</v>
      </c>
      <c r="I303" t="s">
        <v>1411</v>
      </c>
      <c r="J303" s="91">
        <v>-1866300</v>
      </c>
      <c r="K303" s="91">
        <v>-1866300</v>
      </c>
      <c r="L303" s="91">
        <v>-1866300</v>
      </c>
      <c r="M303" t="s">
        <v>278</v>
      </c>
      <c r="N303" t="s">
        <v>278</v>
      </c>
      <c r="O303" t="s">
        <v>1484</v>
      </c>
      <c r="P303" t="s">
        <v>280</v>
      </c>
      <c r="Q303" t="s">
        <v>281</v>
      </c>
      <c r="R303" t="s">
        <v>282</v>
      </c>
      <c r="S303" t="s">
        <v>283</v>
      </c>
      <c r="T303" t="s">
        <v>366</v>
      </c>
      <c r="U303" t="s">
        <v>526</v>
      </c>
      <c r="V303">
        <v>101</v>
      </c>
      <c r="W303">
        <v>11010</v>
      </c>
      <c r="X303">
        <v>245011</v>
      </c>
      <c r="Y303">
        <v>9999</v>
      </c>
      <c r="Z303">
        <v>950</v>
      </c>
      <c r="AA303">
        <v>999</v>
      </c>
      <c r="AB303">
        <v>9999</v>
      </c>
      <c r="AC303">
        <v>9999</v>
      </c>
      <c r="AD303" t="s">
        <v>1</v>
      </c>
      <c r="AE303" t="s">
        <v>1453</v>
      </c>
      <c r="AF303" t="s">
        <v>227</v>
      </c>
      <c r="AG303" t="s">
        <v>286</v>
      </c>
      <c r="AI303" t="s">
        <v>227</v>
      </c>
      <c r="AJ303">
        <v>45565</v>
      </c>
      <c r="AK303" t="s">
        <v>315</v>
      </c>
      <c r="AL303" t="s">
        <v>288</v>
      </c>
    </row>
    <row r="304" spans="1:38" x14ac:dyDescent="0.2">
      <c r="E304" t="s">
        <v>35</v>
      </c>
      <c r="F304" t="s">
        <v>1485</v>
      </c>
      <c r="G304" t="s">
        <v>1486</v>
      </c>
      <c r="H304" t="s">
        <v>19</v>
      </c>
      <c r="I304" t="s">
        <v>1411</v>
      </c>
      <c r="J304" s="91">
        <v>-771150</v>
      </c>
      <c r="K304" s="91">
        <v>-771150</v>
      </c>
      <c r="L304" s="91">
        <v>-771150</v>
      </c>
      <c r="M304" t="s">
        <v>278</v>
      </c>
      <c r="N304" t="s">
        <v>278</v>
      </c>
      <c r="O304" t="s">
        <v>1487</v>
      </c>
      <c r="P304" t="s">
        <v>280</v>
      </c>
      <c r="Q304" t="s">
        <v>281</v>
      </c>
      <c r="R304" t="s">
        <v>282</v>
      </c>
      <c r="S304" t="s">
        <v>283</v>
      </c>
      <c r="T304" t="s">
        <v>366</v>
      </c>
      <c r="U304" t="s">
        <v>490</v>
      </c>
      <c r="V304">
        <v>101</v>
      </c>
      <c r="W304">
        <v>11010</v>
      </c>
      <c r="X304">
        <v>245011</v>
      </c>
      <c r="Y304">
        <v>9999</v>
      </c>
      <c r="Z304">
        <v>999</v>
      </c>
      <c r="AA304">
        <v>999</v>
      </c>
      <c r="AB304">
        <v>9999</v>
      </c>
      <c r="AC304">
        <v>9999</v>
      </c>
      <c r="AD304" t="s">
        <v>1</v>
      </c>
      <c r="AE304" t="s">
        <v>227</v>
      </c>
      <c r="AF304" t="s">
        <v>227</v>
      </c>
      <c r="AG304" t="s">
        <v>286</v>
      </c>
      <c r="AI304" t="s">
        <v>227</v>
      </c>
      <c r="AJ304">
        <v>45562</v>
      </c>
      <c r="AK304" t="s">
        <v>287</v>
      </c>
      <c r="AL304" t="s">
        <v>288</v>
      </c>
    </row>
    <row r="305" spans="1:38" x14ac:dyDescent="0.2">
      <c r="A305">
        <v>72</v>
      </c>
      <c r="B305" t="s">
        <v>48</v>
      </c>
      <c r="D305" t="s">
        <v>1488</v>
      </c>
      <c r="E305" t="s">
        <v>75</v>
      </c>
      <c r="F305" t="s">
        <v>1489</v>
      </c>
      <c r="G305" t="s">
        <v>1490</v>
      </c>
      <c r="H305" t="s">
        <v>19</v>
      </c>
      <c r="I305" t="s">
        <v>1171</v>
      </c>
      <c r="J305" s="91">
        <v>635780.07999999996</v>
      </c>
      <c r="K305" s="91">
        <v>635780.07999999996</v>
      </c>
      <c r="L305" s="91">
        <v>635780.07999999996</v>
      </c>
      <c r="M305" t="s">
        <v>278</v>
      </c>
      <c r="N305" t="s">
        <v>278</v>
      </c>
      <c r="O305" t="s">
        <v>1491</v>
      </c>
      <c r="P305" t="s">
        <v>280</v>
      </c>
      <c r="Q305" t="s">
        <v>281</v>
      </c>
      <c r="R305" t="s">
        <v>282</v>
      </c>
      <c r="S305" t="s">
        <v>294</v>
      </c>
      <c r="T305" t="s">
        <v>295</v>
      </c>
      <c r="U305" t="s">
        <v>474</v>
      </c>
      <c r="V305">
        <v>101</v>
      </c>
      <c r="W305">
        <v>13006</v>
      </c>
      <c r="X305">
        <v>245011</v>
      </c>
      <c r="Y305">
        <v>9999</v>
      </c>
      <c r="Z305">
        <v>999</v>
      </c>
      <c r="AA305">
        <v>999</v>
      </c>
      <c r="AB305">
        <v>9999</v>
      </c>
      <c r="AC305">
        <v>9999</v>
      </c>
      <c r="AD305" t="s">
        <v>1</v>
      </c>
      <c r="AE305" t="s">
        <v>227</v>
      </c>
      <c r="AF305" t="s">
        <v>227</v>
      </c>
      <c r="AG305" t="s">
        <v>286</v>
      </c>
      <c r="AI305" t="s">
        <v>227</v>
      </c>
      <c r="AJ305">
        <v>45504</v>
      </c>
      <c r="AK305" t="s">
        <v>287</v>
      </c>
      <c r="AL305" t="s">
        <v>288</v>
      </c>
    </row>
    <row r="306" spans="1:38" x14ac:dyDescent="0.2">
      <c r="A306">
        <v>52</v>
      </c>
      <c r="B306" t="s">
        <v>47</v>
      </c>
      <c r="D306" t="s">
        <v>1492</v>
      </c>
      <c r="E306" t="s">
        <v>75</v>
      </c>
      <c r="F306" t="s">
        <v>1493</v>
      </c>
      <c r="G306" t="s">
        <v>1494</v>
      </c>
      <c r="H306" t="s">
        <v>19</v>
      </c>
      <c r="I306" t="s">
        <v>1362</v>
      </c>
      <c r="J306" s="91">
        <v>-233217.62</v>
      </c>
      <c r="K306" s="91">
        <v>-233217.62</v>
      </c>
      <c r="L306" s="91">
        <v>-233217.62</v>
      </c>
      <c r="M306" t="s">
        <v>278</v>
      </c>
      <c r="N306" t="s">
        <v>278</v>
      </c>
      <c r="O306" t="s">
        <v>1378</v>
      </c>
      <c r="P306" t="s">
        <v>280</v>
      </c>
      <c r="Q306" t="s">
        <v>281</v>
      </c>
      <c r="R306" t="s">
        <v>282</v>
      </c>
      <c r="S306" t="s">
        <v>294</v>
      </c>
      <c r="T306" t="s">
        <v>295</v>
      </c>
      <c r="U306" t="s">
        <v>474</v>
      </c>
      <c r="V306">
        <v>101</v>
      </c>
      <c r="W306">
        <v>13006</v>
      </c>
      <c r="X306">
        <v>245011</v>
      </c>
      <c r="Y306">
        <v>9999</v>
      </c>
      <c r="Z306">
        <v>999</v>
      </c>
      <c r="AA306">
        <v>999</v>
      </c>
      <c r="AB306">
        <v>9999</v>
      </c>
      <c r="AC306">
        <v>9999</v>
      </c>
      <c r="AD306" t="s">
        <v>1</v>
      </c>
      <c r="AE306" t="s">
        <v>227</v>
      </c>
      <c r="AF306" t="s">
        <v>227</v>
      </c>
      <c r="AG306" t="s">
        <v>286</v>
      </c>
      <c r="AI306" t="s">
        <v>227</v>
      </c>
      <c r="AJ306">
        <v>45524</v>
      </c>
      <c r="AK306" t="s">
        <v>315</v>
      </c>
      <c r="AL306" t="s">
        <v>288</v>
      </c>
    </row>
    <row r="307" spans="1:38" x14ac:dyDescent="0.2">
      <c r="A307">
        <v>41</v>
      </c>
      <c r="B307" t="s">
        <v>47</v>
      </c>
      <c r="D307" t="s">
        <v>1495</v>
      </c>
      <c r="E307" t="s">
        <v>75</v>
      </c>
      <c r="F307" t="s">
        <v>1496</v>
      </c>
      <c r="G307" t="s">
        <v>1497</v>
      </c>
      <c r="H307" t="s">
        <v>19</v>
      </c>
      <c r="I307" t="s">
        <v>1362</v>
      </c>
      <c r="J307" s="91">
        <v>-1489860</v>
      </c>
      <c r="K307" s="91">
        <v>-1489860</v>
      </c>
      <c r="L307" s="91">
        <v>-1489860</v>
      </c>
      <c r="M307" t="s">
        <v>278</v>
      </c>
      <c r="N307" t="s">
        <v>278</v>
      </c>
      <c r="O307" t="s">
        <v>1498</v>
      </c>
      <c r="P307" t="s">
        <v>280</v>
      </c>
      <c r="Q307" t="s">
        <v>281</v>
      </c>
      <c r="R307" t="s">
        <v>282</v>
      </c>
      <c r="S307" t="s">
        <v>294</v>
      </c>
      <c r="T307" t="s">
        <v>295</v>
      </c>
      <c r="U307" t="s">
        <v>474</v>
      </c>
      <c r="V307">
        <v>101</v>
      </c>
      <c r="W307">
        <v>13006</v>
      </c>
      <c r="X307">
        <v>245011</v>
      </c>
      <c r="Y307">
        <v>9999</v>
      </c>
      <c r="Z307">
        <v>999</v>
      </c>
      <c r="AA307">
        <v>999</v>
      </c>
      <c r="AB307">
        <v>9999</v>
      </c>
      <c r="AC307">
        <v>9999</v>
      </c>
      <c r="AD307" t="s">
        <v>1</v>
      </c>
      <c r="AE307" t="s">
        <v>227</v>
      </c>
      <c r="AF307" t="s">
        <v>227</v>
      </c>
      <c r="AG307" t="s">
        <v>286</v>
      </c>
      <c r="AI307" t="s">
        <v>227</v>
      </c>
      <c r="AJ307">
        <v>45535</v>
      </c>
      <c r="AK307" t="s">
        <v>287</v>
      </c>
      <c r="AL307" t="s">
        <v>288</v>
      </c>
    </row>
    <row r="308" spans="1:38" x14ac:dyDescent="0.2">
      <c r="E308" t="s">
        <v>75</v>
      </c>
      <c r="F308" t="s">
        <v>1499</v>
      </c>
      <c r="G308" t="s">
        <v>1500</v>
      </c>
      <c r="H308" t="s">
        <v>19</v>
      </c>
      <c r="I308" t="s">
        <v>1411</v>
      </c>
      <c r="J308" s="91">
        <v>-635780.07999999996</v>
      </c>
      <c r="K308" s="91">
        <v>-635780.07999999996</v>
      </c>
      <c r="L308" s="91">
        <v>-635780.07999999996</v>
      </c>
      <c r="M308" t="s">
        <v>278</v>
      </c>
      <c r="N308" t="s">
        <v>278</v>
      </c>
      <c r="O308" t="s">
        <v>1501</v>
      </c>
      <c r="P308" t="s">
        <v>280</v>
      </c>
      <c r="Q308" t="s">
        <v>281</v>
      </c>
      <c r="R308" t="s">
        <v>282</v>
      </c>
      <c r="S308" t="s">
        <v>294</v>
      </c>
      <c r="T308" t="s">
        <v>295</v>
      </c>
      <c r="U308" t="s">
        <v>474</v>
      </c>
      <c r="V308">
        <v>101</v>
      </c>
      <c r="W308">
        <v>13006</v>
      </c>
      <c r="X308">
        <v>245011</v>
      </c>
      <c r="Y308">
        <v>9999</v>
      </c>
      <c r="Z308">
        <v>999</v>
      </c>
      <c r="AA308">
        <v>999</v>
      </c>
      <c r="AB308">
        <v>9999</v>
      </c>
      <c r="AC308">
        <v>9999</v>
      </c>
      <c r="AD308" t="s">
        <v>1</v>
      </c>
      <c r="AE308" t="s">
        <v>227</v>
      </c>
      <c r="AF308" t="s">
        <v>227</v>
      </c>
      <c r="AG308" t="s">
        <v>286</v>
      </c>
      <c r="AI308" t="s">
        <v>227</v>
      </c>
      <c r="AJ308">
        <v>45551</v>
      </c>
      <c r="AK308" t="s">
        <v>287</v>
      </c>
      <c r="AL308" t="s">
        <v>288</v>
      </c>
    </row>
    <row r="309" spans="1:38" x14ac:dyDescent="0.2">
      <c r="E309" t="s">
        <v>75</v>
      </c>
      <c r="F309" t="s">
        <v>1502</v>
      </c>
      <c r="G309" t="s">
        <v>1503</v>
      </c>
      <c r="H309" t="s">
        <v>19</v>
      </c>
      <c r="I309" t="s">
        <v>1411</v>
      </c>
      <c r="J309" s="91">
        <v>233217.62</v>
      </c>
      <c r="K309" s="91">
        <v>233217.62</v>
      </c>
      <c r="L309" s="91">
        <v>233217.62</v>
      </c>
      <c r="M309" t="s">
        <v>278</v>
      </c>
      <c r="N309" t="s">
        <v>278</v>
      </c>
      <c r="O309" t="s">
        <v>1504</v>
      </c>
      <c r="P309" t="s">
        <v>280</v>
      </c>
      <c r="Q309" t="s">
        <v>281</v>
      </c>
      <c r="R309" t="s">
        <v>282</v>
      </c>
      <c r="S309" t="s">
        <v>294</v>
      </c>
      <c r="T309" t="s">
        <v>295</v>
      </c>
      <c r="U309" t="s">
        <v>474</v>
      </c>
      <c r="V309">
        <v>101</v>
      </c>
      <c r="W309">
        <v>13006</v>
      </c>
      <c r="X309">
        <v>245011</v>
      </c>
      <c r="Y309">
        <v>9999</v>
      </c>
      <c r="Z309">
        <v>999</v>
      </c>
      <c r="AA309">
        <v>999</v>
      </c>
      <c r="AB309">
        <v>9999</v>
      </c>
      <c r="AC309">
        <v>9999</v>
      </c>
      <c r="AD309" t="s">
        <v>1</v>
      </c>
      <c r="AE309" t="s">
        <v>227</v>
      </c>
      <c r="AF309" t="s">
        <v>227</v>
      </c>
      <c r="AG309" t="s">
        <v>286</v>
      </c>
      <c r="AI309" t="s">
        <v>227</v>
      </c>
      <c r="AJ309">
        <v>45551</v>
      </c>
      <c r="AK309" t="s">
        <v>315</v>
      </c>
      <c r="AL309" t="s">
        <v>288</v>
      </c>
    </row>
    <row r="310" spans="1:38" x14ac:dyDescent="0.2">
      <c r="E310" t="s">
        <v>75</v>
      </c>
      <c r="F310" t="s">
        <v>1505</v>
      </c>
      <c r="G310" t="s">
        <v>1506</v>
      </c>
      <c r="H310" t="s">
        <v>19</v>
      </c>
      <c r="I310" t="s">
        <v>1411</v>
      </c>
      <c r="J310" s="91">
        <v>1489860</v>
      </c>
      <c r="K310" s="91">
        <v>1489860</v>
      </c>
      <c r="L310" s="91">
        <v>1489860</v>
      </c>
      <c r="M310" t="s">
        <v>278</v>
      </c>
      <c r="N310" t="s">
        <v>278</v>
      </c>
      <c r="O310" t="s">
        <v>1507</v>
      </c>
      <c r="P310" t="s">
        <v>280</v>
      </c>
      <c r="Q310" t="s">
        <v>281</v>
      </c>
      <c r="R310" t="s">
        <v>282</v>
      </c>
      <c r="S310" t="s">
        <v>294</v>
      </c>
      <c r="T310" t="s">
        <v>295</v>
      </c>
      <c r="U310" t="s">
        <v>474</v>
      </c>
      <c r="V310">
        <v>101</v>
      </c>
      <c r="W310">
        <v>13006</v>
      </c>
      <c r="X310">
        <v>245011</v>
      </c>
      <c r="Y310">
        <v>9999</v>
      </c>
      <c r="Z310">
        <v>999</v>
      </c>
      <c r="AA310">
        <v>999</v>
      </c>
      <c r="AB310">
        <v>9999</v>
      </c>
      <c r="AC310">
        <v>9999</v>
      </c>
      <c r="AD310" t="s">
        <v>1</v>
      </c>
      <c r="AE310" t="s">
        <v>227</v>
      </c>
      <c r="AF310" t="s">
        <v>227</v>
      </c>
      <c r="AG310" t="s">
        <v>286</v>
      </c>
      <c r="AI310" t="s">
        <v>227</v>
      </c>
      <c r="AJ310">
        <v>45547</v>
      </c>
      <c r="AK310" t="s">
        <v>287</v>
      </c>
      <c r="AL310" t="s">
        <v>288</v>
      </c>
    </row>
    <row r="311" spans="1:38" x14ac:dyDescent="0.2">
      <c r="A311">
        <v>164</v>
      </c>
      <c r="B311" t="s">
        <v>522</v>
      </c>
      <c r="D311" t="s">
        <v>1508</v>
      </c>
      <c r="E311" t="s">
        <v>37</v>
      </c>
      <c r="F311" t="s">
        <v>1509</v>
      </c>
      <c r="G311" t="s">
        <v>1510</v>
      </c>
      <c r="H311" t="s">
        <v>221</v>
      </c>
      <c r="I311" t="s">
        <v>1102</v>
      </c>
      <c r="J311" s="91">
        <v>-20877.34</v>
      </c>
      <c r="K311" s="91">
        <v>-20877.34</v>
      </c>
      <c r="L311" s="91">
        <v>-20877.34</v>
      </c>
      <c r="M311" t="s">
        <v>278</v>
      </c>
      <c r="N311" t="s">
        <v>278</v>
      </c>
      <c r="O311" t="s">
        <v>1511</v>
      </c>
      <c r="P311" t="s">
        <v>280</v>
      </c>
      <c r="Q311" t="s">
        <v>281</v>
      </c>
      <c r="R311" t="s">
        <v>282</v>
      </c>
      <c r="S311" t="s">
        <v>294</v>
      </c>
      <c r="T311" t="s">
        <v>305</v>
      </c>
      <c r="U311" t="s">
        <v>438</v>
      </c>
      <c r="V311">
        <v>101</v>
      </c>
      <c r="W311">
        <v>13001</v>
      </c>
      <c r="X311">
        <v>245011</v>
      </c>
      <c r="Y311">
        <v>9999</v>
      </c>
      <c r="Z311">
        <v>999</v>
      </c>
      <c r="AA311">
        <v>999</v>
      </c>
      <c r="AB311">
        <v>9999</v>
      </c>
      <c r="AC311">
        <v>9999</v>
      </c>
      <c r="AD311" t="s">
        <v>1</v>
      </c>
      <c r="AE311" t="s">
        <v>1512</v>
      </c>
      <c r="AF311" t="s">
        <v>227</v>
      </c>
      <c r="AG311" t="s">
        <v>286</v>
      </c>
      <c r="AI311" t="s">
        <v>227</v>
      </c>
      <c r="AJ311">
        <v>45412</v>
      </c>
      <c r="AK311" t="s">
        <v>315</v>
      </c>
      <c r="AL311" t="s">
        <v>288</v>
      </c>
    </row>
    <row r="312" spans="1:38" x14ac:dyDescent="0.2">
      <c r="E312" t="s">
        <v>37</v>
      </c>
      <c r="F312" t="s">
        <v>1513</v>
      </c>
      <c r="G312" t="s">
        <v>1514</v>
      </c>
      <c r="H312" t="s">
        <v>221</v>
      </c>
      <c r="I312" t="s">
        <v>1411</v>
      </c>
      <c r="J312" s="91">
        <v>20877.34</v>
      </c>
      <c r="K312" s="91">
        <v>20877.34</v>
      </c>
      <c r="L312" s="91">
        <v>20877.34</v>
      </c>
      <c r="M312" t="s">
        <v>278</v>
      </c>
      <c r="N312" t="s">
        <v>278</v>
      </c>
      <c r="O312" t="s">
        <v>1511</v>
      </c>
      <c r="P312" t="s">
        <v>280</v>
      </c>
      <c r="Q312" t="s">
        <v>281</v>
      </c>
      <c r="R312" t="s">
        <v>282</v>
      </c>
      <c r="S312" t="s">
        <v>294</v>
      </c>
      <c r="T312" t="s">
        <v>305</v>
      </c>
      <c r="U312" t="s">
        <v>438</v>
      </c>
      <c r="V312">
        <v>101</v>
      </c>
      <c r="W312">
        <v>13001</v>
      </c>
      <c r="X312">
        <v>245011</v>
      </c>
      <c r="Y312">
        <v>9999</v>
      </c>
      <c r="Z312">
        <v>999</v>
      </c>
      <c r="AA312">
        <v>999</v>
      </c>
      <c r="AB312">
        <v>9999</v>
      </c>
      <c r="AC312">
        <v>9999</v>
      </c>
      <c r="AD312" t="s">
        <v>1</v>
      </c>
      <c r="AE312" t="s">
        <v>227</v>
      </c>
      <c r="AF312" t="s">
        <v>227</v>
      </c>
      <c r="AG312" t="s">
        <v>286</v>
      </c>
      <c r="AI312" t="s">
        <v>227</v>
      </c>
      <c r="AJ312">
        <v>45562</v>
      </c>
      <c r="AK312" t="s">
        <v>287</v>
      </c>
      <c r="AL312" t="s">
        <v>288</v>
      </c>
    </row>
    <row r="313" spans="1:38" x14ac:dyDescent="0.2">
      <c r="A313">
        <v>41</v>
      </c>
      <c r="B313" t="s">
        <v>47</v>
      </c>
      <c r="D313" t="s">
        <v>1515</v>
      </c>
      <c r="E313" t="s">
        <v>8</v>
      </c>
      <c r="F313" t="s">
        <v>1516</v>
      </c>
      <c r="G313" t="s">
        <v>1516</v>
      </c>
      <c r="H313" t="s">
        <v>16</v>
      </c>
      <c r="I313" t="s">
        <v>1362</v>
      </c>
      <c r="J313" s="91">
        <v>-38054.5</v>
      </c>
      <c r="K313" s="91">
        <v>-38054.5</v>
      </c>
      <c r="L313" s="91">
        <v>-38054.5</v>
      </c>
      <c r="M313" t="s">
        <v>278</v>
      </c>
      <c r="N313" t="s">
        <v>278</v>
      </c>
      <c r="O313" t="s">
        <v>1515</v>
      </c>
      <c r="P313" t="s">
        <v>1515</v>
      </c>
      <c r="Q313" t="s">
        <v>281</v>
      </c>
      <c r="R313" t="s">
        <v>282</v>
      </c>
      <c r="S313" t="s">
        <v>294</v>
      </c>
      <c r="T313" t="s">
        <v>295</v>
      </c>
      <c r="U313" t="s">
        <v>296</v>
      </c>
      <c r="V313">
        <v>101</v>
      </c>
      <c r="W313">
        <v>13008</v>
      </c>
      <c r="X313">
        <v>245011</v>
      </c>
      <c r="Y313">
        <v>9999</v>
      </c>
      <c r="Z313">
        <v>999</v>
      </c>
      <c r="AA313">
        <v>999</v>
      </c>
      <c r="AB313">
        <v>9999</v>
      </c>
      <c r="AC313">
        <v>9999</v>
      </c>
      <c r="AD313" t="s">
        <v>1</v>
      </c>
      <c r="AE313" t="s">
        <v>227</v>
      </c>
      <c r="AF313" t="s">
        <v>227</v>
      </c>
      <c r="AG313" t="s">
        <v>286</v>
      </c>
      <c r="AI313" t="s">
        <v>227</v>
      </c>
      <c r="AJ313">
        <v>45535</v>
      </c>
      <c r="AK313" t="s">
        <v>328</v>
      </c>
      <c r="AL313" t="s">
        <v>288</v>
      </c>
    </row>
    <row r="314" spans="1:38" x14ac:dyDescent="0.2">
      <c r="E314" t="s">
        <v>8</v>
      </c>
      <c r="F314" t="s">
        <v>1517</v>
      </c>
      <c r="G314" t="s">
        <v>1518</v>
      </c>
      <c r="H314" t="s">
        <v>19</v>
      </c>
      <c r="I314" t="s">
        <v>1411</v>
      </c>
      <c r="J314" s="91">
        <v>7870</v>
      </c>
      <c r="K314" s="91">
        <v>7870</v>
      </c>
      <c r="L314" s="91">
        <v>7870</v>
      </c>
      <c r="M314" t="s">
        <v>278</v>
      </c>
      <c r="N314" t="s">
        <v>278</v>
      </c>
      <c r="O314" t="s">
        <v>1519</v>
      </c>
      <c r="P314" t="s">
        <v>1520</v>
      </c>
      <c r="Q314" t="s">
        <v>281</v>
      </c>
      <c r="R314" t="s">
        <v>282</v>
      </c>
      <c r="S314" t="s">
        <v>294</v>
      </c>
      <c r="T314" t="s">
        <v>295</v>
      </c>
      <c r="U314" t="s">
        <v>296</v>
      </c>
      <c r="V314">
        <v>101</v>
      </c>
      <c r="W314">
        <v>13008</v>
      </c>
      <c r="X314">
        <v>245011</v>
      </c>
      <c r="Y314">
        <v>9999</v>
      </c>
      <c r="Z314">
        <v>999</v>
      </c>
      <c r="AA314">
        <v>999</v>
      </c>
      <c r="AB314">
        <v>9999</v>
      </c>
      <c r="AC314">
        <v>9999</v>
      </c>
      <c r="AD314" t="s">
        <v>1</v>
      </c>
      <c r="AE314" t="s">
        <v>227</v>
      </c>
      <c r="AF314" t="s">
        <v>227</v>
      </c>
      <c r="AG314" t="s">
        <v>286</v>
      </c>
      <c r="AI314" t="s">
        <v>227</v>
      </c>
      <c r="AJ314">
        <v>45541</v>
      </c>
      <c r="AK314" t="s">
        <v>328</v>
      </c>
      <c r="AL314" t="s">
        <v>288</v>
      </c>
    </row>
    <row r="315" spans="1:38" x14ac:dyDescent="0.2">
      <c r="E315" t="s">
        <v>8</v>
      </c>
      <c r="F315" t="s">
        <v>1521</v>
      </c>
      <c r="G315" t="s">
        <v>1522</v>
      </c>
      <c r="H315" t="s">
        <v>16</v>
      </c>
      <c r="I315" t="s">
        <v>1411</v>
      </c>
      <c r="J315" s="91">
        <v>38054.5</v>
      </c>
      <c r="K315" s="91">
        <v>38054.5</v>
      </c>
      <c r="L315" s="91">
        <v>38054.5</v>
      </c>
      <c r="M315" t="s">
        <v>278</v>
      </c>
      <c r="N315" t="s">
        <v>278</v>
      </c>
      <c r="O315" t="s">
        <v>1523</v>
      </c>
      <c r="P315" t="s">
        <v>1515</v>
      </c>
      <c r="Q315" t="s">
        <v>281</v>
      </c>
      <c r="R315" t="s">
        <v>282</v>
      </c>
      <c r="S315" t="s">
        <v>294</v>
      </c>
      <c r="T315" t="s">
        <v>295</v>
      </c>
      <c r="U315" t="s">
        <v>296</v>
      </c>
      <c r="V315">
        <v>101</v>
      </c>
      <c r="W315">
        <v>13008</v>
      </c>
      <c r="X315">
        <v>245011</v>
      </c>
      <c r="Y315">
        <v>9999</v>
      </c>
      <c r="Z315">
        <v>999</v>
      </c>
      <c r="AA315">
        <v>999</v>
      </c>
      <c r="AB315">
        <v>9999</v>
      </c>
      <c r="AC315">
        <v>9999</v>
      </c>
      <c r="AD315" t="s">
        <v>1</v>
      </c>
      <c r="AE315" t="s">
        <v>227</v>
      </c>
      <c r="AF315" t="s">
        <v>227</v>
      </c>
      <c r="AG315" t="s">
        <v>286</v>
      </c>
      <c r="AI315" t="s">
        <v>227</v>
      </c>
      <c r="AJ315">
        <v>45540</v>
      </c>
      <c r="AK315" t="s">
        <v>328</v>
      </c>
      <c r="AL315" t="s">
        <v>288</v>
      </c>
    </row>
    <row r="316" spans="1:38" x14ac:dyDescent="0.2">
      <c r="E316" t="s">
        <v>8</v>
      </c>
      <c r="F316" t="s">
        <v>1524</v>
      </c>
      <c r="G316" t="s">
        <v>1524</v>
      </c>
      <c r="H316" t="s">
        <v>19</v>
      </c>
      <c r="I316" t="s">
        <v>1411</v>
      </c>
      <c r="J316" s="91">
        <v>-7870</v>
      </c>
      <c r="K316" s="91">
        <v>-7870</v>
      </c>
      <c r="L316" s="91">
        <v>-7870</v>
      </c>
      <c r="M316" t="s">
        <v>278</v>
      </c>
      <c r="N316" t="s">
        <v>278</v>
      </c>
      <c r="O316" t="s">
        <v>1525</v>
      </c>
      <c r="P316" t="s">
        <v>1520</v>
      </c>
      <c r="Q316" t="s">
        <v>281</v>
      </c>
      <c r="R316" t="s">
        <v>282</v>
      </c>
      <c r="S316" t="s">
        <v>294</v>
      </c>
      <c r="T316" t="s">
        <v>295</v>
      </c>
      <c r="U316" t="s">
        <v>296</v>
      </c>
      <c r="V316">
        <v>101</v>
      </c>
      <c r="W316">
        <v>13008</v>
      </c>
      <c r="X316">
        <v>245011</v>
      </c>
      <c r="Y316">
        <v>9999</v>
      </c>
      <c r="Z316">
        <v>999</v>
      </c>
      <c r="AA316">
        <v>999</v>
      </c>
      <c r="AB316">
        <v>9999</v>
      </c>
      <c r="AC316">
        <v>9999</v>
      </c>
      <c r="AD316" t="s">
        <v>1</v>
      </c>
      <c r="AE316" t="s">
        <v>227</v>
      </c>
      <c r="AF316" t="s">
        <v>227</v>
      </c>
      <c r="AG316" t="s">
        <v>286</v>
      </c>
      <c r="AI316" t="s">
        <v>227</v>
      </c>
      <c r="AJ316">
        <v>45541</v>
      </c>
      <c r="AK316" t="s">
        <v>328</v>
      </c>
      <c r="AL316" t="s">
        <v>288</v>
      </c>
    </row>
    <row r="317" spans="1:38" x14ac:dyDescent="0.2">
      <c r="A317">
        <v>75</v>
      </c>
      <c r="B317" t="s">
        <v>48</v>
      </c>
      <c r="D317" t="s">
        <v>1526</v>
      </c>
      <c r="E317" t="s">
        <v>77</v>
      </c>
      <c r="F317" t="s">
        <v>1527</v>
      </c>
      <c r="G317" t="s">
        <v>1528</v>
      </c>
      <c r="H317" t="s">
        <v>36</v>
      </c>
      <c r="I317" t="s">
        <v>1362</v>
      </c>
      <c r="J317" s="91">
        <v>5960</v>
      </c>
      <c r="K317" s="91">
        <v>5960</v>
      </c>
      <c r="L317" s="91">
        <v>5960</v>
      </c>
      <c r="M317" t="s">
        <v>278</v>
      </c>
      <c r="N317" t="s">
        <v>278</v>
      </c>
      <c r="O317" t="s">
        <v>1526</v>
      </c>
      <c r="P317" t="s">
        <v>280</v>
      </c>
      <c r="Q317" t="s">
        <v>281</v>
      </c>
      <c r="R317" t="s">
        <v>282</v>
      </c>
      <c r="S317" t="s">
        <v>283</v>
      </c>
      <c r="T317" t="s">
        <v>313</v>
      </c>
      <c r="U317" t="s">
        <v>1529</v>
      </c>
      <c r="V317">
        <v>101</v>
      </c>
      <c r="W317">
        <v>11001</v>
      </c>
      <c r="X317">
        <v>245011</v>
      </c>
      <c r="Y317">
        <v>9999</v>
      </c>
      <c r="Z317">
        <v>950</v>
      </c>
      <c r="AA317">
        <v>999</v>
      </c>
      <c r="AB317">
        <v>9999</v>
      </c>
      <c r="AC317">
        <v>9999</v>
      </c>
      <c r="AD317" t="s">
        <v>1</v>
      </c>
      <c r="AE317" t="s">
        <v>1530</v>
      </c>
      <c r="AF317" t="s">
        <v>227</v>
      </c>
      <c r="AG317" t="s">
        <v>286</v>
      </c>
      <c r="AI317" t="s">
        <v>227</v>
      </c>
      <c r="AJ317">
        <v>45535</v>
      </c>
      <c r="AK317" t="s">
        <v>315</v>
      </c>
      <c r="AL317" t="s">
        <v>288</v>
      </c>
    </row>
    <row r="318" spans="1:38" x14ac:dyDescent="0.2">
      <c r="E318" t="s">
        <v>77</v>
      </c>
      <c r="F318" t="s">
        <v>1531</v>
      </c>
      <c r="G318" t="s">
        <v>1532</v>
      </c>
      <c r="H318" t="s">
        <v>36</v>
      </c>
      <c r="I318" t="s">
        <v>277</v>
      </c>
      <c r="J318" s="91">
        <v>-5960</v>
      </c>
      <c r="K318" s="91">
        <v>-5960</v>
      </c>
      <c r="L318" s="91">
        <v>-5960</v>
      </c>
      <c r="M318" t="s">
        <v>278</v>
      </c>
      <c r="N318" t="s">
        <v>278</v>
      </c>
      <c r="O318" t="s">
        <v>1533</v>
      </c>
      <c r="P318" t="s">
        <v>280</v>
      </c>
      <c r="Q318" t="s">
        <v>281</v>
      </c>
      <c r="R318" t="s">
        <v>282</v>
      </c>
      <c r="S318" t="s">
        <v>283</v>
      </c>
      <c r="T318" t="s">
        <v>313</v>
      </c>
      <c r="U318" t="s">
        <v>1529</v>
      </c>
      <c r="V318">
        <v>101</v>
      </c>
      <c r="W318">
        <v>11001</v>
      </c>
      <c r="X318">
        <v>245011</v>
      </c>
      <c r="Y318">
        <v>9999</v>
      </c>
      <c r="Z318">
        <v>950</v>
      </c>
      <c r="AA318">
        <v>999</v>
      </c>
      <c r="AB318">
        <v>9999</v>
      </c>
      <c r="AC318">
        <v>9999</v>
      </c>
      <c r="AD318" t="s">
        <v>1</v>
      </c>
      <c r="AE318" t="s">
        <v>1425</v>
      </c>
      <c r="AF318" t="s">
        <v>227</v>
      </c>
      <c r="AG318" t="s">
        <v>286</v>
      </c>
      <c r="AI318" t="s">
        <v>227</v>
      </c>
      <c r="AJ318">
        <v>45580</v>
      </c>
      <c r="AK318" t="s">
        <v>315</v>
      </c>
      <c r="AL318" t="s">
        <v>288</v>
      </c>
    </row>
    <row r="319" spans="1:38" x14ac:dyDescent="0.2">
      <c r="A319">
        <v>75</v>
      </c>
      <c r="B319" t="s">
        <v>48</v>
      </c>
      <c r="D319" t="s">
        <v>1534</v>
      </c>
      <c r="E319" t="s">
        <v>220</v>
      </c>
      <c r="F319" t="s">
        <v>1535</v>
      </c>
      <c r="G319" t="s">
        <v>1536</v>
      </c>
      <c r="H319" t="s">
        <v>12</v>
      </c>
      <c r="I319" t="s">
        <v>1362</v>
      </c>
      <c r="J319" s="91">
        <v>-1834488.61</v>
      </c>
      <c r="K319" s="91">
        <v>-1834488.61</v>
      </c>
      <c r="L319" s="91">
        <v>-1834488.61</v>
      </c>
      <c r="M319" t="s">
        <v>278</v>
      </c>
      <c r="N319" t="s">
        <v>278</v>
      </c>
      <c r="O319" t="s">
        <v>1537</v>
      </c>
      <c r="P319" t="s">
        <v>280</v>
      </c>
      <c r="Q319" t="s">
        <v>281</v>
      </c>
      <c r="R319" t="s">
        <v>282</v>
      </c>
      <c r="S319" t="s">
        <v>283</v>
      </c>
      <c r="T319" t="s">
        <v>313</v>
      </c>
      <c r="U319" t="s">
        <v>1538</v>
      </c>
      <c r="V319">
        <v>101</v>
      </c>
      <c r="W319">
        <v>11015</v>
      </c>
      <c r="X319">
        <v>245011</v>
      </c>
      <c r="Y319">
        <v>9999</v>
      </c>
      <c r="Z319">
        <v>204</v>
      </c>
      <c r="AA319">
        <v>999</v>
      </c>
      <c r="AB319">
        <v>9999</v>
      </c>
      <c r="AC319">
        <v>9999</v>
      </c>
      <c r="AD319" t="s">
        <v>1</v>
      </c>
      <c r="AE319" t="s">
        <v>1539</v>
      </c>
      <c r="AF319" t="s">
        <v>227</v>
      </c>
      <c r="AG319" t="s">
        <v>286</v>
      </c>
      <c r="AI319" t="s">
        <v>227</v>
      </c>
      <c r="AJ319">
        <v>45535</v>
      </c>
      <c r="AK319" t="s">
        <v>315</v>
      </c>
      <c r="AL319" t="s">
        <v>288</v>
      </c>
    </row>
    <row r="320" spans="1:38" x14ac:dyDescent="0.2">
      <c r="E320" t="s">
        <v>220</v>
      </c>
      <c r="F320" t="s">
        <v>1540</v>
      </c>
      <c r="G320" t="s">
        <v>1541</v>
      </c>
      <c r="H320" t="s">
        <v>12</v>
      </c>
      <c r="I320" t="s">
        <v>277</v>
      </c>
      <c r="J320" s="91">
        <v>1834488.61</v>
      </c>
      <c r="K320" s="91">
        <v>1834488.61</v>
      </c>
      <c r="L320" s="91">
        <v>1834488.61</v>
      </c>
      <c r="M320" t="s">
        <v>278</v>
      </c>
      <c r="N320" t="s">
        <v>278</v>
      </c>
      <c r="O320" t="s">
        <v>1542</v>
      </c>
      <c r="P320" t="s">
        <v>280</v>
      </c>
      <c r="Q320" t="s">
        <v>281</v>
      </c>
      <c r="R320" t="s">
        <v>282</v>
      </c>
      <c r="S320" t="s">
        <v>283</v>
      </c>
      <c r="T320" t="s">
        <v>313</v>
      </c>
      <c r="U320" t="s">
        <v>1538</v>
      </c>
      <c r="V320">
        <v>101</v>
      </c>
      <c r="W320">
        <v>11015</v>
      </c>
      <c r="X320">
        <v>245011</v>
      </c>
      <c r="Y320">
        <v>9999</v>
      </c>
      <c r="Z320">
        <v>204</v>
      </c>
      <c r="AA320">
        <v>999</v>
      </c>
      <c r="AB320">
        <v>9999</v>
      </c>
      <c r="AC320">
        <v>9999</v>
      </c>
      <c r="AD320" t="s">
        <v>1</v>
      </c>
      <c r="AE320" t="s">
        <v>1539</v>
      </c>
      <c r="AF320" t="s">
        <v>227</v>
      </c>
      <c r="AG320" t="s">
        <v>286</v>
      </c>
      <c r="AI320" t="s">
        <v>227</v>
      </c>
      <c r="AJ320">
        <v>45579</v>
      </c>
      <c r="AK320" t="s">
        <v>315</v>
      </c>
      <c r="AL320" t="s">
        <v>288</v>
      </c>
    </row>
    <row r="321" spans="1:38" x14ac:dyDescent="0.2">
      <c r="E321" t="s">
        <v>11</v>
      </c>
      <c r="F321" t="s">
        <v>1543</v>
      </c>
      <c r="G321" t="s">
        <v>1544</v>
      </c>
      <c r="H321" t="s">
        <v>227</v>
      </c>
      <c r="I321" t="s">
        <v>277</v>
      </c>
      <c r="J321" s="91">
        <v>-245120</v>
      </c>
      <c r="K321" s="91">
        <v>-245120</v>
      </c>
      <c r="L321" s="91">
        <v>-245120</v>
      </c>
      <c r="M321" t="s">
        <v>278</v>
      </c>
      <c r="N321" t="s">
        <v>278</v>
      </c>
      <c r="O321" t="s">
        <v>279</v>
      </c>
      <c r="P321" t="s">
        <v>280</v>
      </c>
      <c r="Q321" t="s">
        <v>281</v>
      </c>
      <c r="R321" t="s">
        <v>282</v>
      </c>
      <c r="S321" t="s">
        <v>283</v>
      </c>
      <c r="T321" t="s">
        <v>284</v>
      </c>
      <c r="U321" t="s">
        <v>285</v>
      </c>
      <c r="V321">
        <v>101</v>
      </c>
      <c r="W321">
        <v>12012</v>
      </c>
      <c r="X321">
        <v>245011</v>
      </c>
      <c r="Y321">
        <v>9999</v>
      </c>
      <c r="Z321">
        <v>999</v>
      </c>
      <c r="AA321">
        <v>999</v>
      </c>
      <c r="AB321">
        <v>9999</v>
      </c>
      <c r="AC321">
        <v>9999</v>
      </c>
      <c r="AD321" t="s">
        <v>1</v>
      </c>
      <c r="AE321" t="s">
        <v>227</v>
      </c>
      <c r="AF321" t="s">
        <v>227</v>
      </c>
      <c r="AG321" t="s">
        <v>286</v>
      </c>
      <c r="AI321" t="s">
        <v>227</v>
      </c>
      <c r="AJ321">
        <v>45594</v>
      </c>
      <c r="AK321" t="s">
        <v>287</v>
      </c>
      <c r="AL321" t="s">
        <v>288</v>
      </c>
    </row>
    <row r="322" spans="1:38" x14ac:dyDescent="0.2">
      <c r="E322" t="s">
        <v>11</v>
      </c>
      <c r="F322" t="s">
        <v>1545</v>
      </c>
      <c r="G322" t="s">
        <v>1546</v>
      </c>
      <c r="H322" t="s">
        <v>227</v>
      </c>
      <c r="I322" t="s">
        <v>277</v>
      </c>
      <c r="J322" s="91">
        <v>-245120</v>
      </c>
      <c r="K322" s="91">
        <v>-245120</v>
      </c>
      <c r="L322" s="91">
        <v>-245120</v>
      </c>
      <c r="M322" t="s">
        <v>278</v>
      </c>
      <c r="N322" t="s">
        <v>278</v>
      </c>
      <c r="O322" t="s">
        <v>279</v>
      </c>
      <c r="P322" t="s">
        <v>280</v>
      </c>
      <c r="Q322" t="s">
        <v>281</v>
      </c>
      <c r="R322" t="s">
        <v>282</v>
      </c>
      <c r="S322" t="s">
        <v>283</v>
      </c>
      <c r="T322" t="s">
        <v>284</v>
      </c>
      <c r="U322" t="s">
        <v>285</v>
      </c>
      <c r="V322">
        <v>101</v>
      </c>
      <c r="W322">
        <v>12012</v>
      </c>
      <c r="X322">
        <v>245011</v>
      </c>
      <c r="Y322">
        <v>9999</v>
      </c>
      <c r="Z322">
        <v>999</v>
      </c>
      <c r="AA322">
        <v>999</v>
      </c>
      <c r="AB322">
        <v>9999</v>
      </c>
      <c r="AC322">
        <v>9999</v>
      </c>
      <c r="AD322" t="s">
        <v>1</v>
      </c>
      <c r="AE322" t="s">
        <v>227</v>
      </c>
      <c r="AF322" t="s">
        <v>227</v>
      </c>
      <c r="AG322" t="s">
        <v>286</v>
      </c>
      <c r="AI322" t="s">
        <v>227</v>
      </c>
      <c r="AJ322">
        <v>45594</v>
      </c>
      <c r="AK322" t="s">
        <v>287</v>
      </c>
      <c r="AL322" t="s">
        <v>288</v>
      </c>
    </row>
    <row r="323" spans="1:38" x14ac:dyDescent="0.2">
      <c r="E323" t="s">
        <v>11</v>
      </c>
      <c r="F323" t="s">
        <v>1547</v>
      </c>
      <c r="G323" t="s">
        <v>1548</v>
      </c>
      <c r="H323" t="s">
        <v>227</v>
      </c>
      <c r="I323" t="s">
        <v>277</v>
      </c>
      <c r="J323" s="91">
        <v>-245120</v>
      </c>
      <c r="K323" s="91">
        <v>-245120</v>
      </c>
      <c r="L323" s="91">
        <v>-245120</v>
      </c>
      <c r="M323" t="s">
        <v>278</v>
      </c>
      <c r="N323" t="s">
        <v>278</v>
      </c>
      <c r="O323" t="s">
        <v>279</v>
      </c>
      <c r="P323" t="s">
        <v>280</v>
      </c>
      <c r="Q323" t="s">
        <v>281</v>
      </c>
      <c r="R323" t="s">
        <v>282</v>
      </c>
      <c r="S323" t="s">
        <v>283</v>
      </c>
      <c r="T323" t="s">
        <v>284</v>
      </c>
      <c r="U323" t="s">
        <v>285</v>
      </c>
      <c r="V323">
        <v>101</v>
      </c>
      <c r="W323">
        <v>12012</v>
      </c>
      <c r="X323">
        <v>245011</v>
      </c>
      <c r="Y323">
        <v>9999</v>
      </c>
      <c r="Z323">
        <v>999</v>
      </c>
      <c r="AA323">
        <v>999</v>
      </c>
      <c r="AB323">
        <v>9999</v>
      </c>
      <c r="AC323">
        <v>9999</v>
      </c>
      <c r="AD323" t="s">
        <v>1</v>
      </c>
      <c r="AE323" t="s">
        <v>227</v>
      </c>
      <c r="AF323" t="s">
        <v>227</v>
      </c>
      <c r="AG323" t="s">
        <v>286</v>
      </c>
      <c r="AI323" t="s">
        <v>227</v>
      </c>
      <c r="AJ323">
        <v>45594</v>
      </c>
      <c r="AK323" t="s">
        <v>287</v>
      </c>
      <c r="AL323" t="s">
        <v>288</v>
      </c>
    </row>
    <row r="324" spans="1:38" x14ac:dyDescent="0.2">
      <c r="E324" t="s">
        <v>11</v>
      </c>
      <c r="F324" t="s">
        <v>1549</v>
      </c>
      <c r="G324" t="s">
        <v>1550</v>
      </c>
      <c r="H324" t="s">
        <v>227</v>
      </c>
      <c r="I324" t="s">
        <v>277</v>
      </c>
      <c r="J324" s="91">
        <v>245120</v>
      </c>
      <c r="K324" s="91">
        <v>245120</v>
      </c>
      <c r="L324" s="91">
        <v>245120</v>
      </c>
      <c r="M324" t="s">
        <v>278</v>
      </c>
      <c r="N324" t="s">
        <v>278</v>
      </c>
      <c r="O324" t="s">
        <v>1551</v>
      </c>
      <c r="P324" t="s">
        <v>280</v>
      </c>
      <c r="Q324" t="s">
        <v>281</v>
      </c>
      <c r="R324" t="s">
        <v>282</v>
      </c>
      <c r="S324" t="s">
        <v>283</v>
      </c>
      <c r="T324" t="s">
        <v>284</v>
      </c>
      <c r="U324" t="s">
        <v>285</v>
      </c>
      <c r="V324">
        <v>101</v>
      </c>
      <c r="W324">
        <v>12012</v>
      </c>
      <c r="X324">
        <v>245011</v>
      </c>
      <c r="Y324">
        <v>9999</v>
      </c>
      <c r="Z324">
        <v>999</v>
      </c>
      <c r="AA324">
        <v>999</v>
      </c>
      <c r="AB324">
        <v>9999</v>
      </c>
      <c r="AC324">
        <v>9999</v>
      </c>
      <c r="AD324" t="s">
        <v>1</v>
      </c>
      <c r="AE324" t="s">
        <v>227</v>
      </c>
      <c r="AF324" t="s">
        <v>227</v>
      </c>
      <c r="AG324" t="s">
        <v>286</v>
      </c>
      <c r="AI324" t="s">
        <v>227</v>
      </c>
      <c r="AJ324">
        <v>45594</v>
      </c>
      <c r="AK324" t="s">
        <v>287</v>
      </c>
      <c r="AL324" t="s">
        <v>288</v>
      </c>
    </row>
    <row r="325" spans="1:38" x14ac:dyDescent="0.2">
      <c r="E325" t="s">
        <v>11</v>
      </c>
      <c r="F325" t="s">
        <v>1552</v>
      </c>
      <c r="G325" t="s">
        <v>1553</v>
      </c>
      <c r="H325" t="s">
        <v>227</v>
      </c>
      <c r="I325" t="s">
        <v>277</v>
      </c>
      <c r="J325" s="91">
        <v>245120</v>
      </c>
      <c r="K325" s="91">
        <v>245120</v>
      </c>
      <c r="L325" s="91">
        <v>245120</v>
      </c>
      <c r="M325" t="s">
        <v>278</v>
      </c>
      <c r="N325" t="s">
        <v>278</v>
      </c>
      <c r="O325" t="s">
        <v>1554</v>
      </c>
      <c r="P325" t="s">
        <v>280</v>
      </c>
      <c r="Q325" t="s">
        <v>281</v>
      </c>
      <c r="R325" t="s">
        <v>282</v>
      </c>
      <c r="S325" t="s">
        <v>283</v>
      </c>
      <c r="T325" t="s">
        <v>284</v>
      </c>
      <c r="U325" t="s">
        <v>285</v>
      </c>
      <c r="V325">
        <v>101</v>
      </c>
      <c r="W325">
        <v>12012</v>
      </c>
      <c r="X325">
        <v>245011</v>
      </c>
      <c r="Y325">
        <v>9999</v>
      </c>
      <c r="Z325">
        <v>999</v>
      </c>
      <c r="AA325">
        <v>999</v>
      </c>
      <c r="AB325">
        <v>9999</v>
      </c>
      <c r="AC325">
        <v>9999</v>
      </c>
      <c r="AD325" t="s">
        <v>1</v>
      </c>
      <c r="AE325" t="s">
        <v>227</v>
      </c>
      <c r="AF325" t="s">
        <v>227</v>
      </c>
      <c r="AG325" t="s">
        <v>286</v>
      </c>
      <c r="AI325" t="s">
        <v>227</v>
      </c>
      <c r="AJ325">
        <v>45594</v>
      </c>
      <c r="AK325" t="s">
        <v>287</v>
      </c>
      <c r="AL325" t="s">
        <v>288</v>
      </c>
    </row>
    <row r="326" spans="1:38" x14ac:dyDescent="0.2">
      <c r="E326" t="s">
        <v>11</v>
      </c>
      <c r="F326" t="s">
        <v>1555</v>
      </c>
      <c r="G326" t="s">
        <v>1556</v>
      </c>
      <c r="H326" t="s">
        <v>227</v>
      </c>
      <c r="I326" t="s">
        <v>277</v>
      </c>
      <c r="J326" s="91">
        <v>245120</v>
      </c>
      <c r="K326" s="91">
        <v>245120</v>
      </c>
      <c r="L326" s="91">
        <v>245120</v>
      </c>
      <c r="M326" t="s">
        <v>278</v>
      </c>
      <c r="N326" t="s">
        <v>278</v>
      </c>
      <c r="O326" t="s">
        <v>1557</v>
      </c>
      <c r="P326" t="s">
        <v>280</v>
      </c>
      <c r="Q326" t="s">
        <v>281</v>
      </c>
      <c r="R326" t="s">
        <v>282</v>
      </c>
      <c r="S326" t="s">
        <v>283</v>
      </c>
      <c r="T326" t="s">
        <v>284</v>
      </c>
      <c r="U326" t="s">
        <v>285</v>
      </c>
      <c r="V326">
        <v>101</v>
      </c>
      <c r="W326">
        <v>12012</v>
      </c>
      <c r="X326">
        <v>245011</v>
      </c>
      <c r="Y326">
        <v>9999</v>
      </c>
      <c r="Z326">
        <v>999</v>
      </c>
      <c r="AA326">
        <v>999</v>
      </c>
      <c r="AB326">
        <v>9999</v>
      </c>
      <c r="AC326">
        <v>9999</v>
      </c>
      <c r="AD326" t="s">
        <v>1</v>
      </c>
      <c r="AE326" t="s">
        <v>227</v>
      </c>
      <c r="AF326" t="s">
        <v>227</v>
      </c>
      <c r="AG326" t="s">
        <v>286</v>
      </c>
      <c r="AI326" t="s">
        <v>227</v>
      </c>
      <c r="AJ326">
        <v>45594</v>
      </c>
      <c r="AK326" t="s">
        <v>287</v>
      </c>
      <c r="AL326" t="s">
        <v>288</v>
      </c>
    </row>
    <row r="327" spans="1:38" x14ac:dyDescent="0.2">
      <c r="A327">
        <v>86</v>
      </c>
      <c r="B327" t="s">
        <v>48</v>
      </c>
      <c r="D327" t="s">
        <v>1558</v>
      </c>
      <c r="E327" t="s">
        <v>75</v>
      </c>
      <c r="F327" t="s">
        <v>1559</v>
      </c>
      <c r="G327" t="s">
        <v>1560</v>
      </c>
      <c r="H327" t="s">
        <v>9</v>
      </c>
      <c r="I327" t="s">
        <v>1362</v>
      </c>
      <c r="J327" s="91">
        <v>67500</v>
      </c>
      <c r="K327" s="91">
        <v>67500</v>
      </c>
      <c r="L327" s="91">
        <v>67500</v>
      </c>
      <c r="M327" t="s">
        <v>278</v>
      </c>
      <c r="N327" t="s">
        <v>278</v>
      </c>
      <c r="O327" t="s">
        <v>1561</v>
      </c>
      <c r="P327" t="s">
        <v>280</v>
      </c>
      <c r="Q327" t="s">
        <v>281</v>
      </c>
      <c r="R327" t="s">
        <v>282</v>
      </c>
      <c r="S327" t="s">
        <v>294</v>
      </c>
      <c r="T327" t="s">
        <v>295</v>
      </c>
      <c r="U327" t="s">
        <v>474</v>
      </c>
      <c r="V327">
        <v>101</v>
      </c>
      <c r="W327">
        <v>13006</v>
      </c>
      <c r="X327">
        <v>245011</v>
      </c>
      <c r="Y327">
        <v>9999</v>
      </c>
      <c r="Z327">
        <v>999</v>
      </c>
      <c r="AA327">
        <v>999</v>
      </c>
      <c r="AB327">
        <v>9999</v>
      </c>
      <c r="AC327">
        <v>9999</v>
      </c>
      <c r="AD327" t="s">
        <v>1</v>
      </c>
      <c r="AE327" t="s">
        <v>227</v>
      </c>
      <c r="AF327" t="s">
        <v>227</v>
      </c>
      <c r="AG327" t="s">
        <v>286</v>
      </c>
      <c r="AI327" t="s">
        <v>227</v>
      </c>
      <c r="AJ327">
        <v>45524</v>
      </c>
      <c r="AK327" t="s">
        <v>287</v>
      </c>
      <c r="AL327" t="s">
        <v>288</v>
      </c>
    </row>
    <row r="328" spans="1:38" x14ac:dyDescent="0.2">
      <c r="E328" t="s">
        <v>75</v>
      </c>
      <c r="F328" t="s">
        <v>1562</v>
      </c>
      <c r="G328" t="s">
        <v>1563</v>
      </c>
      <c r="H328" t="s">
        <v>9</v>
      </c>
      <c r="I328" t="s">
        <v>277</v>
      </c>
      <c r="J328" s="91">
        <v>-67500</v>
      </c>
      <c r="K328" s="91">
        <v>-67500</v>
      </c>
      <c r="L328" s="91">
        <v>-67500</v>
      </c>
      <c r="M328" t="s">
        <v>278</v>
      </c>
      <c r="N328" t="s">
        <v>278</v>
      </c>
      <c r="O328" t="s">
        <v>1564</v>
      </c>
      <c r="P328" t="s">
        <v>280</v>
      </c>
      <c r="Q328" t="s">
        <v>281</v>
      </c>
      <c r="R328" t="s">
        <v>282</v>
      </c>
      <c r="S328" t="s">
        <v>294</v>
      </c>
      <c r="T328" t="s">
        <v>295</v>
      </c>
      <c r="U328" t="s">
        <v>474</v>
      </c>
      <c r="V328">
        <v>101</v>
      </c>
      <c r="W328">
        <v>13006</v>
      </c>
      <c r="X328">
        <v>245011</v>
      </c>
      <c r="Y328">
        <v>9999</v>
      </c>
      <c r="Z328">
        <v>999</v>
      </c>
      <c r="AA328">
        <v>999</v>
      </c>
      <c r="AB328">
        <v>9999</v>
      </c>
      <c r="AC328">
        <v>9999</v>
      </c>
      <c r="AD328" t="s">
        <v>1</v>
      </c>
      <c r="AE328" t="s">
        <v>227</v>
      </c>
      <c r="AF328" t="s">
        <v>227</v>
      </c>
      <c r="AG328" t="s">
        <v>286</v>
      </c>
      <c r="AI328" t="s">
        <v>227</v>
      </c>
      <c r="AJ328">
        <v>45566</v>
      </c>
      <c r="AK328" t="s">
        <v>287</v>
      </c>
      <c r="AL328" t="s">
        <v>288</v>
      </c>
    </row>
    <row r="329" spans="1:38" x14ac:dyDescent="0.2">
      <c r="A329">
        <v>45</v>
      </c>
      <c r="B329" t="s">
        <v>47</v>
      </c>
      <c r="D329" t="s">
        <v>1565</v>
      </c>
      <c r="E329" t="s">
        <v>37</v>
      </c>
      <c r="F329" t="s">
        <v>1566</v>
      </c>
      <c r="G329" t="s">
        <v>1567</v>
      </c>
      <c r="H329" t="s">
        <v>19</v>
      </c>
      <c r="I329" t="s">
        <v>1411</v>
      </c>
      <c r="J329" s="91">
        <v>-257618.4</v>
      </c>
      <c r="K329" s="91">
        <v>-257618.4</v>
      </c>
      <c r="L329" s="91">
        <v>-257618.4</v>
      </c>
      <c r="M329" t="s">
        <v>278</v>
      </c>
      <c r="N329" t="s">
        <v>278</v>
      </c>
      <c r="O329" t="s">
        <v>1568</v>
      </c>
      <c r="P329" t="s">
        <v>280</v>
      </c>
      <c r="Q329" t="s">
        <v>281</v>
      </c>
      <c r="R329" t="s">
        <v>282</v>
      </c>
      <c r="S329" t="s">
        <v>294</v>
      </c>
      <c r="T329" t="s">
        <v>305</v>
      </c>
      <c r="U329" t="s">
        <v>438</v>
      </c>
      <c r="V329">
        <v>101</v>
      </c>
      <c r="W329">
        <v>13001</v>
      </c>
      <c r="X329">
        <v>245011</v>
      </c>
      <c r="Y329">
        <v>9999</v>
      </c>
      <c r="Z329">
        <v>999</v>
      </c>
      <c r="AA329">
        <v>999</v>
      </c>
      <c r="AB329">
        <v>9999</v>
      </c>
      <c r="AC329">
        <v>9999</v>
      </c>
      <c r="AD329" t="s">
        <v>1</v>
      </c>
      <c r="AE329" t="s">
        <v>227</v>
      </c>
      <c r="AF329" t="s">
        <v>227</v>
      </c>
      <c r="AG329" t="s">
        <v>286</v>
      </c>
      <c r="AI329" t="s">
        <v>227</v>
      </c>
      <c r="AJ329">
        <v>45565</v>
      </c>
      <c r="AK329" t="s">
        <v>287</v>
      </c>
      <c r="AL329" t="s">
        <v>288</v>
      </c>
    </row>
    <row r="330" spans="1:38" x14ac:dyDescent="0.2">
      <c r="E330" t="s">
        <v>37</v>
      </c>
      <c r="F330" t="s">
        <v>1569</v>
      </c>
      <c r="G330" t="s">
        <v>1570</v>
      </c>
      <c r="H330" t="s">
        <v>222</v>
      </c>
      <c r="I330" t="s">
        <v>277</v>
      </c>
      <c r="J330" s="91">
        <v>257618.4</v>
      </c>
      <c r="K330" s="91">
        <v>257618.4</v>
      </c>
      <c r="L330" s="91">
        <v>257618.4</v>
      </c>
      <c r="M330" t="s">
        <v>278</v>
      </c>
      <c r="N330" t="s">
        <v>278</v>
      </c>
      <c r="O330" t="s">
        <v>1571</v>
      </c>
      <c r="P330" t="s">
        <v>280</v>
      </c>
      <c r="Q330" t="s">
        <v>281</v>
      </c>
      <c r="R330" t="s">
        <v>282</v>
      </c>
      <c r="S330" t="s">
        <v>294</v>
      </c>
      <c r="T330" t="s">
        <v>305</v>
      </c>
      <c r="U330" t="s">
        <v>438</v>
      </c>
      <c r="V330">
        <v>101</v>
      </c>
      <c r="W330">
        <v>13001</v>
      </c>
      <c r="X330">
        <v>245011</v>
      </c>
      <c r="Y330">
        <v>9999</v>
      </c>
      <c r="Z330">
        <v>999</v>
      </c>
      <c r="AA330">
        <v>999</v>
      </c>
      <c r="AB330">
        <v>9999</v>
      </c>
      <c r="AC330">
        <v>9999</v>
      </c>
      <c r="AD330" t="s">
        <v>1</v>
      </c>
      <c r="AE330" t="s">
        <v>227</v>
      </c>
      <c r="AF330" t="s">
        <v>227</v>
      </c>
      <c r="AG330" t="s">
        <v>286</v>
      </c>
      <c r="AI330" t="s">
        <v>227</v>
      </c>
      <c r="AJ330">
        <v>45587</v>
      </c>
      <c r="AK330" t="s">
        <v>287</v>
      </c>
      <c r="AL330" t="s">
        <v>288</v>
      </c>
    </row>
    <row r="331" spans="1:38" x14ac:dyDescent="0.2">
      <c r="A331">
        <v>75</v>
      </c>
      <c r="B331" t="s">
        <v>48</v>
      </c>
      <c r="D331" t="s">
        <v>1572</v>
      </c>
      <c r="E331" t="s">
        <v>34</v>
      </c>
      <c r="F331" t="s">
        <v>1573</v>
      </c>
      <c r="G331" t="s">
        <v>1574</v>
      </c>
      <c r="H331" t="s">
        <v>27</v>
      </c>
      <c r="I331" t="s">
        <v>1362</v>
      </c>
      <c r="J331" s="91">
        <v>-7844093.2199999997</v>
      </c>
      <c r="K331" s="91">
        <v>-7844093.2199999997</v>
      </c>
      <c r="L331" s="91">
        <v>-7844093.2199999997</v>
      </c>
      <c r="M331" t="s">
        <v>278</v>
      </c>
      <c r="N331" t="s">
        <v>278</v>
      </c>
      <c r="O331" t="s">
        <v>1396</v>
      </c>
      <c r="P331" t="s">
        <v>280</v>
      </c>
      <c r="Q331" t="s">
        <v>281</v>
      </c>
      <c r="R331" t="s">
        <v>282</v>
      </c>
      <c r="S331" t="s">
        <v>294</v>
      </c>
      <c r="T331" t="s">
        <v>295</v>
      </c>
      <c r="U331" t="s">
        <v>1397</v>
      </c>
      <c r="V331">
        <v>101</v>
      </c>
      <c r="W331">
        <v>13014</v>
      </c>
      <c r="X331">
        <v>245011</v>
      </c>
      <c r="Y331">
        <v>9999</v>
      </c>
      <c r="Z331">
        <v>950</v>
      </c>
      <c r="AA331">
        <v>999</v>
      </c>
      <c r="AB331">
        <v>9999</v>
      </c>
      <c r="AC331">
        <v>9999</v>
      </c>
      <c r="AD331" t="s">
        <v>1</v>
      </c>
      <c r="AE331" t="s">
        <v>1398</v>
      </c>
      <c r="AF331" t="s">
        <v>227</v>
      </c>
      <c r="AG331" t="s">
        <v>286</v>
      </c>
      <c r="AI331" t="s">
        <v>227</v>
      </c>
      <c r="AJ331">
        <v>45535</v>
      </c>
      <c r="AK331" t="s">
        <v>287</v>
      </c>
      <c r="AL331" t="s">
        <v>288</v>
      </c>
    </row>
    <row r="332" spans="1:38" x14ac:dyDescent="0.2">
      <c r="E332" t="s">
        <v>34</v>
      </c>
      <c r="F332" t="s">
        <v>1575</v>
      </c>
      <c r="G332" t="s">
        <v>1576</v>
      </c>
      <c r="H332" t="s">
        <v>27</v>
      </c>
      <c r="I332" t="s">
        <v>277</v>
      </c>
      <c r="J332" s="91">
        <v>7844093.2199999997</v>
      </c>
      <c r="K332" s="91">
        <v>7844093.2199999997</v>
      </c>
      <c r="L332" s="91">
        <v>7844093.2199999997</v>
      </c>
      <c r="M332" t="s">
        <v>278</v>
      </c>
      <c r="N332" t="s">
        <v>278</v>
      </c>
      <c r="O332" t="s">
        <v>1577</v>
      </c>
      <c r="P332" t="s">
        <v>280</v>
      </c>
      <c r="Q332" t="s">
        <v>281</v>
      </c>
      <c r="R332" t="s">
        <v>282</v>
      </c>
      <c r="S332" t="s">
        <v>294</v>
      </c>
      <c r="T332" t="s">
        <v>295</v>
      </c>
      <c r="U332" t="s">
        <v>1397</v>
      </c>
      <c r="V332">
        <v>101</v>
      </c>
      <c r="W332">
        <v>13014</v>
      </c>
      <c r="X332">
        <v>245011</v>
      </c>
      <c r="Y332">
        <v>9999</v>
      </c>
      <c r="Z332">
        <v>950</v>
      </c>
      <c r="AA332">
        <v>999</v>
      </c>
      <c r="AB332">
        <v>9999</v>
      </c>
      <c r="AC332">
        <v>9999</v>
      </c>
      <c r="AD332" t="s">
        <v>1</v>
      </c>
      <c r="AE332" t="s">
        <v>1398</v>
      </c>
      <c r="AF332" t="s">
        <v>227</v>
      </c>
      <c r="AG332" t="s">
        <v>286</v>
      </c>
      <c r="AI332" t="s">
        <v>227</v>
      </c>
      <c r="AJ332">
        <v>45573</v>
      </c>
      <c r="AK332" t="s">
        <v>287</v>
      </c>
      <c r="AL332" t="s">
        <v>288</v>
      </c>
    </row>
    <row r="333" spans="1:38" x14ac:dyDescent="0.2">
      <c r="A333">
        <v>45</v>
      </c>
      <c r="B333" t="s">
        <v>47</v>
      </c>
      <c r="D333" t="s">
        <v>1578</v>
      </c>
      <c r="E333" t="s">
        <v>8</v>
      </c>
      <c r="F333" t="s">
        <v>1579</v>
      </c>
      <c r="G333" t="s">
        <v>1579</v>
      </c>
      <c r="H333" t="s">
        <v>19</v>
      </c>
      <c r="I333" t="s">
        <v>1411</v>
      </c>
      <c r="J333" s="91">
        <v>-38054.5</v>
      </c>
      <c r="K333" s="91">
        <v>-38054.5</v>
      </c>
      <c r="L333" s="91">
        <v>-38054.5</v>
      </c>
      <c r="M333" t="s">
        <v>278</v>
      </c>
      <c r="N333" t="s">
        <v>278</v>
      </c>
      <c r="O333" t="s">
        <v>1578</v>
      </c>
      <c r="P333" t="s">
        <v>1578</v>
      </c>
      <c r="Q333" t="s">
        <v>281</v>
      </c>
      <c r="R333" t="s">
        <v>282</v>
      </c>
      <c r="S333" t="s">
        <v>294</v>
      </c>
      <c r="T333" t="s">
        <v>295</v>
      </c>
      <c r="U333" t="s">
        <v>296</v>
      </c>
      <c r="V333">
        <v>101</v>
      </c>
      <c r="W333">
        <v>13008</v>
      </c>
      <c r="X333">
        <v>245011</v>
      </c>
      <c r="Y333">
        <v>9999</v>
      </c>
      <c r="Z333">
        <v>999</v>
      </c>
      <c r="AA333">
        <v>999</v>
      </c>
      <c r="AB333">
        <v>9999</v>
      </c>
      <c r="AC333">
        <v>9999</v>
      </c>
      <c r="AD333" t="s">
        <v>1</v>
      </c>
      <c r="AE333" t="s">
        <v>227</v>
      </c>
      <c r="AF333" t="s">
        <v>227</v>
      </c>
      <c r="AG333" t="s">
        <v>286</v>
      </c>
      <c r="AI333" t="s">
        <v>227</v>
      </c>
      <c r="AJ333">
        <v>45565</v>
      </c>
      <c r="AK333" t="s">
        <v>328</v>
      </c>
      <c r="AL333" t="s">
        <v>288</v>
      </c>
    </row>
    <row r="334" spans="1:38" x14ac:dyDescent="0.2">
      <c r="E334" t="s">
        <v>8</v>
      </c>
      <c r="F334" t="s">
        <v>1580</v>
      </c>
      <c r="G334" t="s">
        <v>1581</v>
      </c>
      <c r="H334" t="s">
        <v>227</v>
      </c>
      <c r="I334" t="s">
        <v>277</v>
      </c>
      <c r="J334" s="91">
        <v>38054.5</v>
      </c>
      <c r="K334" s="91">
        <v>38054.5</v>
      </c>
      <c r="L334" s="91">
        <v>38054.5</v>
      </c>
      <c r="M334" t="s">
        <v>278</v>
      </c>
      <c r="N334" t="s">
        <v>278</v>
      </c>
      <c r="O334" t="s">
        <v>1582</v>
      </c>
      <c r="P334" t="s">
        <v>1578</v>
      </c>
      <c r="Q334" t="s">
        <v>281</v>
      </c>
      <c r="R334" t="s">
        <v>282</v>
      </c>
      <c r="S334" t="s">
        <v>294</v>
      </c>
      <c r="T334" t="s">
        <v>295</v>
      </c>
      <c r="U334" t="s">
        <v>296</v>
      </c>
      <c r="V334">
        <v>101</v>
      </c>
      <c r="W334">
        <v>13008</v>
      </c>
      <c r="X334">
        <v>245011</v>
      </c>
      <c r="Y334">
        <v>9999</v>
      </c>
      <c r="Z334">
        <v>999</v>
      </c>
      <c r="AA334">
        <v>999</v>
      </c>
      <c r="AB334">
        <v>9999</v>
      </c>
      <c r="AC334">
        <v>9999</v>
      </c>
      <c r="AD334" t="s">
        <v>1</v>
      </c>
      <c r="AE334" t="s">
        <v>227</v>
      </c>
      <c r="AF334" t="s">
        <v>227</v>
      </c>
      <c r="AG334" t="s">
        <v>286</v>
      </c>
      <c r="AI334" t="s">
        <v>227</v>
      </c>
      <c r="AJ334">
        <v>45569</v>
      </c>
      <c r="AK334" t="s">
        <v>328</v>
      </c>
      <c r="AL334" t="s">
        <v>288</v>
      </c>
    </row>
    <row r="335" spans="1:38" x14ac:dyDescent="0.2">
      <c r="A335">
        <v>42</v>
      </c>
      <c r="B335" t="s">
        <v>47</v>
      </c>
      <c r="D335" t="s">
        <v>1583</v>
      </c>
      <c r="E335" t="s">
        <v>32</v>
      </c>
      <c r="F335" t="s">
        <v>1584</v>
      </c>
      <c r="G335" t="s">
        <v>1585</v>
      </c>
      <c r="H335" t="s">
        <v>223</v>
      </c>
      <c r="I335" t="s">
        <v>277</v>
      </c>
      <c r="J335" s="91">
        <v>-50807.5</v>
      </c>
      <c r="K335" s="91">
        <v>-50807.5</v>
      </c>
      <c r="L335" s="91">
        <v>-50807.5</v>
      </c>
      <c r="M335" t="s">
        <v>278</v>
      </c>
      <c r="N335" t="s">
        <v>278</v>
      </c>
      <c r="O335" t="s">
        <v>1586</v>
      </c>
      <c r="P335" t="s">
        <v>280</v>
      </c>
      <c r="Q335" t="s">
        <v>281</v>
      </c>
      <c r="R335" t="s">
        <v>282</v>
      </c>
      <c r="S335" t="s">
        <v>283</v>
      </c>
      <c r="T335" t="s">
        <v>313</v>
      </c>
      <c r="U335" t="s">
        <v>381</v>
      </c>
      <c r="V335">
        <v>101</v>
      </c>
      <c r="W335">
        <v>12015</v>
      </c>
      <c r="X335">
        <v>245011</v>
      </c>
      <c r="Y335">
        <v>9999</v>
      </c>
      <c r="Z335">
        <v>999</v>
      </c>
      <c r="AA335">
        <v>999</v>
      </c>
      <c r="AB335">
        <v>9999</v>
      </c>
      <c r="AC335">
        <v>9999</v>
      </c>
      <c r="AD335" t="s">
        <v>1</v>
      </c>
      <c r="AE335" t="s">
        <v>227</v>
      </c>
      <c r="AF335" t="s">
        <v>227</v>
      </c>
      <c r="AG335" t="s">
        <v>286</v>
      </c>
      <c r="AI335" t="s">
        <v>227</v>
      </c>
      <c r="AJ335">
        <v>45596</v>
      </c>
      <c r="AK335" t="s">
        <v>287</v>
      </c>
      <c r="AL335" t="s">
        <v>288</v>
      </c>
    </row>
    <row r="336" spans="1:38" x14ac:dyDescent="0.2">
      <c r="E336" t="s">
        <v>32</v>
      </c>
      <c r="F336" t="s">
        <v>1587</v>
      </c>
      <c r="G336" t="s">
        <v>1588</v>
      </c>
      <c r="H336" t="s">
        <v>223</v>
      </c>
      <c r="I336" t="s">
        <v>1589</v>
      </c>
      <c r="J336" s="91">
        <v>50807.5</v>
      </c>
      <c r="K336" s="91">
        <v>50807.5</v>
      </c>
      <c r="L336" s="91">
        <v>50807.5</v>
      </c>
      <c r="M336" t="s">
        <v>278</v>
      </c>
      <c r="N336" t="s">
        <v>278</v>
      </c>
      <c r="O336" t="s">
        <v>1590</v>
      </c>
      <c r="P336" t="s">
        <v>280</v>
      </c>
      <c r="Q336" t="s">
        <v>281</v>
      </c>
      <c r="R336" t="s">
        <v>282</v>
      </c>
      <c r="S336" t="s">
        <v>283</v>
      </c>
      <c r="T336" t="s">
        <v>313</v>
      </c>
      <c r="U336" t="s">
        <v>381</v>
      </c>
      <c r="V336">
        <v>101</v>
      </c>
      <c r="W336">
        <v>12015</v>
      </c>
      <c r="X336">
        <v>245011</v>
      </c>
      <c r="Y336">
        <v>9999</v>
      </c>
      <c r="Z336">
        <v>999</v>
      </c>
      <c r="AA336">
        <v>999</v>
      </c>
      <c r="AB336">
        <v>9999</v>
      </c>
      <c r="AC336">
        <v>9999</v>
      </c>
      <c r="AD336" t="s">
        <v>1</v>
      </c>
      <c r="AE336" t="s">
        <v>227</v>
      </c>
      <c r="AF336" t="s">
        <v>227</v>
      </c>
      <c r="AG336" t="s">
        <v>286</v>
      </c>
      <c r="AI336" t="s">
        <v>227</v>
      </c>
      <c r="AJ336">
        <v>45602</v>
      </c>
      <c r="AK336" t="s">
        <v>287</v>
      </c>
      <c r="AL336" t="s">
        <v>288</v>
      </c>
    </row>
    <row r="337" spans="1:38" x14ac:dyDescent="0.2">
      <c r="A337">
        <v>42</v>
      </c>
      <c r="B337" t="s">
        <v>47</v>
      </c>
      <c r="D337" t="s">
        <v>1591</v>
      </c>
      <c r="E337" t="s">
        <v>32</v>
      </c>
      <c r="F337" t="s">
        <v>1592</v>
      </c>
      <c r="G337" t="s">
        <v>1593</v>
      </c>
      <c r="H337" t="s">
        <v>16</v>
      </c>
      <c r="I337" t="s">
        <v>277</v>
      </c>
      <c r="J337" s="91">
        <v>100146.2</v>
      </c>
      <c r="K337" s="91">
        <v>100146.2</v>
      </c>
      <c r="L337" s="91">
        <v>100146.2</v>
      </c>
      <c r="M337" t="s">
        <v>278</v>
      </c>
      <c r="N337" t="s">
        <v>278</v>
      </c>
      <c r="O337" t="s">
        <v>1594</v>
      </c>
      <c r="P337" t="s">
        <v>280</v>
      </c>
      <c r="Q337" t="s">
        <v>281</v>
      </c>
      <c r="R337" t="s">
        <v>282</v>
      </c>
      <c r="S337" t="s">
        <v>283</v>
      </c>
      <c r="T337" t="s">
        <v>313</v>
      </c>
      <c r="U337" t="s">
        <v>381</v>
      </c>
      <c r="V337">
        <v>101</v>
      </c>
      <c r="W337">
        <v>12015</v>
      </c>
      <c r="X337">
        <v>245011</v>
      </c>
      <c r="Y337">
        <v>9999</v>
      </c>
      <c r="Z337">
        <v>999</v>
      </c>
      <c r="AA337">
        <v>999</v>
      </c>
      <c r="AB337">
        <v>9999</v>
      </c>
      <c r="AC337">
        <v>9999</v>
      </c>
      <c r="AD337" t="s">
        <v>1</v>
      </c>
      <c r="AE337" t="s">
        <v>227</v>
      </c>
      <c r="AF337" t="s">
        <v>227</v>
      </c>
      <c r="AG337" t="s">
        <v>286</v>
      </c>
      <c r="AI337" t="s">
        <v>227</v>
      </c>
      <c r="AJ337">
        <v>45596</v>
      </c>
      <c r="AK337" t="s">
        <v>287</v>
      </c>
      <c r="AL337" t="s">
        <v>288</v>
      </c>
    </row>
    <row r="338" spans="1:38" x14ac:dyDescent="0.2">
      <c r="E338" t="s">
        <v>32</v>
      </c>
      <c r="F338" t="s">
        <v>1595</v>
      </c>
      <c r="G338" t="s">
        <v>1596</v>
      </c>
      <c r="H338" t="s">
        <v>16</v>
      </c>
      <c r="I338" t="s">
        <v>1589</v>
      </c>
      <c r="J338" s="91">
        <v>-100146.2</v>
      </c>
      <c r="K338" s="91">
        <v>-100146.2</v>
      </c>
      <c r="L338" s="91">
        <v>-100146.2</v>
      </c>
      <c r="M338" t="s">
        <v>278</v>
      </c>
      <c r="N338" t="s">
        <v>278</v>
      </c>
      <c r="O338" t="s">
        <v>1597</v>
      </c>
      <c r="P338" t="s">
        <v>280</v>
      </c>
      <c r="Q338" t="s">
        <v>281</v>
      </c>
      <c r="R338" t="s">
        <v>282</v>
      </c>
      <c r="S338" t="s">
        <v>283</v>
      </c>
      <c r="T338" t="s">
        <v>313</v>
      </c>
      <c r="U338" t="s">
        <v>381</v>
      </c>
      <c r="V338">
        <v>101</v>
      </c>
      <c r="W338">
        <v>12015</v>
      </c>
      <c r="X338">
        <v>245011</v>
      </c>
      <c r="Y338">
        <v>9999</v>
      </c>
      <c r="Z338">
        <v>999</v>
      </c>
      <c r="AA338">
        <v>999</v>
      </c>
      <c r="AB338">
        <v>9999</v>
      </c>
      <c r="AC338">
        <v>9999</v>
      </c>
      <c r="AD338" t="s">
        <v>1</v>
      </c>
      <c r="AE338" t="s">
        <v>227</v>
      </c>
      <c r="AF338" t="s">
        <v>227</v>
      </c>
      <c r="AG338" t="s">
        <v>286</v>
      </c>
      <c r="AI338" t="s">
        <v>227</v>
      </c>
      <c r="AJ338">
        <v>45601</v>
      </c>
      <c r="AK338" t="s">
        <v>287</v>
      </c>
      <c r="AL338" t="s">
        <v>288</v>
      </c>
    </row>
    <row r="339" spans="1:38" x14ac:dyDescent="0.2">
      <c r="A339">
        <v>42</v>
      </c>
      <c r="B339" t="s">
        <v>47</v>
      </c>
      <c r="D339" t="s">
        <v>1598</v>
      </c>
      <c r="E339" t="s">
        <v>35</v>
      </c>
      <c r="F339" t="s">
        <v>1599</v>
      </c>
      <c r="G339" t="s">
        <v>1600</v>
      </c>
      <c r="H339" t="s">
        <v>19</v>
      </c>
      <c r="I339" t="s">
        <v>277</v>
      </c>
      <c r="J339" s="91">
        <v>-71264382</v>
      </c>
      <c r="K339" s="91">
        <v>-71264382</v>
      </c>
      <c r="L339" s="91">
        <v>-71264382</v>
      </c>
      <c r="M339" t="s">
        <v>278</v>
      </c>
      <c r="N339" t="s">
        <v>278</v>
      </c>
      <c r="O339" t="s">
        <v>1601</v>
      </c>
      <c r="P339" t="s">
        <v>280</v>
      </c>
      <c r="Q339" t="s">
        <v>281</v>
      </c>
      <c r="R339" t="s">
        <v>282</v>
      </c>
      <c r="S339" t="s">
        <v>283</v>
      </c>
      <c r="T339" t="s">
        <v>366</v>
      </c>
      <c r="U339" t="s">
        <v>490</v>
      </c>
      <c r="V339">
        <v>101</v>
      </c>
      <c r="W339">
        <v>11010</v>
      </c>
      <c r="X339">
        <v>245011</v>
      </c>
      <c r="Y339">
        <v>9999</v>
      </c>
      <c r="Z339">
        <v>999</v>
      </c>
      <c r="AA339">
        <v>999</v>
      </c>
      <c r="AB339">
        <v>9999</v>
      </c>
      <c r="AC339">
        <v>9999</v>
      </c>
      <c r="AD339" t="s">
        <v>1</v>
      </c>
      <c r="AE339" t="s">
        <v>227</v>
      </c>
      <c r="AF339" t="s">
        <v>227</v>
      </c>
      <c r="AG339" t="s">
        <v>286</v>
      </c>
      <c r="AI339" t="s">
        <v>227</v>
      </c>
      <c r="AJ339">
        <v>45596</v>
      </c>
      <c r="AK339" t="s">
        <v>287</v>
      </c>
      <c r="AL339" t="s">
        <v>288</v>
      </c>
    </row>
    <row r="340" spans="1:38" x14ac:dyDescent="0.2">
      <c r="E340" t="s">
        <v>35</v>
      </c>
      <c r="F340" t="s">
        <v>1602</v>
      </c>
      <c r="G340" t="s">
        <v>1603</v>
      </c>
      <c r="H340" t="s">
        <v>19</v>
      </c>
      <c r="I340" t="s">
        <v>1589</v>
      </c>
      <c r="J340" s="91">
        <v>71264382</v>
      </c>
      <c r="K340" s="91">
        <v>71264382</v>
      </c>
      <c r="L340" s="91">
        <v>71264382</v>
      </c>
      <c r="M340" t="s">
        <v>278</v>
      </c>
      <c r="N340" t="s">
        <v>278</v>
      </c>
      <c r="O340" t="s">
        <v>1604</v>
      </c>
      <c r="P340" t="s">
        <v>280</v>
      </c>
      <c r="Q340" t="s">
        <v>281</v>
      </c>
      <c r="R340" t="s">
        <v>282</v>
      </c>
      <c r="S340" t="s">
        <v>283</v>
      </c>
      <c r="T340" t="s">
        <v>366</v>
      </c>
      <c r="U340" t="s">
        <v>490</v>
      </c>
      <c r="V340">
        <v>101</v>
      </c>
      <c r="W340">
        <v>11010</v>
      </c>
      <c r="X340">
        <v>245011</v>
      </c>
      <c r="Y340">
        <v>9999</v>
      </c>
      <c r="Z340">
        <v>999</v>
      </c>
      <c r="AA340">
        <v>999</v>
      </c>
      <c r="AB340">
        <v>9999</v>
      </c>
      <c r="AC340">
        <v>9999</v>
      </c>
      <c r="AD340" t="s">
        <v>1</v>
      </c>
      <c r="AE340" t="s">
        <v>227</v>
      </c>
      <c r="AF340" t="s">
        <v>227</v>
      </c>
      <c r="AG340" t="s">
        <v>286</v>
      </c>
      <c r="AI340" t="s">
        <v>227</v>
      </c>
      <c r="AJ340">
        <v>45615</v>
      </c>
      <c r="AK340" t="s">
        <v>287</v>
      </c>
      <c r="AL340" t="s">
        <v>288</v>
      </c>
    </row>
    <row r="341" spans="1:38" x14ac:dyDescent="0.2">
      <c r="A341">
        <v>531</v>
      </c>
      <c r="B341" t="s">
        <v>54</v>
      </c>
      <c r="D341" t="s">
        <v>1605</v>
      </c>
      <c r="E341" t="s">
        <v>35</v>
      </c>
      <c r="F341" t="s">
        <v>1606</v>
      </c>
      <c r="G341" t="s">
        <v>1607</v>
      </c>
      <c r="H341" t="s">
        <v>16</v>
      </c>
      <c r="I341" t="s">
        <v>697</v>
      </c>
      <c r="J341" s="91">
        <v>-128000</v>
      </c>
      <c r="K341" s="91">
        <v>-128000</v>
      </c>
      <c r="L341" s="91">
        <v>-128000</v>
      </c>
      <c r="M341" t="s">
        <v>278</v>
      </c>
      <c r="N341" t="s">
        <v>278</v>
      </c>
      <c r="O341" t="s">
        <v>1608</v>
      </c>
      <c r="P341" t="s">
        <v>280</v>
      </c>
      <c r="Q341" t="s">
        <v>281</v>
      </c>
      <c r="R341" t="s">
        <v>282</v>
      </c>
      <c r="S341" t="s">
        <v>283</v>
      </c>
      <c r="T341" t="s">
        <v>366</v>
      </c>
      <c r="U341" t="s">
        <v>490</v>
      </c>
      <c r="V341">
        <v>101</v>
      </c>
      <c r="W341">
        <v>11010</v>
      </c>
      <c r="X341">
        <v>245011</v>
      </c>
      <c r="Y341">
        <v>9999</v>
      </c>
      <c r="Z341">
        <v>999</v>
      </c>
      <c r="AA341">
        <v>999</v>
      </c>
      <c r="AB341">
        <v>9999</v>
      </c>
      <c r="AC341">
        <v>9999</v>
      </c>
      <c r="AD341" t="s">
        <v>1</v>
      </c>
      <c r="AE341" t="s">
        <v>227</v>
      </c>
      <c r="AF341" t="s">
        <v>227</v>
      </c>
      <c r="AG341" t="s">
        <v>286</v>
      </c>
      <c r="AI341" t="s">
        <v>227</v>
      </c>
      <c r="AJ341">
        <v>45107</v>
      </c>
      <c r="AK341" t="s">
        <v>287</v>
      </c>
      <c r="AL341" t="s">
        <v>288</v>
      </c>
    </row>
    <row r="342" spans="1:38" x14ac:dyDescent="0.2">
      <c r="E342" t="s">
        <v>35</v>
      </c>
      <c r="F342" t="s">
        <v>1609</v>
      </c>
      <c r="G342" t="s">
        <v>1610</v>
      </c>
      <c r="H342" t="s">
        <v>16</v>
      </c>
      <c r="I342" t="s">
        <v>1589</v>
      </c>
      <c r="J342" s="91">
        <v>128000</v>
      </c>
      <c r="K342" s="91">
        <v>128000</v>
      </c>
      <c r="L342" s="91">
        <v>128000</v>
      </c>
      <c r="M342" t="s">
        <v>278</v>
      </c>
      <c r="N342" t="s">
        <v>278</v>
      </c>
      <c r="O342" t="s">
        <v>1611</v>
      </c>
      <c r="P342" t="s">
        <v>280</v>
      </c>
      <c r="Q342" t="s">
        <v>281</v>
      </c>
      <c r="R342" t="s">
        <v>282</v>
      </c>
      <c r="S342" t="s">
        <v>283</v>
      </c>
      <c r="T342" t="s">
        <v>366</v>
      </c>
      <c r="U342" t="s">
        <v>490</v>
      </c>
      <c r="V342">
        <v>101</v>
      </c>
      <c r="W342">
        <v>11010</v>
      </c>
      <c r="X342">
        <v>245011</v>
      </c>
      <c r="Y342">
        <v>9999</v>
      </c>
      <c r="Z342">
        <v>999</v>
      </c>
      <c r="AA342">
        <v>999</v>
      </c>
      <c r="AB342">
        <v>9999</v>
      </c>
      <c r="AC342">
        <v>9999</v>
      </c>
      <c r="AD342" t="s">
        <v>1</v>
      </c>
      <c r="AE342" t="s">
        <v>227</v>
      </c>
      <c r="AF342" t="s">
        <v>227</v>
      </c>
      <c r="AG342" t="s">
        <v>286</v>
      </c>
      <c r="AI342" t="s">
        <v>227</v>
      </c>
      <c r="AJ342">
        <v>45626</v>
      </c>
      <c r="AK342" t="s">
        <v>287</v>
      </c>
      <c r="AL342" t="s">
        <v>288</v>
      </c>
    </row>
    <row r="343" spans="1:38" x14ac:dyDescent="0.2">
      <c r="A343">
        <v>42</v>
      </c>
      <c r="B343" t="s">
        <v>47</v>
      </c>
      <c r="D343" t="s">
        <v>1612</v>
      </c>
      <c r="E343" t="s">
        <v>68</v>
      </c>
      <c r="F343" t="s">
        <v>1613</v>
      </c>
      <c r="G343" t="s">
        <v>1614</v>
      </c>
      <c r="H343" t="s">
        <v>16</v>
      </c>
      <c r="I343" t="s">
        <v>277</v>
      </c>
      <c r="J343" s="91">
        <v>-556260.48</v>
      </c>
      <c r="K343" s="91">
        <v>-556260.48</v>
      </c>
      <c r="L343" s="91">
        <v>-556260.48</v>
      </c>
      <c r="M343" t="s">
        <v>278</v>
      </c>
      <c r="N343" t="s">
        <v>278</v>
      </c>
      <c r="O343" t="s">
        <v>1615</v>
      </c>
      <c r="P343" t="s">
        <v>280</v>
      </c>
      <c r="Q343" t="s">
        <v>281</v>
      </c>
      <c r="R343" t="s">
        <v>282</v>
      </c>
      <c r="S343" t="s">
        <v>283</v>
      </c>
      <c r="T343" t="s">
        <v>284</v>
      </c>
      <c r="U343" t="s">
        <v>547</v>
      </c>
      <c r="V343">
        <v>101</v>
      </c>
      <c r="W343">
        <v>12022</v>
      </c>
      <c r="X343">
        <v>245011</v>
      </c>
      <c r="Y343">
        <v>9999</v>
      </c>
      <c r="Z343">
        <v>999</v>
      </c>
      <c r="AA343">
        <v>999</v>
      </c>
      <c r="AB343">
        <v>9999</v>
      </c>
      <c r="AC343">
        <v>9999</v>
      </c>
      <c r="AD343" t="s">
        <v>1</v>
      </c>
      <c r="AE343" t="s">
        <v>227</v>
      </c>
      <c r="AF343" t="s">
        <v>227</v>
      </c>
      <c r="AG343" t="s">
        <v>286</v>
      </c>
      <c r="AI343" t="s">
        <v>227</v>
      </c>
      <c r="AJ343">
        <v>45596</v>
      </c>
      <c r="AK343" t="s">
        <v>287</v>
      </c>
      <c r="AL343" t="s">
        <v>288</v>
      </c>
    </row>
    <row r="344" spans="1:38" x14ac:dyDescent="0.2">
      <c r="E344" t="s">
        <v>68</v>
      </c>
      <c r="F344" t="s">
        <v>1616</v>
      </c>
      <c r="G344" t="s">
        <v>1617</v>
      </c>
      <c r="H344" t="s">
        <v>222</v>
      </c>
      <c r="I344" t="s">
        <v>1589</v>
      </c>
      <c r="J344" s="91">
        <v>556260.48</v>
      </c>
      <c r="K344" s="91">
        <v>556260.48</v>
      </c>
      <c r="L344" s="91">
        <v>556260.48</v>
      </c>
      <c r="M344" t="s">
        <v>278</v>
      </c>
      <c r="N344" t="s">
        <v>278</v>
      </c>
      <c r="O344" t="s">
        <v>1618</v>
      </c>
      <c r="P344" t="s">
        <v>280</v>
      </c>
      <c r="Q344" t="s">
        <v>281</v>
      </c>
      <c r="R344" t="s">
        <v>282</v>
      </c>
      <c r="S344" t="s">
        <v>283</v>
      </c>
      <c r="T344" t="s">
        <v>284</v>
      </c>
      <c r="U344" t="s">
        <v>547</v>
      </c>
      <c r="V344">
        <v>101</v>
      </c>
      <c r="W344">
        <v>12022</v>
      </c>
      <c r="X344">
        <v>245011</v>
      </c>
      <c r="Y344">
        <v>9999</v>
      </c>
      <c r="Z344">
        <v>999</v>
      </c>
      <c r="AA344">
        <v>999</v>
      </c>
      <c r="AB344">
        <v>9999</v>
      </c>
      <c r="AC344">
        <v>9999</v>
      </c>
      <c r="AD344" t="s">
        <v>1</v>
      </c>
      <c r="AE344" t="s">
        <v>227</v>
      </c>
      <c r="AF344" t="s">
        <v>227</v>
      </c>
      <c r="AG344" t="s">
        <v>286</v>
      </c>
      <c r="AI344" t="s">
        <v>227</v>
      </c>
      <c r="AJ344">
        <v>45615</v>
      </c>
      <c r="AK344" t="s">
        <v>287</v>
      </c>
      <c r="AL344" t="s">
        <v>288</v>
      </c>
    </row>
    <row r="345" spans="1:38" x14ac:dyDescent="0.2">
      <c r="A345">
        <v>165</v>
      </c>
      <c r="B345" t="s">
        <v>522</v>
      </c>
      <c r="D345" t="s">
        <v>1619</v>
      </c>
      <c r="E345" t="s">
        <v>39</v>
      </c>
      <c r="F345" t="s">
        <v>1620</v>
      </c>
      <c r="G345" t="s">
        <v>1621</v>
      </c>
      <c r="H345" t="s">
        <v>16</v>
      </c>
      <c r="I345" t="s">
        <v>1134</v>
      </c>
      <c r="J345" s="91">
        <v>966837.04</v>
      </c>
      <c r="K345" s="91">
        <v>966837.04</v>
      </c>
      <c r="L345" s="91">
        <v>966837.04</v>
      </c>
      <c r="M345" t="s">
        <v>278</v>
      </c>
      <c r="N345" t="s">
        <v>278</v>
      </c>
      <c r="O345" t="s">
        <v>1622</v>
      </c>
      <c r="P345" t="s">
        <v>280</v>
      </c>
      <c r="Q345" t="s">
        <v>281</v>
      </c>
      <c r="R345" t="s">
        <v>282</v>
      </c>
      <c r="S345" t="s">
        <v>283</v>
      </c>
      <c r="T345" t="s">
        <v>366</v>
      </c>
      <c r="U345" t="s">
        <v>733</v>
      </c>
      <c r="V345">
        <v>101</v>
      </c>
      <c r="W345">
        <v>12013</v>
      </c>
      <c r="X345">
        <v>245011</v>
      </c>
      <c r="Y345">
        <v>9999</v>
      </c>
      <c r="Z345">
        <v>999</v>
      </c>
      <c r="AA345">
        <v>999</v>
      </c>
      <c r="AB345">
        <v>9999</v>
      </c>
      <c r="AC345">
        <v>9999</v>
      </c>
      <c r="AD345" t="s">
        <v>1</v>
      </c>
      <c r="AE345" t="s">
        <v>227</v>
      </c>
      <c r="AF345" t="s">
        <v>227</v>
      </c>
      <c r="AG345" t="s">
        <v>286</v>
      </c>
      <c r="AI345" t="s">
        <v>227</v>
      </c>
      <c r="AJ345">
        <v>45473</v>
      </c>
      <c r="AK345" t="s">
        <v>287</v>
      </c>
      <c r="AL345" t="s">
        <v>288</v>
      </c>
    </row>
    <row r="346" spans="1:38" x14ac:dyDescent="0.2">
      <c r="E346" t="s">
        <v>39</v>
      </c>
      <c r="F346" t="s">
        <v>1623</v>
      </c>
      <c r="G346" t="s">
        <v>1624</v>
      </c>
      <c r="H346" t="s">
        <v>16</v>
      </c>
      <c r="I346" t="s">
        <v>1589</v>
      </c>
      <c r="J346" s="91">
        <v>-966837.04</v>
      </c>
      <c r="K346" s="91">
        <v>-966837.04</v>
      </c>
      <c r="L346" s="91">
        <v>-966837.04</v>
      </c>
      <c r="M346" t="s">
        <v>278</v>
      </c>
      <c r="N346" t="s">
        <v>278</v>
      </c>
      <c r="O346" t="s">
        <v>1625</v>
      </c>
      <c r="P346" t="s">
        <v>280</v>
      </c>
      <c r="Q346" t="s">
        <v>281</v>
      </c>
      <c r="R346" t="s">
        <v>282</v>
      </c>
      <c r="S346" t="s">
        <v>283</v>
      </c>
      <c r="T346" t="s">
        <v>366</v>
      </c>
      <c r="U346" t="s">
        <v>733</v>
      </c>
      <c r="V346">
        <v>101</v>
      </c>
      <c r="W346">
        <v>12013</v>
      </c>
      <c r="X346">
        <v>245011</v>
      </c>
      <c r="Y346">
        <v>9999</v>
      </c>
      <c r="Z346">
        <v>999</v>
      </c>
      <c r="AA346">
        <v>999</v>
      </c>
      <c r="AB346">
        <v>9999</v>
      </c>
      <c r="AC346">
        <v>9999</v>
      </c>
      <c r="AD346" t="s">
        <v>1</v>
      </c>
      <c r="AE346" t="s">
        <v>227</v>
      </c>
      <c r="AF346" t="s">
        <v>227</v>
      </c>
      <c r="AG346" t="s">
        <v>286</v>
      </c>
      <c r="AI346" t="s">
        <v>227</v>
      </c>
      <c r="AJ346">
        <v>45610</v>
      </c>
      <c r="AK346" t="s">
        <v>287</v>
      </c>
      <c r="AL346" t="s">
        <v>288</v>
      </c>
    </row>
    <row r="347" spans="1:38" x14ac:dyDescent="0.2">
      <c r="A347">
        <v>42</v>
      </c>
      <c r="B347" t="s">
        <v>47</v>
      </c>
      <c r="D347" t="s">
        <v>1626</v>
      </c>
      <c r="E347" t="s">
        <v>14</v>
      </c>
      <c r="F347" t="s">
        <v>1627</v>
      </c>
      <c r="G347" t="s">
        <v>1628</v>
      </c>
      <c r="H347" t="s">
        <v>16</v>
      </c>
      <c r="I347" t="s">
        <v>277</v>
      </c>
      <c r="J347" s="91">
        <v>-443890.35</v>
      </c>
      <c r="K347" s="91">
        <v>-443890.35</v>
      </c>
      <c r="L347" s="91">
        <v>-443890.35</v>
      </c>
      <c r="M347" t="s">
        <v>278</v>
      </c>
      <c r="N347" t="s">
        <v>278</v>
      </c>
      <c r="O347" t="s">
        <v>1626</v>
      </c>
      <c r="P347" t="s">
        <v>280</v>
      </c>
      <c r="Q347" t="s">
        <v>281</v>
      </c>
      <c r="R347" t="s">
        <v>282</v>
      </c>
      <c r="S347" t="s">
        <v>294</v>
      </c>
      <c r="T347" t="s">
        <v>305</v>
      </c>
      <c r="U347" t="s">
        <v>306</v>
      </c>
      <c r="V347">
        <v>101</v>
      </c>
      <c r="W347">
        <v>13016</v>
      </c>
      <c r="X347">
        <v>245011</v>
      </c>
      <c r="Y347">
        <v>9999</v>
      </c>
      <c r="Z347">
        <v>999</v>
      </c>
      <c r="AA347">
        <v>999</v>
      </c>
      <c r="AB347">
        <v>9999</v>
      </c>
      <c r="AC347">
        <v>9999</v>
      </c>
      <c r="AD347" t="s">
        <v>1</v>
      </c>
      <c r="AE347" t="s">
        <v>227</v>
      </c>
      <c r="AF347" t="s">
        <v>227</v>
      </c>
      <c r="AG347" t="s">
        <v>286</v>
      </c>
      <c r="AI347" t="s">
        <v>227</v>
      </c>
      <c r="AJ347">
        <v>45596</v>
      </c>
      <c r="AK347" t="s">
        <v>287</v>
      </c>
      <c r="AL347" t="s">
        <v>288</v>
      </c>
    </row>
    <row r="348" spans="1:38" x14ac:dyDescent="0.2">
      <c r="E348" t="s">
        <v>14</v>
      </c>
      <c r="F348" t="s">
        <v>1629</v>
      </c>
      <c r="G348" t="s">
        <v>1630</v>
      </c>
      <c r="H348" t="s">
        <v>16</v>
      </c>
      <c r="I348" t="s">
        <v>1589</v>
      </c>
      <c r="J348" s="91">
        <v>443890.35</v>
      </c>
      <c r="K348" s="91">
        <v>443890.35</v>
      </c>
      <c r="L348" s="91">
        <v>443890.35</v>
      </c>
      <c r="M348" t="s">
        <v>278</v>
      </c>
      <c r="N348" t="s">
        <v>278</v>
      </c>
      <c r="O348" t="s">
        <v>1631</v>
      </c>
      <c r="P348" t="s">
        <v>280</v>
      </c>
      <c r="Q348" t="s">
        <v>281</v>
      </c>
      <c r="R348" t="s">
        <v>282</v>
      </c>
      <c r="S348" t="s">
        <v>294</v>
      </c>
      <c r="T348" t="s">
        <v>305</v>
      </c>
      <c r="U348" t="s">
        <v>306</v>
      </c>
      <c r="V348">
        <v>101</v>
      </c>
      <c r="W348">
        <v>13016</v>
      </c>
      <c r="X348">
        <v>245011</v>
      </c>
      <c r="Y348">
        <v>9999</v>
      </c>
      <c r="Z348">
        <v>999</v>
      </c>
      <c r="AA348">
        <v>999</v>
      </c>
      <c r="AB348">
        <v>9999</v>
      </c>
      <c r="AC348">
        <v>9999</v>
      </c>
      <c r="AD348" t="s">
        <v>1</v>
      </c>
      <c r="AE348" t="s">
        <v>227</v>
      </c>
      <c r="AF348" t="s">
        <v>227</v>
      </c>
      <c r="AG348" t="s">
        <v>286</v>
      </c>
      <c r="AI348" t="s">
        <v>227</v>
      </c>
      <c r="AJ348">
        <v>45608</v>
      </c>
      <c r="AK348" t="s">
        <v>287</v>
      </c>
      <c r="AL348" t="s">
        <v>288</v>
      </c>
    </row>
    <row r="349" spans="1:38" x14ac:dyDescent="0.2">
      <c r="A349">
        <v>103</v>
      </c>
      <c r="B349" t="s">
        <v>49</v>
      </c>
      <c r="D349" t="s">
        <v>1632</v>
      </c>
      <c r="E349" t="s">
        <v>37</v>
      </c>
      <c r="F349" t="s">
        <v>1633</v>
      </c>
      <c r="G349" t="s">
        <v>1634</v>
      </c>
      <c r="H349" t="s">
        <v>16</v>
      </c>
      <c r="I349" t="s">
        <v>1362</v>
      </c>
      <c r="J349" s="91">
        <v>1298003.83</v>
      </c>
      <c r="K349" s="91">
        <v>1298003.83</v>
      </c>
      <c r="L349" s="91">
        <v>1298003.83</v>
      </c>
      <c r="M349" t="s">
        <v>278</v>
      </c>
      <c r="N349" t="s">
        <v>278</v>
      </c>
      <c r="O349" t="s">
        <v>1632</v>
      </c>
      <c r="P349" t="s">
        <v>280</v>
      </c>
      <c r="Q349" t="s">
        <v>281</v>
      </c>
      <c r="R349" t="s">
        <v>282</v>
      </c>
      <c r="S349" t="s">
        <v>294</v>
      </c>
      <c r="T349" t="s">
        <v>305</v>
      </c>
      <c r="U349" t="s">
        <v>438</v>
      </c>
      <c r="V349">
        <v>101</v>
      </c>
      <c r="W349">
        <v>13001</v>
      </c>
      <c r="X349">
        <v>245011</v>
      </c>
      <c r="Y349">
        <v>9999</v>
      </c>
      <c r="Z349">
        <v>999</v>
      </c>
      <c r="AA349">
        <v>999</v>
      </c>
      <c r="AB349">
        <v>9999</v>
      </c>
      <c r="AC349">
        <v>9999</v>
      </c>
      <c r="AD349" t="s">
        <v>1</v>
      </c>
      <c r="AE349" t="s">
        <v>227</v>
      </c>
      <c r="AF349" t="s">
        <v>227</v>
      </c>
      <c r="AG349" t="s">
        <v>286</v>
      </c>
      <c r="AI349" t="s">
        <v>227</v>
      </c>
      <c r="AJ349">
        <v>45535</v>
      </c>
      <c r="AK349" t="s">
        <v>287</v>
      </c>
      <c r="AL349" t="s">
        <v>288</v>
      </c>
    </row>
    <row r="350" spans="1:38" x14ac:dyDescent="0.2">
      <c r="A350">
        <v>103</v>
      </c>
      <c r="B350" t="s">
        <v>49</v>
      </c>
      <c r="D350" t="s">
        <v>1635</v>
      </c>
      <c r="E350" t="s">
        <v>37</v>
      </c>
      <c r="F350" t="s">
        <v>1636</v>
      </c>
      <c r="G350" t="s">
        <v>1637</v>
      </c>
      <c r="H350" t="s">
        <v>36</v>
      </c>
      <c r="I350" t="s">
        <v>1362</v>
      </c>
      <c r="J350" s="91">
        <v>272431.8</v>
      </c>
      <c r="K350" s="91">
        <v>272431.8</v>
      </c>
      <c r="L350" s="91">
        <v>272431.8</v>
      </c>
      <c r="M350" t="s">
        <v>278</v>
      </c>
      <c r="N350" t="s">
        <v>278</v>
      </c>
      <c r="O350" t="s">
        <v>1635</v>
      </c>
      <c r="P350" t="s">
        <v>280</v>
      </c>
      <c r="Q350" t="s">
        <v>281</v>
      </c>
      <c r="R350" t="s">
        <v>282</v>
      </c>
      <c r="S350" t="s">
        <v>294</v>
      </c>
      <c r="T350" t="s">
        <v>305</v>
      </c>
      <c r="U350" t="s">
        <v>1638</v>
      </c>
      <c r="V350">
        <v>101</v>
      </c>
      <c r="W350">
        <v>13001</v>
      </c>
      <c r="X350">
        <v>245011</v>
      </c>
      <c r="Y350">
        <v>9999</v>
      </c>
      <c r="Z350">
        <v>950</v>
      </c>
      <c r="AA350">
        <v>999</v>
      </c>
      <c r="AB350">
        <v>9999</v>
      </c>
      <c r="AC350">
        <v>9999</v>
      </c>
      <c r="AD350" t="s">
        <v>1</v>
      </c>
      <c r="AE350" t="s">
        <v>1639</v>
      </c>
      <c r="AF350" t="s">
        <v>227</v>
      </c>
      <c r="AG350" t="s">
        <v>286</v>
      </c>
      <c r="AI350" t="s">
        <v>227</v>
      </c>
      <c r="AJ350">
        <v>45535</v>
      </c>
      <c r="AK350" t="s">
        <v>315</v>
      </c>
      <c r="AL350" t="s">
        <v>288</v>
      </c>
    </row>
    <row r="351" spans="1:38" x14ac:dyDescent="0.2">
      <c r="A351">
        <v>42</v>
      </c>
      <c r="B351" t="s">
        <v>47</v>
      </c>
      <c r="D351" t="s">
        <v>1640</v>
      </c>
      <c r="E351" t="s">
        <v>37</v>
      </c>
      <c r="F351" t="s">
        <v>1641</v>
      </c>
      <c r="G351" t="s">
        <v>1642</v>
      </c>
      <c r="H351" t="s">
        <v>36</v>
      </c>
      <c r="I351" t="s">
        <v>277</v>
      </c>
      <c r="J351" s="91">
        <v>-97906.2</v>
      </c>
      <c r="K351" s="91">
        <v>-97906.2</v>
      </c>
      <c r="L351" s="91">
        <v>-97906.2</v>
      </c>
      <c r="M351" t="s">
        <v>278</v>
      </c>
      <c r="N351" t="s">
        <v>278</v>
      </c>
      <c r="O351" t="s">
        <v>1643</v>
      </c>
      <c r="P351" t="s">
        <v>280</v>
      </c>
      <c r="Q351" t="s">
        <v>281</v>
      </c>
      <c r="R351" t="s">
        <v>282</v>
      </c>
      <c r="S351" t="s">
        <v>294</v>
      </c>
      <c r="T351" t="s">
        <v>305</v>
      </c>
      <c r="U351" t="s">
        <v>1638</v>
      </c>
      <c r="V351">
        <v>101</v>
      </c>
      <c r="W351">
        <v>13001</v>
      </c>
      <c r="X351">
        <v>245011</v>
      </c>
      <c r="Y351">
        <v>9999</v>
      </c>
      <c r="Z351">
        <v>950</v>
      </c>
      <c r="AA351">
        <v>999</v>
      </c>
      <c r="AB351">
        <v>9999</v>
      </c>
      <c r="AC351">
        <v>9999</v>
      </c>
      <c r="AD351" t="s">
        <v>1</v>
      </c>
      <c r="AE351" t="s">
        <v>1644</v>
      </c>
      <c r="AF351" t="s">
        <v>227</v>
      </c>
      <c r="AG351" t="s">
        <v>286</v>
      </c>
      <c r="AI351" t="s">
        <v>227</v>
      </c>
      <c r="AJ351">
        <v>45596</v>
      </c>
      <c r="AK351" t="s">
        <v>315</v>
      </c>
      <c r="AL351" t="s">
        <v>288</v>
      </c>
    </row>
    <row r="352" spans="1:38" x14ac:dyDescent="0.2">
      <c r="E352" t="s">
        <v>37</v>
      </c>
      <c r="F352" t="s">
        <v>1645</v>
      </c>
      <c r="G352" t="s">
        <v>1646</v>
      </c>
      <c r="H352" t="s">
        <v>36</v>
      </c>
      <c r="I352" t="s">
        <v>1589</v>
      </c>
      <c r="J352" s="91">
        <v>-272431.8</v>
      </c>
      <c r="K352" s="91">
        <v>-272431.8</v>
      </c>
      <c r="L352" s="91">
        <v>-272431.8</v>
      </c>
      <c r="M352" t="s">
        <v>278</v>
      </c>
      <c r="N352" t="s">
        <v>278</v>
      </c>
      <c r="O352" t="s">
        <v>1647</v>
      </c>
      <c r="P352" t="s">
        <v>280</v>
      </c>
      <c r="Q352" t="s">
        <v>281</v>
      </c>
      <c r="R352" t="s">
        <v>282</v>
      </c>
      <c r="S352" t="s">
        <v>294</v>
      </c>
      <c r="T352" t="s">
        <v>305</v>
      </c>
      <c r="U352" t="s">
        <v>1638</v>
      </c>
      <c r="V352">
        <v>101</v>
      </c>
      <c r="W352">
        <v>13001</v>
      </c>
      <c r="X352">
        <v>245011</v>
      </c>
      <c r="Y352">
        <v>9999</v>
      </c>
      <c r="Z352">
        <v>950</v>
      </c>
      <c r="AA352">
        <v>999</v>
      </c>
      <c r="AB352">
        <v>9999</v>
      </c>
      <c r="AC352">
        <v>9999</v>
      </c>
      <c r="AD352" t="s">
        <v>1</v>
      </c>
      <c r="AE352" t="s">
        <v>1644</v>
      </c>
      <c r="AF352" t="s">
        <v>227</v>
      </c>
      <c r="AG352" t="s">
        <v>286</v>
      </c>
      <c r="AI352" t="s">
        <v>227</v>
      </c>
      <c r="AJ352">
        <v>45626</v>
      </c>
      <c r="AK352" t="s">
        <v>315</v>
      </c>
      <c r="AL352" t="s">
        <v>288</v>
      </c>
    </row>
    <row r="353" spans="1:38" x14ac:dyDescent="0.2">
      <c r="E353" t="s">
        <v>37</v>
      </c>
      <c r="F353" t="s">
        <v>1648</v>
      </c>
      <c r="G353" t="s">
        <v>1649</v>
      </c>
      <c r="H353" t="s">
        <v>36</v>
      </c>
      <c r="I353" t="s">
        <v>1589</v>
      </c>
      <c r="J353" s="91">
        <v>97906.2</v>
      </c>
      <c r="K353" s="91">
        <v>97906.2</v>
      </c>
      <c r="L353" s="91">
        <v>97906.2</v>
      </c>
      <c r="M353" t="s">
        <v>278</v>
      </c>
      <c r="N353" t="s">
        <v>278</v>
      </c>
      <c r="O353" t="s">
        <v>1650</v>
      </c>
      <c r="P353" t="s">
        <v>280</v>
      </c>
      <c r="Q353" t="s">
        <v>281</v>
      </c>
      <c r="R353" t="s">
        <v>282</v>
      </c>
      <c r="S353" t="s">
        <v>294</v>
      </c>
      <c r="T353" t="s">
        <v>305</v>
      </c>
      <c r="U353" t="s">
        <v>1638</v>
      </c>
      <c r="V353">
        <v>101</v>
      </c>
      <c r="W353">
        <v>13001</v>
      </c>
      <c r="X353">
        <v>245011</v>
      </c>
      <c r="Y353">
        <v>9999</v>
      </c>
      <c r="Z353">
        <v>950</v>
      </c>
      <c r="AA353">
        <v>999</v>
      </c>
      <c r="AB353">
        <v>9999</v>
      </c>
      <c r="AC353">
        <v>9999</v>
      </c>
      <c r="AD353" t="s">
        <v>1</v>
      </c>
      <c r="AE353" t="s">
        <v>1644</v>
      </c>
      <c r="AF353" t="s">
        <v>227</v>
      </c>
      <c r="AG353" t="s">
        <v>286</v>
      </c>
      <c r="AI353" t="s">
        <v>227</v>
      </c>
      <c r="AJ353">
        <v>45626</v>
      </c>
      <c r="AK353" t="s">
        <v>315</v>
      </c>
      <c r="AL353" t="s">
        <v>288</v>
      </c>
    </row>
    <row r="354" spans="1:38" x14ac:dyDescent="0.2">
      <c r="E354" t="s">
        <v>37</v>
      </c>
      <c r="F354" t="s">
        <v>1651</v>
      </c>
      <c r="G354" t="s">
        <v>1652</v>
      </c>
      <c r="H354" t="s">
        <v>16</v>
      </c>
      <c r="I354" t="s">
        <v>1589</v>
      </c>
      <c r="J354" s="91">
        <v>-1298003.83</v>
      </c>
      <c r="K354" s="91">
        <v>-1298003.83</v>
      </c>
      <c r="L354" s="91">
        <v>-1298003.83</v>
      </c>
      <c r="M354" t="s">
        <v>278</v>
      </c>
      <c r="N354" t="s">
        <v>278</v>
      </c>
      <c r="O354" t="s">
        <v>1653</v>
      </c>
      <c r="P354" t="s">
        <v>280</v>
      </c>
      <c r="Q354" t="s">
        <v>281</v>
      </c>
      <c r="R354" t="s">
        <v>282</v>
      </c>
      <c r="S354" t="s">
        <v>294</v>
      </c>
      <c r="T354" t="s">
        <v>305</v>
      </c>
      <c r="U354" t="s">
        <v>438</v>
      </c>
      <c r="V354">
        <v>101</v>
      </c>
      <c r="W354">
        <v>13001</v>
      </c>
      <c r="X354">
        <v>245011</v>
      </c>
      <c r="Y354">
        <v>9999</v>
      </c>
      <c r="Z354">
        <v>999</v>
      </c>
      <c r="AA354">
        <v>999</v>
      </c>
      <c r="AB354">
        <v>9999</v>
      </c>
      <c r="AC354">
        <v>9999</v>
      </c>
      <c r="AD354" t="s">
        <v>1</v>
      </c>
      <c r="AE354" t="s">
        <v>227</v>
      </c>
      <c r="AF354" t="s">
        <v>227</v>
      </c>
      <c r="AG354" t="s">
        <v>286</v>
      </c>
      <c r="AI354" t="s">
        <v>227</v>
      </c>
      <c r="AJ354">
        <v>45615</v>
      </c>
      <c r="AK354" t="s">
        <v>287</v>
      </c>
      <c r="AL354" t="s">
        <v>288</v>
      </c>
    </row>
    <row r="355" spans="1:38" x14ac:dyDescent="0.2">
      <c r="A355">
        <v>42</v>
      </c>
      <c r="B355" t="s">
        <v>47</v>
      </c>
      <c r="D355" t="s">
        <v>1654</v>
      </c>
      <c r="E355" t="s">
        <v>8</v>
      </c>
      <c r="F355" t="s">
        <v>1655</v>
      </c>
      <c r="G355" t="s">
        <v>1655</v>
      </c>
      <c r="H355" t="s">
        <v>19</v>
      </c>
      <c r="I355" t="s">
        <v>277</v>
      </c>
      <c r="J355" s="91">
        <v>-38054.5</v>
      </c>
      <c r="K355" s="91">
        <v>-38054.5</v>
      </c>
      <c r="L355" s="91">
        <v>-38054.5</v>
      </c>
      <c r="M355" t="s">
        <v>278</v>
      </c>
      <c r="N355" t="s">
        <v>278</v>
      </c>
      <c r="O355" t="s">
        <v>1656</v>
      </c>
      <c r="P355" t="s">
        <v>1654</v>
      </c>
      <c r="Q355" t="s">
        <v>281</v>
      </c>
      <c r="R355" t="s">
        <v>282</v>
      </c>
      <c r="S355" t="s">
        <v>294</v>
      </c>
      <c r="T355" t="s">
        <v>295</v>
      </c>
      <c r="U355" t="s">
        <v>296</v>
      </c>
      <c r="V355">
        <v>101</v>
      </c>
      <c r="W355">
        <v>13008</v>
      </c>
      <c r="X355">
        <v>245011</v>
      </c>
      <c r="Y355">
        <v>9999</v>
      </c>
      <c r="Z355">
        <v>999</v>
      </c>
      <c r="AA355">
        <v>999</v>
      </c>
      <c r="AB355">
        <v>9999</v>
      </c>
      <c r="AC355">
        <v>9999</v>
      </c>
      <c r="AD355" t="s">
        <v>1</v>
      </c>
      <c r="AE355" t="s">
        <v>227</v>
      </c>
      <c r="AF355" t="s">
        <v>227</v>
      </c>
      <c r="AG355" t="s">
        <v>286</v>
      </c>
      <c r="AI355" t="s">
        <v>227</v>
      </c>
      <c r="AJ355">
        <v>45596</v>
      </c>
      <c r="AK355" t="s">
        <v>328</v>
      </c>
      <c r="AL355" t="s">
        <v>288</v>
      </c>
    </row>
    <row r="356" spans="1:38" x14ac:dyDescent="0.2">
      <c r="E356" t="s">
        <v>8</v>
      </c>
      <c r="F356" t="s">
        <v>1657</v>
      </c>
      <c r="G356" t="s">
        <v>1658</v>
      </c>
      <c r="H356" t="s">
        <v>227</v>
      </c>
      <c r="I356" t="s">
        <v>1589</v>
      </c>
      <c r="J356" s="91">
        <v>38054.5</v>
      </c>
      <c r="K356" s="91">
        <v>38054.5</v>
      </c>
      <c r="L356" s="91">
        <v>38054.5</v>
      </c>
      <c r="M356" t="s">
        <v>278</v>
      </c>
      <c r="N356" t="s">
        <v>278</v>
      </c>
      <c r="O356" t="s">
        <v>1659</v>
      </c>
      <c r="P356" t="s">
        <v>1654</v>
      </c>
      <c r="Q356" t="s">
        <v>281</v>
      </c>
      <c r="R356" t="s">
        <v>282</v>
      </c>
      <c r="S356" t="s">
        <v>294</v>
      </c>
      <c r="T356" t="s">
        <v>295</v>
      </c>
      <c r="U356" t="s">
        <v>296</v>
      </c>
      <c r="V356">
        <v>101</v>
      </c>
      <c r="W356">
        <v>13008</v>
      </c>
      <c r="X356">
        <v>245011</v>
      </c>
      <c r="Y356">
        <v>9999</v>
      </c>
      <c r="Z356">
        <v>999</v>
      </c>
      <c r="AA356">
        <v>999</v>
      </c>
      <c r="AB356">
        <v>9999</v>
      </c>
      <c r="AC356">
        <v>9999</v>
      </c>
      <c r="AD356" t="s">
        <v>1</v>
      </c>
      <c r="AE356" t="s">
        <v>227</v>
      </c>
      <c r="AF356" t="s">
        <v>227</v>
      </c>
      <c r="AG356" t="s">
        <v>286</v>
      </c>
      <c r="AI356" t="s">
        <v>227</v>
      </c>
      <c r="AJ356">
        <v>45602</v>
      </c>
      <c r="AK356" t="s">
        <v>328</v>
      </c>
      <c r="AL356" t="s">
        <v>288</v>
      </c>
    </row>
    <row r="357" spans="1:38" x14ac:dyDescent="0.2">
      <c r="A357">
        <v>44</v>
      </c>
      <c r="B357" t="s">
        <v>47</v>
      </c>
      <c r="D357" t="s">
        <v>1660</v>
      </c>
      <c r="E357" t="s">
        <v>77</v>
      </c>
      <c r="F357" t="s">
        <v>1661</v>
      </c>
      <c r="G357" t="s">
        <v>1662</v>
      </c>
      <c r="H357" t="s">
        <v>16</v>
      </c>
      <c r="I357" t="s">
        <v>1589</v>
      </c>
      <c r="J357" s="91">
        <v>-50000</v>
      </c>
      <c r="K357" s="91">
        <v>-50000</v>
      </c>
      <c r="L357" s="91">
        <v>-50000</v>
      </c>
      <c r="M357" t="s">
        <v>278</v>
      </c>
      <c r="N357" t="s">
        <v>278</v>
      </c>
      <c r="O357" t="s">
        <v>1663</v>
      </c>
      <c r="P357" t="s">
        <v>280</v>
      </c>
      <c r="Q357" t="s">
        <v>281</v>
      </c>
      <c r="R357" t="s">
        <v>282</v>
      </c>
      <c r="S357" t="s">
        <v>283</v>
      </c>
      <c r="T357" t="s">
        <v>313</v>
      </c>
      <c r="U357" t="s">
        <v>1529</v>
      </c>
      <c r="V357">
        <v>101</v>
      </c>
      <c r="W357">
        <v>11001</v>
      </c>
      <c r="X357">
        <v>245011</v>
      </c>
      <c r="Y357">
        <v>9999</v>
      </c>
      <c r="Z357">
        <v>950</v>
      </c>
      <c r="AA357">
        <v>999</v>
      </c>
      <c r="AB357">
        <v>9999</v>
      </c>
      <c r="AC357">
        <v>9999</v>
      </c>
      <c r="AD357" t="s">
        <v>1</v>
      </c>
      <c r="AE357" t="s">
        <v>1664</v>
      </c>
      <c r="AF357" t="s">
        <v>227</v>
      </c>
      <c r="AG357" t="s">
        <v>286</v>
      </c>
      <c r="AI357" t="s">
        <v>227</v>
      </c>
      <c r="AJ357">
        <v>45626</v>
      </c>
      <c r="AK357" t="s">
        <v>287</v>
      </c>
      <c r="AL357" t="s">
        <v>288</v>
      </c>
    </row>
    <row r="358" spans="1:38" x14ac:dyDescent="0.2">
      <c r="E358" t="s">
        <v>77</v>
      </c>
      <c r="F358" t="s">
        <v>1665</v>
      </c>
      <c r="G358" t="s">
        <v>1666</v>
      </c>
      <c r="H358" t="s">
        <v>223</v>
      </c>
      <c r="I358" t="s">
        <v>303</v>
      </c>
      <c r="J358" s="91">
        <v>50000</v>
      </c>
      <c r="K358" s="91">
        <v>50000</v>
      </c>
      <c r="L358" s="91">
        <v>50000</v>
      </c>
      <c r="M358" t="s">
        <v>278</v>
      </c>
      <c r="N358" t="s">
        <v>278</v>
      </c>
      <c r="O358" t="s">
        <v>1667</v>
      </c>
      <c r="P358" t="s">
        <v>280</v>
      </c>
      <c r="Q358" t="s">
        <v>281</v>
      </c>
      <c r="R358" t="s">
        <v>282</v>
      </c>
      <c r="S358" t="s">
        <v>283</v>
      </c>
      <c r="T358" t="s">
        <v>313</v>
      </c>
      <c r="U358" t="s">
        <v>1529</v>
      </c>
      <c r="V358">
        <v>101</v>
      </c>
      <c r="W358">
        <v>11001</v>
      </c>
      <c r="X358">
        <v>245011</v>
      </c>
      <c r="Y358">
        <v>9999</v>
      </c>
      <c r="Z358">
        <v>950</v>
      </c>
      <c r="AA358">
        <v>999</v>
      </c>
      <c r="AB358">
        <v>9999</v>
      </c>
      <c r="AC358">
        <v>9999</v>
      </c>
      <c r="AD358" t="s">
        <v>1</v>
      </c>
      <c r="AE358" t="s">
        <v>1664</v>
      </c>
      <c r="AF358" t="s">
        <v>227</v>
      </c>
      <c r="AG358" t="s">
        <v>286</v>
      </c>
      <c r="AI358" t="s">
        <v>227</v>
      </c>
      <c r="AJ358">
        <v>45631</v>
      </c>
      <c r="AK358" t="s">
        <v>287</v>
      </c>
      <c r="AL358" t="s">
        <v>288</v>
      </c>
    </row>
    <row r="359" spans="1:38" x14ac:dyDescent="0.2">
      <c r="A359">
        <v>44</v>
      </c>
      <c r="B359" t="s">
        <v>47</v>
      </c>
      <c r="D359" t="s">
        <v>1668</v>
      </c>
      <c r="E359" t="s">
        <v>32</v>
      </c>
      <c r="F359" t="s">
        <v>1669</v>
      </c>
      <c r="G359" t="s">
        <v>1670</v>
      </c>
      <c r="H359" t="s">
        <v>16</v>
      </c>
      <c r="I359" t="s">
        <v>1589</v>
      </c>
      <c r="J359" s="91">
        <v>-50807.5</v>
      </c>
      <c r="K359" s="91">
        <v>-50807.5</v>
      </c>
      <c r="L359" s="91">
        <v>-50807.5</v>
      </c>
      <c r="M359" t="s">
        <v>278</v>
      </c>
      <c r="N359" t="s">
        <v>278</v>
      </c>
      <c r="O359" t="s">
        <v>1671</v>
      </c>
      <c r="P359" t="s">
        <v>280</v>
      </c>
      <c r="Q359" t="s">
        <v>281</v>
      </c>
      <c r="R359" t="s">
        <v>282</v>
      </c>
      <c r="S359" t="s">
        <v>283</v>
      </c>
      <c r="T359" t="s">
        <v>313</v>
      </c>
      <c r="U359" t="s">
        <v>381</v>
      </c>
      <c r="V359">
        <v>101</v>
      </c>
      <c r="W359">
        <v>12015</v>
      </c>
      <c r="X359">
        <v>245011</v>
      </c>
      <c r="Y359">
        <v>9999</v>
      </c>
      <c r="Z359">
        <v>999</v>
      </c>
      <c r="AA359">
        <v>999</v>
      </c>
      <c r="AB359">
        <v>9999</v>
      </c>
      <c r="AC359">
        <v>9999</v>
      </c>
      <c r="AD359" t="s">
        <v>1</v>
      </c>
      <c r="AE359" t="s">
        <v>227</v>
      </c>
      <c r="AF359" t="s">
        <v>227</v>
      </c>
      <c r="AG359" t="s">
        <v>286</v>
      </c>
      <c r="AI359" t="s">
        <v>227</v>
      </c>
      <c r="AJ359">
        <v>45626</v>
      </c>
      <c r="AK359" t="s">
        <v>287</v>
      </c>
      <c r="AL359" t="s">
        <v>288</v>
      </c>
    </row>
    <row r="360" spans="1:38" x14ac:dyDescent="0.2">
      <c r="A360">
        <v>44</v>
      </c>
      <c r="B360" t="s">
        <v>47</v>
      </c>
      <c r="D360" t="s">
        <v>1672</v>
      </c>
      <c r="E360" t="s">
        <v>32</v>
      </c>
      <c r="F360" t="s">
        <v>1673</v>
      </c>
      <c r="G360" t="s">
        <v>1674</v>
      </c>
      <c r="H360" t="s">
        <v>16</v>
      </c>
      <c r="I360" t="s">
        <v>1589</v>
      </c>
      <c r="J360" s="91">
        <v>100146.2</v>
      </c>
      <c r="K360" s="91">
        <v>100146.2</v>
      </c>
      <c r="L360" s="91">
        <v>100146.2</v>
      </c>
      <c r="M360" t="s">
        <v>278</v>
      </c>
      <c r="N360" t="s">
        <v>278</v>
      </c>
      <c r="O360" t="s">
        <v>1675</v>
      </c>
      <c r="P360" t="s">
        <v>280</v>
      </c>
      <c r="Q360" t="s">
        <v>281</v>
      </c>
      <c r="R360" t="s">
        <v>282</v>
      </c>
      <c r="S360" t="s">
        <v>283</v>
      </c>
      <c r="T360" t="s">
        <v>313</v>
      </c>
      <c r="U360" t="s">
        <v>381</v>
      </c>
      <c r="V360">
        <v>101</v>
      </c>
      <c r="W360">
        <v>12015</v>
      </c>
      <c r="X360">
        <v>245011</v>
      </c>
      <c r="Y360">
        <v>9999</v>
      </c>
      <c r="Z360">
        <v>999</v>
      </c>
      <c r="AA360">
        <v>999</v>
      </c>
      <c r="AB360">
        <v>9999</v>
      </c>
      <c r="AC360">
        <v>9999</v>
      </c>
      <c r="AD360" t="s">
        <v>1</v>
      </c>
      <c r="AE360" t="s">
        <v>227</v>
      </c>
      <c r="AF360" t="s">
        <v>227</v>
      </c>
      <c r="AG360" t="s">
        <v>286</v>
      </c>
      <c r="AI360" t="s">
        <v>227</v>
      </c>
      <c r="AJ360">
        <v>45626</v>
      </c>
      <c r="AK360" t="s">
        <v>287</v>
      </c>
      <c r="AL360" t="s">
        <v>288</v>
      </c>
    </row>
    <row r="361" spans="1:38" x14ac:dyDescent="0.2">
      <c r="E361" t="s">
        <v>32</v>
      </c>
      <c r="F361" t="s">
        <v>1676</v>
      </c>
      <c r="G361" t="s">
        <v>1677</v>
      </c>
      <c r="H361" t="s">
        <v>223</v>
      </c>
      <c r="I361" t="s">
        <v>303</v>
      </c>
      <c r="J361" s="91">
        <v>50807.5</v>
      </c>
      <c r="K361" s="91">
        <v>50807.5</v>
      </c>
      <c r="L361" s="91">
        <v>50807.5</v>
      </c>
      <c r="M361" t="s">
        <v>278</v>
      </c>
      <c r="N361" t="s">
        <v>278</v>
      </c>
      <c r="O361" t="s">
        <v>1678</v>
      </c>
      <c r="P361" t="s">
        <v>280</v>
      </c>
      <c r="Q361" t="s">
        <v>281</v>
      </c>
      <c r="R361" t="s">
        <v>282</v>
      </c>
      <c r="S361" t="s">
        <v>283</v>
      </c>
      <c r="T361" t="s">
        <v>313</v>
      </c>
      <c r="U361" t="s">
        <v>381</v>
      </c>
      <c r="V361">
        <v>101</v>
      </c>
      <c r="W361">
        <v>12015</v>
      </c>
      <c r="X361">
        <v>245011</v>
      </c>
      <c r="Y361">
        <v>9999</v>
      </c>
      <c r="Z361">
        <v>999</v>
      </c>
      <c r="AA361">
        <v>999</v>
      </c>
      <c r="AB361">
        <v>9999</v>
      </c>
      <c r="AC361">
        <v>9999</v>
      </c>
      <c r="AD361" t="s">
        <v>1</v>
      </c>
      <c r="AE361" t="s">
        <v>227</v>
      </c>
      <c r="AF361" t="s">
        <v>227</v>
      </c>
      <c r="AG361" t="s">
        <v>286</v>
      </c>
      <c r="AI361" t="s">
        <v>227</v>
      </c>
      <c r="AJ361">
        <v>45631</v>
      </c>
      <c r="AK361" t="s">
        <v>287</v>
      </c>
      <c r="AL361" t="s">
        <v>288</v>
      </c>
    </row>
    <row r="362" spans="1:38" x14ac:dyDescent="0.2">
      <c r="E362" t="s">
        <v>32</v>
      </c>
      <c r="F362" t="s">
        <v>1679</v>
      </c>
      <c r="G362" t="s">
        <v>1680</v>
      </c>
      <c r="H362" t="s">
        <v>16</v>
      </c>
      <c r="I362" t="s">
        <v>303</v>
      </c>
      <c r="J362" s="91">
        <v>-100146.2</v>
      </c>
      <c r="K362" s="91">
        <v>-100146.2</v>
      </c>
      <c r="L362" s="91">
        <v>-100146.2</v>
      </c>
      <c r="M362" t="s">
        <v>278</v>
      </c>
      <c r="N362" t="s">
        <v>278</v>
      </c>
      <c r="O362" t="s">
        <v>1681</v>
      </c>
      <c r="P362" t="s">
        <v>280</v>
      </c>
      <c r="Q362" t="s">
        <v>281</v>
      </c>
      <c r="R362" t="s">
        <v>282</v>
      </c>
      <c r="S362" t="s">
        <v>283</v>
      </c>
      <c r="T362" t="s">
        <v>313</v>
      </c>
      <c r="U362" t="s">
        <v>381</v>
      </c>
      <c r="V362">
        <v>101</v>
      </c>
      <c r="W362">
        <v>12015</v>
      </c>
      <c r="X362">
        <v>245011</v>
      </c>
      <c r="Y362">
        <v>9999</v>
      </c>
      <c r="Z362">
        <v>999</v>
      </c>
      <c r="AA362">
        <v>999</v>
      </c>
      <c r="AB362">
        <v>9999</v>
      </c>
      <c r="AC362">
        <v>9999</v>
      </c>
      <c r="AD362" t="s">
        <v>1</v>
      </c>
      <c r="AE362" t="s">
        <v>227</v>
      </c>
      <c r="AF362" t="s">
        <v>227</v>
      </c>
      <c r="AG362" t="s">
        <v>286</v>
      </c>
      <c r="AI362" t="s">
        <v>227</v>
      </c>
      <c r="AJ362">
        <v>45630</v>
      </c>
      <c r="AK362" t="s">
        <v>287</v>
      </c>
      <c r="AL362" t="s">
        <v>288</v>
      </c>
    </row>
    <row r="363" spans="1:38" x14ac:dyDescent="0.2">
      <c r="A363">
        <v>105</v>
      </c>
      <c r="B363" t="s">
        <v>49</v>
      </c>
      <c r="D363" t="s">
        <v>1682</v>
      </c>
      <c r="E363" t="s">
        <v>220</v>
      </c>
      <c r="F363" t="s">
        <v>1683</v>
      </c>
      <c r="G363" t="s">
        <v>1683</v>
      </c>
      <c r="H363" t="s">
        <v>19</v>
      </c>
      <c r="I363" t="s">
        <v>1411</v>
      </c>
      <c r="J363" s="91">
        <v>-367304</v>
      </c>
      <c r="K363" s="91">
        <v>-367304</v>
      </c>
      <c r="L363" s="91">
        <v>-367304</v>
      </c>
      <c r="M363" t="s">
        <v>278</v>
      </c>
      <c r="N363" t="s">
        <v>278</v>
      </c>
      <c r="O363" t="s">
        <v>1684</v>
      </c>
      <c r="P363" t="s">
        <v>227</v>
      </c>
      <c r="Q363" t="s">
        <v>281</v>
      </c>
      <c r="R363" t="s">
        <v>282</v>
      </c>
      <c r="S363" t="s">
        <v>283</v>
      </c>
      <c r="T363" t="s">
        <v>313</v>
      </c>
      <c r="U363" t="s">
        <v>1538</v>
      </c>
      <c r="V363">
        <v>101</v>
      </c>
      <c r="W363">
        <v>11015</v>
      </c>
      <c r="X363">
        <v>245011</v>
      </c>
      <c r="Y363">
        <v>9999</v>
      </c>
      <c r="Z363">
        <v>204</v>
      </c>
      <c r="AA363">
        <v>999</v>
      </c>
      <c r="AB363">
        <v>9999</v>
      </c>
      <c r="AC363">
        <v>9999</v>
      </c>
      <c r="AD363" t="s">
        <v>1</v>
      </c>
      <c r="AE363" t="s">
        <v>227</v>
      </c>
      <c r="AF363" t="s">
        <v>227</v>
      </c>
      <c r="AG363" t="s">
        <v>286</v>
      </c>
      <c r="AI363" t="s">
        <v>227</v>
      </c>
      <c r="AJ363">
        <v>45565</v>
      </c>
      <c r="AK363" t="s">
        <v>328</v>
      </c>
      <c r="AL363" t="s">
        <v>288</v>
      </c>
    </row>
    <row r="364" spans="1:38" x14ac:dyDescent="0.2">
      <c r="E364" t="s">
        <v>220</v>
      </c>
      <c r="F364" t="s">
        <v>1685</v>
      </c>
      <c r="G364" t="s">
        <v>1686</v>
      </c>
      <c r="H364" t="s">
        <v>19</v>
      </c>
      <c r="I364" t="s">
        <v>303</v>
      </c>
      <c r="J364" s="91">
        <v>367304</v>
      </c>
      <c r="K364" s="91">
        <v>367304</v>
      </c>
      <c r="L364" s="91">
        <v>367304</v>
      </c>
      <c r="M364" t="s">
        <v>278</v>
      </c>
      <c r="N364" t="s">
        <v>278</v>
      </c>
      <c r="O364" t="s">
        <v>1687</v>
      </c>
      <c r="P364" t="s">
        <v>227</v>
      </c>
      <c r="Q364" t="s">
        <v>281</v>
      </c>
      <c r="R364" t="s">
        <v>282</v>
      </c>
      <c r="S364" t="s">
        <v>283</v>
      </c>
      <c r="T364" t="s">
        <v>313</v>
      </c>
      <c r="U364" t="s">
        <v>1538</v>
      </c>
      <c r="V364">
        <v>101</v>
      </c>
      <c r="W364">
        <v>11015</v>
      </c>
      <c r="X364">
        <v>245011</v>
      </c>
      <c r="Y364">
        <v>9999</v>
      </c>
      <c r="Z364">
        <v>204</v>
      </c>
      <c r="AA364">
        <v>999</v>
      </c>
      <c r="AB364">
        <v>9999</v>
      </c>
      <c r="AC364">
        <v>9999</v>
      </c>
      <c r="AD364" t="s">
        <v>1</v>
      </c>
      <c r="AE364" t="s">
        <v>227</v>
      </c>
      <c r="AF364" t="s">
        <v>227</v>
      </c>
      <c r="AG364" t="s">
        <v>286</v>
      </c>
      <c r="AI364" t="s">
        <v>227</v>
      </c>
      <c r="AJ364">
        <v>45638</v>
      </c>
      <c r="AK364" t="s">
        <v>328</v>
      </c>
      <c r="AL364" t="s">
        <v>288</v>
      </c>
    </row>
    <row r="365" spans="1:38" x14ac:dyDescent="0.2">
      <c r="A365">
        <v>44</v>
      </c>
      <c r="B365" t="s">
        <v>47</v>
      </c>
      <c r="D365" t="s">
        <v>1688</v>
      </c>
      <c r="E365" t="s">
        <v>11</v>
      </c>
      <c r="F365" t="s">
        <v>1689</v>
      </c>
      <c r="G365" t="s">
        <v>1690</v>
      </c>
      <c r="H365" t="s">
        <v>19</v>
      </c>
      <c r="I365" t="s">
        <v>1589</v>
      </c>
      <c r="J365" s="91">
        <v>103044.76</v>
      </c>
      <c r="K365" s="91">
        <v>103044.76</v>
      </c>
      <c r="L365" s="91">
        <v>103044.76</v>
      </c>
      <c r="M365" t="s">
        <v>278</v>
      </c>
      <c r="N365" t="s">
        <v>278</v>
      </c>
      <c r="O365" t="s">
        <v>1691</v>
      </c>
      <c r="P365" t="s">
        <v>280</v>
      </c>
      <c r="Q365" t="s">
        <v>281</v>
      </c>
      <c r="R365" t="s">
        <v>282</v>
      </c>
      <c r="S365" t="s">
        <v>283</v>
      </c>
      <c r="T365" t="s">
        <v>284</v>
      </c>
      <c r="U365" t="s">
        <v>285</v>
      </c>
      <c r="V365">
        <v>101</v>
      </c>
      <c r="W365">
        <v>12012</v>
      </c>
      <c r="X365">
        <v>245011</v>
      </c>
      <c r="Y365">
        <v>9999</v>
      </c>
      <c r="Z365">
        <v>999</v>
      </c>
      <c r="AA365">
        <v>999</v>
      </c>
      <c r="AB365">
        <v>9999</v>
      </c>
      <c r="AC365">
        <v>9999</v>
      </c>
      <c r="AD365" t="s">
        <v>1</v>
      </c>
      <c r="AE365" t="s">
        <v>227</v>
      </c>
      <c r="AF365" t="s">
        <v>227</v>
      </c>
      <c r="AG365" t="s">
        <v>286</v>
      </c>
      <c r="AI365" t="s">
        <v>227</v>
      </c>
      <c r="AJ365">
        <v>45626</v>
      </c>
      <c r="AK365" t="s">
        <v>287</v>
      </c>
      <c r="AL365" t="s">
        <v>288</v>
      </c>
    </row>
    <row r="366" spans="1:38" x14ac:dyDescent="0.2">
      <c r="E366" t="s">
        <v>11</v>
      </c>
      <c r="F366" t="s">
        <v>1692</v>
      </c>
      <c r="G366" t="s">
        <v>1693</v>
      </c>
      <c r="H366" t="s">
        <v>19</v>
      </c>
      <c r="I366" t="s">
        <v>303</v>
      </c>
      <c r="J366" s="91">
        <v>-103044.76</v>
      </c>
      <c r="K366" s="91">
        <v>-103044.76</v>
      </c>
      <c r="L366" s="91">
        <v>-103044.76</v>
      </c>
      <c r="M366" t="s">
        <v>278</v>
      </c>
      <c r="N366" t="s">
        <v>278</v>
      </c>
      <c r="O366" t="s">
        <v>1694</v>
      </c>
      <c r="P366" t="s">
        <v>280</v>
      </c>
      <c r="Q366" t="s">
        <v>281</v>
      </c>
      <c r="R366" t="s">
        <v>282</v>
      </c>
      <c r="S366" t="s">
        <v>283</v>
      </c>
      <c r="T366" t="s">
        <v>284</v>
      </c>
      <c r="U366" t="s">
        <v>285</v>
      </c>
      <c r="V366">
        <v>101</v>
      </c>
      <c r="W366">
        <v>12012</v>
      </c>
      <c r="X366">
        <v>245011</v>
      </c>
      <c r="Y366">
        <v>9999</v>
      </c>
      <c r="Z366">
        <v>999</v>
      </c>
      <c r="AA366">
        <v>999</v>
      </c>
      <c r="AB366">
        <v>9999</v>
      </c>
      <c r="AC366">
        <v>9999</v>
      </c>
      <c r="AD366" t="s">
        <v>1</v>
      </c>
      <c r="AE366" t="s">
        <v>227</v>
      </c>
      <c r="AF366" t="s">
        <v>227</v>
      </c>
      <c r="AG366" t="s">
        <v>286</v>
      </c>
      <c r="AI366" t="s">
        <v>227</v>
      </c>
      <c r="AJ366">
        <v>45631</v>
      </c>
      <c r="AK366" t="s">
        <v>287</v>
      </c>
      <c r="AL366" t="s">
        <v>288</v>
      </c>
    </row>
    <row r="367" spans="1:38" x14ac:dyDescent="0.2">
      <c r="A367">
        <v>319</v>
      </c>
      <c r="B367" t="s">
        <v>52</v>
      </c>
      <c r="D367" t="s">
        <v>1695</v>
      </c>
      <c r="E367" t="s">
        <v>39</v>
      </c>
      <c r="F367" t="s">
        <v>1696</v>
      </c>
      <c r="G367" t="s">
        <v>1696</v>
      </c>
      <c r="H367" t="s">
        <v>12</v>
      </c>
      <c r="I367" t="s">
        <v>1033</v>
      </c>
      <c r="J367" s="91">
        <v>-41439.4</v>
      </c>
      <c r="K367" s="91">
        <v>-41439.4</v>
      </c>
      <c r="L367" s="91">
        <v>-41439.4</v>
      </c>
      <c r="M367" t="s">
        <v>278</v>
      </c>
      <c r="N367" t="s">
        <v>278</v>
      </c>
      <c r="O367" t="s">
        <v>212</v>
      </c>
      <c r="P367" t="s">
        <v>212</v>
      </c>
      <c r="Q367" t="s">
        <v>281</v>
      </c>
      <c r="R367" t="s">
        <v>282</v>
      </c>
      <c r="S367" t="s">
        <v>283</v>
      </c>
      <c r="T367" t="s">
        <v>366</v>
      </c>
      <c r="U367" t="s">
        <v>1246</v>
      </c>
      <c r="V367">
        <v>101</v>
      </c>
      <c r="W367">
        <v>12013</v>
      </c>
      <c r="X367">
        <v>245011</v>
      </c>
      <c r="Y367">
        <v>9999</v>
      </c>
      <c r="Z367">
        <v>204</v>
      </c>
      <c r="AA367">
        <v>999</v>
      </c>
      <c r="AB367">
        <v>9999</v>
      </c>
      <c r="AC367">
        <v>9999</v>
      </c>
      <c r="AD367" t="s">
        <v>1</v>
      </c>
      <c r="AE367" t="s">
        <v>1697</v>
      </c>
      <c r="AF367" t="s">
        <v>227</v>
      </c>
      <c r="AG367" t="s">
        <v>286</v>
      </c>
      <c r="AI367" t="s">
        <v>227</v>
      </c>
      <c r="AJ367">
        <v>45351</v>
      </c>
      <c r="AK367" t="s">
        <v>328</v>
      </c>
      <c r="AL367" t="s">
        <v>288</v>
      </c>
    </row>
    <row r="368" spans="1:38" x14ac:dyDescent="0.2">
      <c r="E368" t="s">
        <v>39</v>
      </c>
      <c r="F368" t="s">
        <v>1698</v>
      </c>
      <c r="G368" t="s">
        <v>1699</v>
      </c>
      <c r="H368" t="s">
        <v>12</v>
      </c>
      <c r="I368" t="s">
        <v>303</v>
      </c>
      <c r="J368" s="91">
        <v>41439.4</v>
      </c>
      <c r="K368" s="91">
        <v>41439.4</v>
      </c>
      <c r="L368" s="91">
        <v>41439.4</v>
      </c>
      <c r="M368" t="s">
        <v>278</v>
      </c>
      <c r="N368" t="s">
        <v>278</v>
      </c>
      <c r="O368" t="s">
        <v>1700</v>
      </c>
      <c r="P368" t="s">
        <v>212</v>
      </c>
      <c r="Q368" t="s">
        <v>281</v>
      </c>
      <c r="R368" t="s">
        <v>282</v>
      </c>
      <c r="S368" t="s">
        <v>283</v>
      </c>
      <c r="T368" t="s">
        <v>366</v>
      </c>
      <c r="U368" t="s">
        <v>1246</v>
      </c>
      <c r="V368">
        <v>101</v>
      </c>
      <c r="W368">
        <v>12013</v>
      </c>
      <c r="X368">
        <v>245011</v>
      </c>
      <c r="Y368">
        <v>9999</v>
      </c>
      <c r="Z368">
        <v>204</v>
      </c>
      <c r="AA368">
        <v>999</v>
      </c>
      <c r="AB368">
        <v>9999</v>
      </c>
      <c r="AC368">
        <v>9999</v>
      </c>
      <c r="AD368" t="s">
        <v>1</v>
      </c>
      <c r="AE368" t="s">
        <v>1697</v>
      </c>
      <c r="AF368" t="s">
        <v>227</v>
      </c>
      <c r="AG368" t="s">
        <v>286</v>
      </c>
      <c r="AI368" t="s">
        <v>227</v>
      </c>
      <c r="AJ368">
        <v>45645</v>
      </c>
      <c r="AK368" t="s">
        <v>328</v>
      </c>
      <c r="AL368" t="s">
        <v>288</v>
      </c>
    </row>
    <row r="369" spans="1:38" x14ac:dyDescent="0.2">
      <c r="A369">
        <v>319</v>
      </c>
      <c r="B369" t="s">
        <v>52</v>
      </c>
      <c r="D369" t="s">
        <v>1701</v>
      </c>
      <c r="E369" t="s">
        <v>73</v>
      </c>
      <c r="F369" t="s">
        <v>1702</v>
      </c>
      <c r="G369" t="s">
        <v>1703</v>
      </c>
      <c r="H369" t="s">
        <v>16</v>
      </c>
      <c r="I369" t="s">
        <v>1033</v>
      </c>
      <c r="J369" s="91">
        <v>205671</v>
      </c>
      <c r="K369" s="91">
        <v>205671</v>
      </c>
      <c r="L369" s="91">
        <v>205671</v>
      </c>
      <c r="M369" t="s">
        <v>278</v>
      </c>
      <c r="N369" t="s">
        <v>278</v>
      </c>
      <c r="O369" t="s">
        <v>214</v>
      </c>
      <c r="P369" t="s">
        <v>280</v>
      </c>
      <c r="Q369" t="s">
        <v>281</v>
      </c>
      <c r="R369" t="s">
        <v>282</v>
      </c>
      <c r="S369" t="s">
        <v>283</v>
      </c>
      <c r="T369" t="s">
        <v>366</v>
      </c>
      <c r="U369" t="s">
        <v>602</v>
      </c>
      <c r="V369">
        <v>101</v>
      </c>
      <c r="W369">
        <v>12021</v>
      </c>
      <c r="X369">
        <v>245011</v>
      </c>
      <c r="Y369">
        <v>9999</v>
      </c>
      <c r="Z369">
        <v>999</v>
      </c>
      <c r="AA369">
        <v>999</v>
      </c>
      <c r="AB369">
        <v>9999</v>
      </c>
      <c r="AC369">
        <v>9999</v>
      </c>
      <c r="AD369" t="s">
        <v>1</v>
      </c>
      <c r="AE369" t="s">
        <v>227</v>
      </c>
      <c r="AF369" t="s">
        <v>227</v>
      </c>
      <c r="AG369" t="s">
        <v>286</v>
      </c>
      <c r="AI369" t="s">
        <v>227</v>
      </c>
      <c r="AJ369">
        <v>45351</v>
      </c>
      <c r="AK369" t="s">
        <v>287</v>
      </c>
      <c r="AL369" t="s">
        <v>288</v>
      </c>
    </row>
    <row r="370" spans="1:38" x14ac:dyDescent="0.2">
      <c r="E370" t="s">
        <v>73</v>
      </c>
      <c r="F370" t="s">
        <v>1704</v>
      </c>
      <c r="G370" t="s">
        <v>1705</v>
      </c>
      <c r="H370" t="s">
        <v>16</v>
      </c>
      <c r="I370" t="s">
        <v>303</v>
      </c>
      <c r="J370" s="91">
        <v>-205671</v>
      </c>
      <c r="K370" s="91">
        <v>-205671</v>
      </c>
      <c r="L370" s="91">
        <v>-205671</v>
      </c>
      <c r="M370" t="s">
        <v>278</v>
      </c>
      <c r="N370" t="s">
        <v>278</v>
      </c>
      <c r="O370" t="s">
        <v>1706</v>
      </c>
      <c r="P370" t="s">
        <v>280</v>
      </c>
      <c r="Q370" t="s">
        <v>281</v>
      </c>
      <c r="R370" t="s">
        <v>282</v>
      </c>
      <c r="S370" t="s">
        <v>283</v>
      </c>
      <c r="T370" t="s">
        <v>366</v>
      </c>
      <c r="U370" t="s">
        <v>602</v>
      </c>
      <c r="V370">
        <v>101</v>
      </c>
      <c r="W370">
        <v>12021</v>
      </c>
      <c r="X370">
        <v>245011</v>
      </c>
      <c r="Y370">
        <v>9999</v>
      </c>
      <c r="Z370">
        <v>999</v>
      </c>
      <c r="AA370">
        <v>999</v>
      </c>
      <c r="AB370">
        <v>9999</v>
      </c>
      <c r="AC370">
        <v>9999</v>
      </c>
      <c r="AD370" t="s">
        <v>1</v>
      </c>
      <c r="AE370" t="s">
        <v>227</v>
      </c>
      <c r="AF370" t="s">
        <v>227</v>
      </c>
      <c r="AG370" t="s">
        <v>286</v>
      </c>
      <c r="AI370" t="s">
        <v>227</v>
      </c>
      <c r="AJ370">
        <v>45645</v>
      </c>
      <c r="AK370" t="s">
        <v>287</v>
      </c>
      <c r="AL370" t="s">
        <v>288</v>
      </c>
    </row>
    <row r="371" spans="1:38" x14ac:dyDescent="0.2">
      <c r="A371">
        <v>44</v>
      </c>
      <c r="B371" t="s">
        <v>47</v>
      </c>
      <c r="D371" t="s">
        <v>1707</v>
      </c>
      <c r="E371" t="s">
        <v>14</v>
      </c>
      <c r="F371" t="s">
        <v>1708</v>
      </c>
      <c r="G371" t="s">
        <v>1709</v>
      </c>
      <c r="H371" t="s">
        <v>19</v>
      </c>
      <c r="I371" t="s">
        <v>1589</v>
      </c>
      <c r="J371" s="91">
        <v>-125000</v>
      </c>
      <c r="K371" s="91">
        <v>-125000</v>
      </c>
      <c r="L371" s="91">
        <v>-125000</v>
      </c>
      <c r="M371" t="s">
        <v>278</v>
      </c>
      <c r="N371" t="s">
        <v>278</v>
      </c>
      <c r="O371" t="s">
        <v>1710</v>
      </c>
      <c r="P371" t="s">
        <v>280</v>
      </c>
      <c r="Q371" t="s">
        <v>281</v>
      </c>
      <c r="R371" t="s">
        <v>282</v>
      </c>
      <c r="S371" t="s">
        <v>294</v>
      </c>
      <c r="T371" t="s">
        <v>305</v>
      </c>
      <c r="U371" t="s">
        <v>306</v>
      </c>
      <c r="V371">
        <v>101</v>
      </c>
      <c r="W371">
        <v>13016</v>
      </c>
      <c r="X371">
        <v>245011</v>
      </c>
      <c r="Y371">
        <v>9999</v>
      </c>
      <c r="Z371">
        <v>999</v>
      </c>
      <c r="AA371">
        <v>999</v>
      </c>
      <c r="AB371">
        <v>9999</v>
      </c>
      <c r="AC371">
        <v>9999</v>
      </c>
      <c r="AD371" t="s">
        <v>1</v>
      </c>
      <c r="AE371" t="s">
        <v>227</v>
      </c>
      <c r="AF371" t="s">
        <v>227</v>
      </c>
      <c r="AG371" t="s">
        <v>286</v>
      </c>
      <c r="AI371" t="s">
        <v>227</v>
      </c>
      <c r="AJ371">
        <v>45626</v>
      </c>
      <c r="AK371" t="s">
        <v>287</v>
      </c>
      <c r="AL371" t="s">
        <v>288</v>
      </c>
    </row>
    <row r="372" spans="1:38" x14ac:dyDescent="0.2">
      <c r="E372" t="s">
        <v>14</v>
      </c>
      <c r="F372" t="s">
        <v>1711</v>
      </c>
      <c r="G372" t="s">
        <v>1712</v>
      </c>
      <c r="H372" t="s">
        <v>19</v>
      </c>
      <c r="I372" t="s">
        <v>303</v>
      </c>
      <c r="J372" s="91">
        <v>125000</v>
      </c>
      <c r="K372" s="91">
        <v>125000</v>
      </c>
      <c r="L372" s="91">
        <v>125000</v>
      </c>
      <c r="M372" t="s">
        <v>278</v>
      </c>
      <c r="N372" t="s">
        <v>278</v>
      </c>
      <c r="O372" t="s">
        <v>1713</v>
      </c>
      <c r="P372" t="s">
        <v>280</v>
      </c>
      <c r="Q372" t="s">
        <v>281</v>
      </c>
      <c r="R372" t="s">
        <v>282</v>
      </c>
      <c r="S372" t="s">
        <v>294</v>
      </c>
      <c r="T372" t="s">
        <v>305</v>
      </c>
      <c r="U372" t="s">
        <v>306</v>
      </c>
      <c r="V372">
        <v>101</v>
      </c>
      <c r="W372">
        <v>13016</v>
      </c>
      <c r="X372">
        <v>245011</v>
      </c>
      <c r="Y372">
        <v>9999</v>
      </c>
      <c r="Z372">
        <v>999</v>
      </c>
      <c r="AA372">
        <v>999</v>
      </c>
      <c r="AB372">
        <v>9999</v>
      </c>
      <c r="AC372">
        <v>9999</v>
      </c>
      <c r="AD372" t="s">
        <v>1</v>
      </c>
      <c r="AE372" t="s">
        <v>227</v>
      </c>
      <c r="AF372" t="s">
        <v>227</v>
      </c>
      <c r="AG372" t="s">
        <v>286</v>
      </c>
      <c r="AI372" t="s">
        <v>227</v>
      </c>
      <c r="AJ372">
        <v>45642</v>
      </c>
      <c r="AK372" t="s">
        <v>287</v>
      </c>
      <c r="AL372" t="s">
        <v>288</v>
      </c>
    </row>
    <row r="373" spans="1:38" x14ac:dyDescent="0.2">
      <c r="A373">
        <v>197</v>
      </c>
      <c r="B373" t="s">
        <v>559</v>
      </c>
      <c r="D373" t="s">
        <v>1714</v>
      </c>
      <c r="E373" t="s">
        <v>37</v>
      </c>
      <c r="F373" t="s">
        <v>1715</v>
      </c>
      <c r="G373" t="s">
        <v>1716</v>
      </c>
      <c r="H373" t="s">
        <v>221</v>
      </c>
      <c r="I373" t="s">
        <v>1134</v>
      </c>
      <c r="J373" s="91">
        <v>288170.88</v>
      </c>
      <c r="K373" s="91">
        <v>288170.88</v>
      </c>
      <c r="L373" s="91">
        <v>288170.88</v>
      </c>
      <c r="M373" t="s">
        <v>278</v>
      </c>
      <c r="N373" t="s">
        <v>278</v>
      </c>
      <c r="O373" t="s">
        <v>1717</v>
      </c>
      <c r="P373" t="s">
        <v>280</v>
      </c>
      <c r="Q373" t="s">
        <v>281</v>
      </c>
      <c r="R373" t="s">
        <v>282</v>
      </c>
      <c r="S373" t="s">
        <v>294</v>
      </c>
      <c r="T373" t="s">
        <v>305</v>
      </c>
      <c r="U373" t="s">
        <v>438</v>
      </c>
      <c r="V373">
        <v>101</v>
      </c>
      <c r="W373">
        <v>13001</v>
      </c>
      <c r="X373">
        <v>245011</v>
      </c>
      <c r="Y373">
        <v>9999</v>
      </c>
      <c r="Z373">
        <v>999</v>
      </c>
      <c r="AA373">
        <v>999</v>
      </c>
      <c r="AB373">
        <v>9999</v>
      </c>
      <c r="AC373">
        <v>9999</v>
      </c>
      <c r="AD373" t="s">
        <v>1</v>
      </c>
      <c r="AE373" t="s">
        <v>227</v>
      </c>
      <c r="AF373" t="s">
        <v>227</v>
      </c>
      <c r="AG373" t="s">
        <v>286</v>
      </c>
      <c r="AI373" t="s">
        <v>227</v>
      </c>
      <c r="AJ373">
        <v>45473</v>
      </c>
      <c r="AK373" t="s">
        <v>287</v>
      </c>
      <c r="AL373" t="s">
        <v>288</v>
      </c>
    </row>
    <row r="374" spans="1:38" x14ac:dyDescent="0.2">
      <c r="E374" t="s">
        <v>37</v>
      </c>
      <c r="F374" t="s">
        <v>1718</v>
      </c>
      <c r="G374" t="s">
        <v>1719</v>
      </c>
      <c r="H374" t="s">
        <v>221</v>
      </c>
      <c r="I374" t="s">
        <v>303</v>
      </c>
      <c r="J374" s="91">
        <v>-288170.88</v>
      </c>
      <c r="K374" s="91">
        <v>-288170.88</v>
      </c>
      <c r="L374" s="91">
        <v>-288170.88</v>
      </c>
      <c r="M374" t="s">
        <v>278</v>
      </c>
      <c r="N374" t="s">
        <v>278</v>
      </c>
      <c r="O374" t="s">
        <v>1720</v>
      </c>
      <c r="P374" t="s">
        <v>280</v>
      </c>
      <c r="Q374" t="s">
        <v>281</v>
      </c>
      <c r="R374" t="s">
        <v>282</v>
      </c>
      <c r="S374" t="s">
        <v>294</v>
      </c>
      <c r="T374" t="s">
        <v>305</v>
      </c>
      <c r="U374" t="s">
        <v>438</v>
      </c>
      <c r="V374">
        <v>101</v>
      </c>
      <c r="W374">
        <v>13001</v>
      </c>
      <c r="X374">
        <v>245011</v>
      </c>
      <c r="Y374">
        <v>9999</v>
      </c>
      <c r="Z374">
        <v>999</v>
      </c>
      <c r="AA374">
        <v>999</v>
      </c>
      <c r="AB374">
        <v>9999</v>
      </c>
      <c r="AC374">
        <v>9999</v>
      </c>
      <c r="AD374" t="s">
        <v>1</v>
      </c>
      <c r="AE374" t="s">
        <v>227</v>
      </c>
      <c r="AF374" t="s">
        <v>227</v>
      </c>
      <c r="AG374" t="s">
        <v>286</v>
      </c>
      <c r="AI374" t="s">
        <v>227</v>
      </c>
      <c r="AJ374">
        <v>45645</v>
      </c>
      <c r="AK374" t="s">
        <v>287</v>
      </c>
      <c r="AL374" t="s">
        <v>288</v>
      </c>
    </row>
    <row r="375" spans="1:38" x14ac:dyDescent="0.2">
      <c r="A375">
        <v>348</v>
      </c>
      <c r="B375" t="s">
        <v>53</v>
      </c>
      <c r="D375" t="s">
        <v>1721</v>
      </c>
      <c r="E375" t="s">
        <v>8</v>
      </c>
      <c r="F375" t="s">
        <v>1722</v>
      </c>
      <c r="G375" t="s">
        <v>1723</v>
      </c>
      <c r="H375" t="s">
        <v>16</v>
      </c>
      <c r="I375" t="s">
        <v>970</v>
      </c>
      <c r="J375" s="91">
        <v>137760</v>
      </c>
      <c r="K375" s="91">
        <v>137760</v>
      </c>
      <c r="L375" s="91">
        <v>137760</v>
      </c>
      <c r="M375" t="s">
        <v>278</v>
      </c>
      <c r="N375" t="s">
        <v>278</v>
      </c>
      <c r="O375" t="s">
        <v>1724</v>
      </c>
      <c r="P375" t="s">
        <v>280</v>
      </c>
      <c r="Q375" t="s">
        <v>281</v>
      </c>
      <c r="R375" t="s">
        <v>282</v>
      </c>
      <c r="S375" t="s">
        <v>294</v>
      </c>
      <c r="T375" t="s">
        <v>295</v>
      </c>
      <c r="U375" t="s">
        <v>296</v>
      </c>
      <c r="V375">
        <v>101</v>
      </c>
      <c r="W375">
        <v>13008</v>
      </c>
      <c r="X375">
        <v>245011</v>
      </c>
      <c r="Y375">
        <v>9999</v>
      </c>
      <c r="Z375">
        <v>999</v>
      </c>
      <c r="AA375">
        <v>999</v>
      </c>
      <c r="AB375">
        <v>9999</v>
      </c>
      <c r="AC375">
        <v>9999</v>
      </c>
      <c r="AD375" t="s">
        <v>1</v>
      </c>
      <c r="AE375" t="s">
        <v>227</v>
      </c>
      <c r="AF375" t="s">
        <v>227</v>
      </c>
      <c r="AG375" t="s">
        <v>286</v>
      </c>
      <c r="AI375" t="s">
        <v>227</v>
      </c>
      <c r="AJ375">
        <v>45322</v>
      </c>
      <c r="AK375" t="s">
        <v>287</v>
      </c>
      <c r="AL375" t="s">
        <v>288</v>
      </c>
    </row>
    <row r="376" spans="1:38" x14ac:dyDescent="0.2">
      <c r="A376">
        <v>44</v>
      </c>
      <c r="B376" t="s">
        <v>47</v>
      </c>
      <c r="D376" t="s">
        <v>1725</v>
      </c>
      <c r="E376" t="s">
        <v>8</v>
      </c>
      <c r="F376" t="s">
        <v>1726</v>
      </c>
      <c r="G376" t="s">
        <v>1726</v>
      </c>
      <c r="H376" t="s">
        <v>16</v>
      </c>
      <c r="I376" t="s">
        <v>1589</v>
      </c>
      <c r="J376" s="91">
        <v>-38054.5</v>
      </c>
      <c r="K376" s="91">
        <v>-38054.5</v>
      </c>
      <c r="L376" s="91">
        <v>-38054.5</v>
      </c>
      <c r="M376" t="s">
        <v>278</v>
      </c>
      <c r="N376" t="s">
        <v>278</v>
      </c>
      <c r="O376" t="s">
        <v>1656</v>
      </c>
      <c r="P376" t="s">
        <v>1727</v>
      </c>
      <c r="Q376" t="s">
        <v>281</v>
      </c>
      <c r="R376" t="s">
        <v>282</v>
      </c>
      <c r="S376" t="s">
        <v>294</v>
      </c>
      <c r="T376" t="s">
        <v>295</v>
      </c>
      <c r="U376" t="s">
        <v>296</v>
      </c>
      <c r="V376">
        <v>101</v>
      </c>
      <c r="W376">
        <v>13008</v>
      </c>
      <c r="X376">
        <v>245011</v>
      </c>
      <c r="Y376">
        <v>9999</v>
      </c>
      <c r="Z376">
        <v>999</v>
      </c>
      <c r="AA376">
        <v>999</v>
      </c>
      <c r="AB376">
        <v>9999</v>
      </c>
      <c r="AC376">
        <v>9999</v>
      </c>
      <c r="AD376" t="s">
        <v>1</v>
      </c>
      <c r="AE376" t="s">
        <v>227</v>
      </c>
      <c r="AF376" t="s">
        <v>227</v>
      </c>
      <c r="AG376" t="s">
        <v>286</v>
      </c>
      <c r="AI376" t="s">
        <v>227</v>
      </c>
      <c r="AJ376">
        <v>45626</v>
      </c>
      <c r="AK376" t="s">
        <v>1728</v>
      </c>
      <c r="AL376" t="s">
        <v>288</v>
      </c>
    </row>
    <row r="377" spans="1:38" x14ac:dyDescent="0.2">
      <c r="E377" t="s">
        <v>8</v>
      </c>
      <c r="F377" t="s">
        <v>1729</v>
      </c>
      <c r="G377" t="s">
        <v>1730</v>
      </c>
      <c r="H377" t="s">
        <v>227</v>
      </c>
      <c r="I377" t="s">
        <v>303</v>
      </c>
      <c r="J377" s="91">
        <v>38054.5</v>
      </c>
      <c r="K377" s="91">
        <v>38054.5</v>
      </c>
      <c r="L377" s="91">
        <v>38054.5</v>
      </c>
      <c r="M377" t="s">
        <v>278</v>
      </c>
      <c r="N377" t="s">
        <v>278</v>
      </c>
      <c r="O377" t="s">
        <v>1731</v>
      </c>
      <c r="P377" t="s">
        <v>1727</v>
      </c>
      <c r="Q377" t="s">
        <v>281</v>
      </c>
      <c r="R377" t="s">
        <v>282</v>
      </c>
      <c r="S377" t="s">
        <v>294</v>
      </c>
      <c r="T377" t="s">
        <v>295</v>
      </c>
      <c r="U377" t="s">
        <v>296</v>
      </c>
      <c r="V377">
        <v>101</v>
      </c>
      <c r="W377">
        <v>13008</v>
      </c>
      <c r="X377">
        <v>245011</v>
      </c>
      <c r="Y377">
        <v>9999</v>
      </c>
      <c r="Z377">
        <v>999</v>
      </c>
      <c r="AA377">
        <v>999</v>
      </c>
      <c r="AB377">
        <v>9999</v>
      </c>
      <c r="AC377">
        <v>9999</v>
      </c>
      <c r="AD377" t="s">
        <v>1</v>
      </c>
      <c r="AE377" t="s">
        <v>227</v>
      </c>
      <c r="AF377" t="s">
        <v>227</v>
      </c>
      <c r="AG377" t="s">
        <v>286</v>
      </c>
      <c r="AI377" t="s">
        <v>227</v>
      </c>
      <c r="AJ377">
        <v>45631</v>
      </c>
      <c r="AK377" t="s">
        <v>1728</v>
      </c>
      <c r="AL377" t="s">
        <v>288</v>
      </c>
    </row>
    <row r="378" spans="1:38" x14ac:dyDescent="0.2">
      <c r="E378" t="s">
        <v>8</v>
      </c>
      <c r="F378" t="s">
        <v>1732</v>
      </c>
      <c r="G378" t="s">
        <v>1733</v>
      </c>
      <c r="H378" t="s">
        <v>16</v>
      </c>
      <c r="I378" t="s">
        <v>303</v>
      </c>
      <c r="J378" s="91">
        <v>-137760</v>
      </c>
      <c r="K378" s="91">
        <v>-137760</v>
      </c>
      <c r="L378" s="91">
        <v>-137760</v>
      </c>
      <c r="M378" t="s">
        <v>278</v>
      </c>
      <c r="N378" t="s">
        <v>278</v>
      </c>
      <c r="O378" t="s">
        <v>1734</v>
      </c>
      <c r="P378" t="s">
        <v>280</v>
      </c>
      <c r="Q378" t="s">
        <v>281</v>
      </c>
      <c r="R378" t="s">
        <v>282</v>
      </c>
      <c r="S378" t="s">
        <v>294</v>
      </c>
      <c r="T378" t="s">
        <v>295</v>
      </c>
      <c r="U378" t="s">
        <v>296</v>
      </c>
      <c r="V378">
        <v>101</v>
      </c>
      <c r="W378">
        <v>13008</v>
      </c>
      <c r="X378">
        <v>245011</v>
      </c>
      <c r="Y378">
        <v>9999</v>
      </c>
      <c r="Z378">
        <v>999</v>
      </c>
      <c r="AA378">
        <v>999</v>
      </c>
      <c r="AB378">
        <v>9999</v>
      </c>
      <c r="AC378">
        <v>9999</v>
      </c>
      <c r="AD378" t="s">
        <v>1</v>
      </c>
      <c r="AE378" t="s">
        <v>227</v>
      </c>
      <c r="AF378" t="s">
        <v>227</v>
      </c>
      <c r="AG378" t="s">
        <v>286</v>
      </c>
      <c r="AI378" t="s">
        <v>227</v>
      </c>
      <c r="AJ378">
        <v>45657</v>
      </c>
      <c r="AK378" t="s">
        <v>287</v>
      </c>
      <c r="AL378" t="s">
        <v>288</v>
      </c>
    </row>
    <row r="379" spans="1:38" x14ac:dyDescent="0.2">
      <c r="A379">
        <v>45</v>
      </c>
      <c r="B379" t="s">
        <v>47</v>
      </c>
      <c r="D379" t="s">
        <v>1735</v>
      </c>
      <c r="E379" t="s">
        <v>220</v>
      </c>
      <c r="F379" t="s">
        <v>1736</v>
      </c>
      <c r="G379" t="s">
        <v>1737</v>
      </c>
      <c r="H379" t="s">
        <v>27</v>
      </c>
      <c r="I379" t="s">
        <v>303</v>
      </c>
      <c r="J379" s="91">
        <v>-1322161.8999999999</v>
      </c>
      <c r="K379" s="91">
        <v>-1322161.8999999999</v>
      </c>
      <c r="L379" s="91">
        <v>-1322161.8999999999</v>
      </c>
      <c r="M379" t="s">
        <v>278</v>
      </c>
      <c r="N379" t="s">
        <v>278</v>
      </c>
      <c r="O379" t="s">
        <v>1738</v>
      </c>
      <c r="P379" t="s">
        <v>280</v>
      </c>
      <c r="Q379" t="s">
        <v>281</v>
      </c>
      <c r="R379" t="s">
        <v>282</v>
      </c>
      <c r="S379" t="s">
        <v>283</v>
      </c>
      <c r="T379" t="s">
        <v>313</v>
      </c>
      <c r="U379" t="s">
        <v>1739</v>
      </c>
      <c r="V379">
        <v>101</v>
      </c>
      <c r="W379">
        <v>11015</v>
      </c>
      <c r="X379">
        <v>245011</v>
      </c>
      <c r="Y379">
        <v>9999</v>
      </c>
      <c r="Z379">
        <v>999</v>
      </c>
      <c r="AA379">
        <v>999</v>
      </c>
      <c r="AB379">
        <v>9999</v>
      </c>
      <c r="AC379">
        <v>9999</v>
      </c>
      <c r="AD379" t="s">
        <v>1</v>
      </c>
      <c r="AE379" t="s">
        <v>227</v>
      </c>
      <c r="AF379" t="s">
        <v>227</v>
      </c>
      <c r="AG379" t="s">
        <v>286</v>
      </c>
      <c r="AI379" t="s">
        <v>227</v>
      </c>
      <c r="AJ379">
        <v>45657</v>
      </c>
      <c r="AK379" t="s">
        <v>287</v>
      </c>
      <c r="AL379" t="s">
        <v>288</v>
      </c>
    </row>
    <row r="380" spans="1:38" x14ac:dyDescent="0.2">
      <c r="E380" t="s">
        <v>220</v>
      </c>
      <c r="F380" t="s">
        <v>1740</v>
      </c>
      <c r="G380" t="s">
        <v>1741</v>
      </c>
      <c r="H380" t="s">
        <v>27</v>
      </c>
      <c r="I380" t="s">
        <v>311</v>
      </c>
      <c r="J380" s="91">
        <v>1322161.8999999999</v>
      </c>
      <c r="K380" s="91">
        <v>1322161.8999999999</v>
      </c>
      <c r="L380" s="91">
        <v>1322161.8999999999</v>
      </c>
      <c r="M380" t="s">
        <v>278</v>
      </c>
      <c r="N380" t="s">
        <v>278</v>
      </c>
      <c r="O380" t="s">
        <v>1742</v>
      </c>
      <c r="P380" t="s">
        <v>280</v>
      </c>
      <c r="Q380" t="s">
        <v>281</v>
      </c>
      <c r="R380" t="s">
        <v>282</v>
      </c>
      <c r="S380" t="s">
        <v>283</v>
      </c>
      <c r="T380" t="s">
        <v>313</v>
      </c>
      <c r="U380" t="s">
        <v>1739</v>
      </c>
      <c r="V380">
        <v>101</v>
      </c>
      <c r="W380">
        <v>11015</v>
      </c>
      <c r="X380">
        <v>245011</v>
      </c>
      <c r="Y380">
        <v>9999</v>
      </c>
      <c r="Z380">
        <v>999</v>
      </c>
      <c r="AA380">
        <v>999</v>
      </c>
      <c r="AB380">
        <v>9999</v>
      </c>
      <c r="AC380">
        <v>9999</v>
      </c>
      <c r="AD380" t="s">
        <v>1</v>
      </c>
      <c r="AE380" t="s">
        <v>227</v>
      </c>
      <c r="AF380" t="s">
        <v>227</v>
      </c>
      <c r="AG380" t="s">
        <v>286</v>
      </c>
      <c r="AI380" t="s">
        <v>227</v>
      </c>
      <c r="AJ380">
        <v>45664</v>
      </c>
      <c r="AK380" t="s">
        <v>287</v>
      </c>
      <c r="AL380" t="s">
        <v>288</v>
      </c>
    </row>
    <row r="381" spans="1:38" x14ac:dyDescent="0.2">
      <c r="A381">
        <v>45</v>
      </c>
      <c r="B381" t="s">
        <v>47</v>
      </c>
      <c r="D381" t="s">
        <v>1743</v>
      </c>
      <c r="E381" t="s">
        <v>68</v>
      </c>
      <c r="F381" t="s">
        <v>1744</v>
      </c>
      <c r="G381" t="s">
        <v>1745</v>
      </c>
      <c r="H381" t="s">
        <v>17</v>
      </c>
      <c r="I381" t="s">
        <v>303</v>
      </c>
      <c r="J381" s="91">
        <v>1043369.75</v>
      </c>
      <c r="K381" s="91">
        <v>1043369.75</v>
      </c>
      <c r="L381" s="91">
        <v>1043369.75</v>
      </c>
      <c r="M381" t="s">
        <v>278</v>
      </c>
      <c r="N381" t="s">
        <v>278</v>
      </c>
      <c r="O381" t="s">
        <v>1743</v>
      </c>
      <c r="P381" t="s">
        <v>280</v>
      </c>
      <c r="Q381" t="s">
        <v>281</v>
      </c>
      <c r="R381" t="s">
        <v>282</v>
      </c>
      <c r="S381" t="s">
        <v>283</v>
      </c>
      <c r="T381" t="s">
        <v>284</v>
      </c>
      <c r="U381" t="s">
        <v>547</v>
      </c>
      <c r="V381">
        <v>101</v>
      </c>
      <c r="W381">
        <v>12022</v>
      </c>
      <c r="X381">
        <v>245011</v>
      </c>
      <c r="Y381">
        <v>9999</v>
      </c>
      <c r="Z381">
        <v>999</v>
      </c>
      <c r="AA381">
        <v>999</v>
      </c>
      <c r="AB381">
        <v>9999</v>
      </c>
      <c r="AC381">
        <v>9999</v>
      </c>
      <c r="AD381" t="s">
        <v>1</v>
      </c>
      <c r="AE381" t="s">
        <v>227</v>
      </c>
      <c r="AF381" t="s">
        <v>227</v>
      </c>
      <c r="AG381" t="s">
        <v>286</v>
      </c>
      <c r="AI381" t="s">
        <v>227</v>
      </c>
      <c r="AJ381">
        <v>45657</v>
      </c>
      <c r="AK381" t="s">
        <v>287</v>
      </c>
      <c r="AL381" t="s">
        <v>288</v>
      </c>
    </row>
    <row r="382" spans="1:38" x14ac:dyDescent="0.2">
      <c r="E382" t="s">
        <v>68</v>
      </c>
      <c r="F382" t="s">
        <v>1746</v>
      </c>
      <c r="G382" t="s">
        <v>1747</v>
      </c>
      <c r="H382" t="s">
        <v>20</v>
      </c>
      <c r="I382" t="s">
        <v>311</v>
      </c>
      <c r="J382" s="91">
        <v>-1043369.75</v>
      </c>
      <c r="K382" s="91">
        <v>-1043369.75</v>
      </c>
      <c r="L382" s="91">
        <v>-1043369.75</v>
      </c>
      <c r="M382" t="s">
        <v>278</v>
      </c>
      <c r="N382" t="s">
        <v>278</v>
      </c>
      <c r="O382" t="s">
        <v>1748</v>
      </c>
      <c r="P382" t="s">
        <v>280</v>
      </c>
      <c r="Q382" t="s">
        <v>281</v>
      </c>
      <c r="R382" t="s">
        <v>282</v>
      </c>
      <c r="S382" t="s">
        <v>283</v>
      </c>
      <c r="T382" t="s">
        <v>284</v>
      </c>
      <c r="U382" t="s">
        <v>547</v>
      </c>
      <c r="V382">
        <v>101</v>
      </c>
      <c r="W382">
        <v>12022</v>
      </c>
      <c r="X382">
        <v>245011</v>
      </c>
      <c r="Y382">
        <v>9999</v>
      </c>
      <c r="Z382">
        <v>999</v>
      </c>
      <c r="AA382">
        <v>999</v>
      </c>
      <c r="AB382">
        <v>9999</v>
      </c>
      <c r="AC382">
        <v>9999</v>
      </c>
      <c r="AD382" t="s">
        <v>1</v>
      </c>
      <c r="AE382" t="s">
        <v>227</v>
      </c>
      <c r="AF382" t="s">
        <v>227</v>
      </c>
      <c r="AG382" t="s">
        <v>286</v>
      </c>
      <c r="AI382" t="s">
        <v>227</v>
      </c>
      <c r="AJ382">
        <v>45678</v>
      </c>
      <c r="AK382" t="s">
        <v>287</v>
      </c>
      <c r="AL382" t="s">
        <v>288</v>
      </c>
    </row>
    <row r="383" spans="1:38" x14ac:dyDescent="0.2">
      <c r="A383">
        <v>45</v>
      </c>
      <c r="B383" t="s">
        <v>47</v>
      </c>
      <c r="D383" t="s">
        <v>1749</v>
      </c>
      <c r="E383" t="s">
        <v>224</v>
      </c>
      <c r="F383" t="s">
        <v>1750</v>
      </c>
      <c r="G383" t="s">
        <v>1751</v>
      </c>
      <c r="H383" t="s">
        <v>223</v>
      </c>
      <c r="I383" t="s">
        <v>303</v>
      </c>
      <c r="J383" s="91">
        <v>-50000</v>
      </c>
      <c r="K383" s="91">
        <v>-50000</v>
      </c>
      <c r="L383" s="91">
        <v>-50000</v>
      </c>
      <c r="M383" t="s">
        <v>278</v>
      </c>
      <c r="N383" t="s">
        <v>278</v>
      </c>
      <c r="O383" t="s">
        <v>1752</v>
      </c>
      <c r="P383" t="s">
        <v>280</v>
      </c>
      <c r="Q383" t="s">
        <v>281</v>
      </c>
      <c r="R383" t="s">
        <v>282</v>
      </c>
      <c r="S383" t="s">
        <v>283</v>
      </c>
      <c r="T383" t="s">
        <v>313</v>
      </c>
      <c r="U383" t="s">
        <v>1529</v>
      </c>
      <c r="V383">
        <v>101</v>
      </c>
      <c r="W383">
        <v>11001</v>
      </c>
      <c r="X383">
        <v>245011</v>
      </c>
      <c r="Y383">
        <v>9999</v>
      </c>
      <c r="Z383">
        <v>950</v>
      </c>
      <c r="AA383">
        <v>999</v>
      </c>
      <c r="AB383">
        <v>9999</v>
      </c>
      <c r="AC383">
        <v>9999</v>
      </c>
      <c r="AD383" t="s">
        <v>1</v>
      </c>
      <c r="AE383" t="s">
        <v>1664</v>
      </c>
      <c r="AF383" t="s">
        <v>227</v>
      </c>
      <c r="AG383" t="s">
        <v>286</v>
      </c>
      <c r="AI383" t="s">
        <v>227</v>
      </c>
      <c r="AJ383">
        <v>45657</v>
      </c>
      <c r="AK383" t="s">
        <v>287</v>
      </c>
      <c r="AL383" t="s">
        <v>288</v>
      </c>
    </row>
    <row r="384" spans="1:38" x14ac:dyDescent="0.2">
      <c r="E384" t="s">
        <v>224</v>
      </c>
      <c r="F384" t="s">
        <v>1753</v>
      </c>
      <c r="G384" t="s">
        <v>1754</v>
      </c>
      <c r="H384" t="s">
        <v>223</v>
      </c>
      <c r="I384" t="s">
        <v>311</v>
      </c>
      <c r="J384" s="91">
        <v>50000</v>
      </c>
      <c r="K384" s="91">
        <v>50000</v>
      </c>
      <c r="L384" s="91">
        <v>50000</v>
      </c>
      <c r="M384" t="s">
        <v>278</v>
      </c>
      <c r="N384" t="s">
        <v>278</v>
      </c>
      <c r="O384" t="s">
        <v>1755</v>
      </c>
      <c r="P384" t="s">
        <v>280</v>
      </c>
      <c r="Q384" t="s">
        <v>281</v>
      </c>
      <c r="R384" t="s">
        <v>282</v>
      </c>
      <c r="S384" t="s">
        <v>283</v>
      </c>
      <c r="T384" t="s">
        <v>313</v>
      </c>
      <c r="U384" t="s">
        <v>1529</v>
      </c>
      <c r="V384">
        <v>101</v>
      </c>
      <c r="W384">
        <v>11001</v>
      </c>
      <c r="X384">
        <v>245011</v>
      </c>
      <c r="Y384">
        <v>9999</v>
      </c>
      <c r="Z384">
        <v>950</v>
      </c>
      <c r="AA384">
        <v>999</v>
      </c>
      <c r="AB384">
        <v>9999</v>
      </c>
      <c r="AC384">
        <v>9999</v>
      </c>
      <c r="AD384" t="s">
        <v>1</v>
      </c>
      <c r="AE384" t="s">
        <v>1664</v>
      </c>
      <c r="AF384" t="s">
        <v>227</v>
      </c>
      <c r="AG384" t="s">
        <v>286</v>
      </c>
      <c r="AI384" t="s">
        <v>227</v>
      </c>
      <c r="AJ384">
        <v>45660</v>
      </c>
      <c r="AK384" t="s">
        <v>287</v>
      </c>
      <c r="AL384" t="s">
        <v>288</v>
      </c>
    </row>
    <row r="385" spans="1:38" x14ac:dyDescent="0.2">
      <c r="A385">
        <v>45</v>
      </c>
      <c r="B385" t="s">
        <v>47</v>
      </c>
      <c r="D385" t="s">
        <v>1756</v>
      </c>
      <c r="E385" t="s">
        <v>8</v>
      </c>
      <c r="F385" t="s">
        <v>1757</v>
      </c>
      <c r="G385" t="s">
        <v>1757</v>
      </c>
      <c r="H385" t="s">
        <v>16</v>
      </c>
      <c r="I385" t="s">
        <v>303</v>
      </c>
      <c r="J385" s="91">
        <v>-38054.5</v>
      </c>
      <c r="K385" s="91">
        <v>-38054.5</v>
      </c>
      <c r="L385" s="91">
        <v>-38054.5</v>
      </c>
      <c r="M385" t="s">
        <v>278</v>
      </c>
      <c r="N385" t="s">
        <v>278</v>
      </c>
      <c r="O385" t="s">
        <v>1656</v>
      </c>
      <c r="P385" t="s">
        <v>1758</v>
      </c>
      <c r="Q385" t="s">
        <v>281</v>
      </c>
      <c r="R385" t="s">
        <v>282</v>
      </c>
      <c r="S385" t="s">
        <v>294</v>
      </c>
      <c r="T385" t="s">
        <v>295</v>
      </c>
      <c r="U385" t="s">
        <v>296</v>
      </c>
      <c r="V385">
        <v>101</v>
      </c>
      <c r="W385">
        <v>13008</v>
      </c>
      <c r="X385">
        <v>245011</v>
      </c>
      <c r="Y385">
        <v>9999</v>
      </c>
      <c r="Z385">
        <v>999</v>
      </c>
      <c r="AA385">
        <v>999</v>
      </c>
      <c r="AB385">
        <v>9999</v>
      </c>
      <c r="AC385">
        <v>9999</v>
      </c>
      <c r="AD385" t="s">
        <v>1</v>
      </c>
      <c r="AE385" t="s">
        <v>227</v>
      </c>
      <c r="AF385" t="s">
        <v>227</v>
      </c>
      <c r="AG385" t="s">
        <v>286</v>
      </c>
      <c r="AI385" t="s">
        <v>227</v>
      </c>
      <c r="AJ385">
        <v>45657</v>
      </c>
      <c r="AK385" t="s">
        <v>1728</v>
      </c>
      <c r="AL385" t="s">
        <v>288</v>
      </c>
    </row>
    <row r="386" spans="1:38" x14ac:dyDescent="0.2">
      <c r="E386" t="s">
        <v>8</v>
      </c>
      <c r="F386" t="s">
        <v>1759</v>
      </c>
      <c r="G386" t="s">
        <v>1760</v>
      </c>
      <c r="H386" t="s">
        <v>227</v>
      </c>
      <c r="I386" t="s">
        <v>311</v>
      </c>
      <c r="J386" s="91">
        <v>38054.5</v>
      </c>
      <c r="K386" s="91">
        <v>38054.5</v>
      </c>
      <c r="L386" s="91">
        <v>38054.5</v>
      </c>
      <c r="M386" t="s">
        <v>278</v>
      </c>
      <c r="N386" t="s">
        <v>278</v>
      </c>
      <c r="O386" t="s">
        <v>1761</v>
      </c>
      <c r="P386" t="s">
        <v>1758</v>
      </c>
      <c r="Q386" t="s">
        <v>281</v>
      </c>
      <c r="R386" t="s">
        <v>282</v>
      </c>
      <c r="S386" t="s">
        <v>294</v>
      </c>
      <c r="T386" t="s">
        <v>295</v>
      </c>
      <c r="U386" t="s">
        <v>296</v>
      </c>
      <c r="V386">
        <v>101</v>
      </c>
      <c r="W386">
        <v>13008</v>
      </c>
      <c r="X386">
        <v>245011</v>
      </c>
      <c r="Y386">
        <v>9999</v>
      </c>
      <c r="Z386">
        <v>999</v>
      </c>
      <c r="AA386">
        <v>999</v>
      </c>
      <c r="AB386">
        <v>9999</v>
      </c>
      <c r="AC386">
        <v>9999</v>
      </c>
      <c r="AD386" t="s">
        <v>1</v>
      </c>
      <c r="AE386" t="s">
        <v>227</v>
      </c>
      <c r="AF386" t="s">
        <v>227</v>
      </c>
      <c r="AG386" t="s">
        <v>286</v>
      </c>
      <c r="AI386" t="s">
        <v>227</v>
      </c>
      <c r="AJ386">
        <v>45664</v>
      </c>
      <c r="AK386" t="s">
        <v>1728</v>
      </c>
      <c r="AL386" t="s">
        <v>288</v>
      </c>
    </row>
    <row r="387" spans="1:38" x14ac:dyDescent="0.2">
      <c r="A387">
        <v>72</v>
      </c>
      <c r="B387" t="s">
        <v>48</v>
      </c>
      <c r="D387" t="s">
        <v>1762</v>
      </c>
      <c r="E387" t="s">
        <v>32</v>
      </c>
      <c r="F387" t="s">
        <v>1763</v>
      </c>
      <c r="G387" t="s">
        <v>1764</v>
      </c>
      <c r="H387" t="s">
        <v>19</v>
      </c>
      <c r="I387" t="s">
        <v>303</v>
      </c>
      <c r="J387" s="91">
        <v>-1126789.74</v>
      </c>
      <c r="K387" s="91">
        <v>-1126789.74</v>
      </c>
      <c r="L387" s="91">
        <v>-1126789.74</v>
      </c>
      <c r="M387" t="s">
        <v>278</v>
      </c>
      <c r="N387" t="s">
        <v>278</v>
      </c>
      <c r="O387" t="s">
        <v>1765</v>
      </c>
      <c r="P387" t="s">
        <v>280</v>
      </c>
      <c r="Q387" t="s">
        <v>281</v>
      </c>
      <c r="R387" t="s">
        <v>282</v>
      </c>
      <c r="S387" t="s">
        <v>283</v>
      </c>
      <c r="T387" t="s">
        <v>313</v>
      </c>
      <c r="U387" t="s">
        <v>381</v>
      </c>
      <c r="V387">
        <v>101</v>
      </c>
      <c r="W387">
        <v>12015</v>
      </c>
      <c r="X387">
        <v>245011</v>
      </c>
      <c r="Y387">
        <v>9999</v>
      </c>
      <c r="Z387">
        <v>999</v>
      </c>
      <c r="AA387">
        <v>999</v>
      </c>
      <c r="AB387">
        <v>9999</v>
      </c>
      <c r="AC387">
        <v>9999</v>
      </c>
      <c r="AD387" t="s">
        <v>1</v>
      </c>
      <c r="AE387" t="s">
        <v>1766</v>
      </c>
      <c r="AF387" t="s">
        <v>227</v>
      </c>
      <c r="AG387" t="s">
        <v>286</v>
      </c>
      <c r="AI387" t="s">
        <v>227</v>
      </c>
      <c r="AJ387">
        <v>45657</v>
      </c>
      <c r="AK387" t="s">
        <v>315</v>
      </c>
      <c r="AL387" t="s">
        <v>288</v>
      </c>
    </row>
    <row r="388" spans="1:38" x14ac:dyDescent="0.2">
      <c r="A388">
        <v>72</v>
      </c>
      <c r="B388" t="s">
        <v>48</v>
      </c>
      <c r="D388" t="s">
        <v>1762</v>
      </c>
      <c r="E388" t="s">
        <v>32</v>
      </c>
      <c r="F388" t="s">
        <v>1763</v>
      </c>
      <c r="G388" t="s">
        <v>1764</v>
      </c>
      <c r="H388" t="s">
        <v>19</v>
      </c>
      <c r="I388" t="s">
        <v>303</v>
      </c>
      <c r="J388" s="91">
        <v>-699980.41</v>
      </c>
      <c r="K388" s="91">
        <v>-699980.41</v>
      </c>
      <c r="L388" s="91">
        <v>-699980.41</v>
      </c>
      <c r="M388" t="s">
        <v>278</v>
      </c>
      <c r="N388" t="s">
        <v>278</v>
      </c>
      <c r="O388" t="s">
        <v>1765</v>
      </c>
      <c r="P388" t="s">
        <v>280</v>
      </c>
      <c r="Q388" t="s">
        <v>281</v>
      </c>
      <c r="R388" t="s">
        <v>282</v>
      </c>
      <c r="S388" t="s">
        <v>283</v>
      </c>
      <c r="T388" t="s">
        <v>313</v>
      </c>
      <c r="U388" t="s">
        <v>381</v>
      </c>
      <c r="V388">
        <v>101</v>
      </c>
      <c r="W388">
        <v>12015</v>
      </c>
      <c r="X388">
        <v>245011</v>
      </c>
      <c r="Y388">
        <v>9999</v>
      </c>
      <c r="Z388">
        <v>999</v>
      </c>
      <c r="AA388">
        <v>999</v>
      </c>
      <c r="AB388">
        <v>9999</v>
      </c>
      <c r="AC388">
        <v>9999</v>
      </c>
      <c r="AD388" t="s">
        <v>1</v>
      </c>
      <c r="AE388" t="s">
        <v>1766</v>
      </c>
      <c r="AF388" t="s">
        <v>227</v>
      </c>
      <c r="AG388" t="s">
        <v>286</v>
      </c>
      <c r="AI388" t="s">
        <v>227</v>
      </c>
      <c r="AJ388">
        <v>45657</v>
      </c>
      <c r="AK388" t="s">
        <v>315</v>
      </c>
      <c r="AL388" t="s">
        <v>288</v>
      </c>
    </row>
    <row r="389" spans="1:38" x14ac:dyDescent="0.2">
      <c r="A389">
        <v>72</v>
      </c>
      <c r="B389" t="s">
        <v>48</v>
      </c>
      <c r="D389" t="s">
        <v>1762</v>
      </c>
      <c r="E389" t="s">
        <v>32</v>
      </c>
      <c r="F389" t="s">
        <v>1763</v>
      </c>
      <c r="G389" t="s">
        <v>1764</v>
      </c>
      <c r="H389" t="s">
        <v>19</v>
      </c>
      <c r="I389" t="s">
        <v>303</v>
      </c>
      <c r="J389" s="91">
        <v>629429.01</v>
      </c>
      <c r="K389" s="91">
        <v>629429.01</v>
      </c>
      <c r="L389" s="91">
        <v>629429.01</v>
      </c>
      <c r="M389" t="s">
        <v>278</v>
      </c>
      <c r="N389" t="s">
        <v>278</v>
      </c>
      <c r="O389" t="s">
        <v>1765</v>
      </c>
      <c r="P389" t="s">
        <v>280</v>
      </c>
      <c r="Q389" t="s">
        <v>281</v>
      </c>
      <c r="R389" t="s">
        <v>282</v>
      </c>
      <c r="S389" t="s">
        <v>283</v>
      </c>
      <c r="T389" t="s">
        <v>313</v>
      </c>
      <c r="U389" t="s">
        <v>381</v>
      </c>
      <c r="V389">
        <v>101</v>
      </c>
      <c r="W389">
        <v>12015</v>
      </c>
      <c r="X389">
        <v>245011</v>
      </c>
      <c r="Y389">
        <v>9999</v>
      </c>
      <c r="Z389">
        <v>999</v>
      </c>
      <c r="AA389">
        <v>999</v>
      </c>
      <c r="AB389">
        <v>9999</v>
      </c>
      <c r="AC389">
        <v>9999</v>
      </c>
      <c r="AD389" t="s">
        <v>1</v>
      </c>
      <c r="AE389" t="s">
        <v>1766</v>
      </c>
      <c r="AF389" t="s">
        <v>227</v>
      </c>
      <c r="AG389" t="s">
        <v>286</v>
      </c>
      <c r="AI389" t="s">
        <v>227</v>
      </c>
      <c r="AJ389">
        <v>45657</v>
      </c>
      <c r="AK389" t="s">
        <v>315</v>
      </c>
      <c r="AL389" t="s">
        <v>288</v>
      </c>
    </row>
    <row r="390" spans="1:38" x14ac:dyDescent="0.2">
      <c r="A390">
        <v>72</v>
      </c>
      <c r="B390" t="s">
        <v>48</v>
      </c>
      <c r="D390" t="s">
        <v>1762</v>
      </c>
      <c r="E390" t="s">
        <v>32</v>
      </c>
      <c r="F390" t="s">
        <v>1763</v>
      </c>
      <c r="G390" t="s">
        <v>1764</v>
      </c>
      <c r="H390" t="s">
        <v>19</v>
      </c>
      <c r="I390" t="s">
        <v>303</v>
      </c>
      <c r="J390" s="91">
        <v>245963.65</v>
      </c>
      <c r="K390" s="91">
        <v>245963.65</v>
      </c>
      <c r="L390" s="91">
        <v>245963.65</v>
      </c>
      <c r="M390" t="s">
        <v>278</v>
      </c>
      <c r="N390" t="s">
        <v>278</v>
      </c>
      <c r="O390" t="s">
        <v>1765</v>
      </c>
      <c r="P390" t="s">
        <v>280</v>
      </c>
      <c r="Q390" t="s">
        <v>281</v>
      </c>
      <c r="R390" t="s">
        <v>282</v>
      </c>
      <c r="S390" t="s">
        <v>283</v>
      </c>
      <c r="T390" t="s">
        <v>313</v>
      </c>
      <c r="U390" t="s">
        <v>381</v>
      </c>
      <c r="V390">
        <v>101</v>
      </c>
      <c r="W390">
        <v>12015</v>
      </c>
      <c r="X390">
        <v>245011</v>
      </c>
      <c r="Y390">
        <v>9999</v>
      </c>
      <c r="Z390">
        <v>999</v>
      </c>
      <c r="AA390">
        <v>999</v>
      </c>
      <c r="AB390">
        <v>9999</v>
      </c>
      <c r="AC390">
        <v>9999</v>
      </c>
      <c r="AD390" t="s">
        <v>1</v>
      </c>
      <c r="AE390" t="s">
        <v>1766</v>
      </c>
      <c r="AF390" t="s">
        <v>227</v>
      </c>
      <c r="AG390" t="s">
        <v>286</v>
      </c>
      <c r="AI390" t="s">
        <v>227</v>
      </c>
      <c r="AJ390">
        <v>45657</v>
      </c>
      <c r="AK390" t="s">
        <v>315</v>
      </c>
      <c r="AL390" t="s">
        <v>288</v>
      </c>
    </row>
    <row r="391" spans="1:38" x14ac:dyDescent="0.2">
      <c r="A391">
        <v>41</v>
      </c>
      <c r="B391" t="s">
        <v>47</v>
      </c>
      <c r="D391" t="s">
        <v>1762</v>
      </c>
      <c r="E391" t="s">
        <v>32</v>
      </c>
      <c r="F391" t="s">
        <v>1767</v>
      </c>
      <c r="G391" t="s">
        <v>1768</v>
      </c>
      <c r="H391" t="s">
        <v>19</v>
      </c>
      <c r="I391" t="s">
        <v>311</v>
      </c>
      <c r="J391" s="91">
        <v>1150935.04</v>
      </c>
      <c r="K391" s="91">
        <v>1150935.04</v>
      </c>
      <c r="L391" s="91">
        <v>1150935.04</v>
      </c>
      <c r="M391" t="s">
        <v>278</v>
      </c>
      <c r="N391" t="s">
        <v>278</v>
      </c>
      <c r="O391" t="s">
        <v>1769</v>
      </c>
      <c r="P391" t="s">
        <v>280</v>
      </c>
      <c r="Q391" t="s">
        <v>281</v>
      </c>
      <c r="R391" t="s">
        <v>282</v>
      </c>
      <c r="S391" t="s">
        <v>283</v>
      </c>
      <c r="T391" t="s">
        <v>313</v>
      </c>
      <c r="U391" t="s">
        <v>381</v>
      </c>
      <c r="V391">
        <v>101</v>
      </c>
      <c r="W391">
        <v>12015</v>
      </c>
      <c r="X391">
        <v>245011</v>
      </c>
      <c r="Y391">
        <v>9999</v>
      </c>
      <c r="Z391">
        <v>999</v>
      </c>
      <c r="AA391">
        <v>999</v>
      </c>
      <c r="AB391">
        <v>9999</v>
      </c>
      <c r="AC391">
        <v>9999</v>
      </c>
      <c r="AD391" t="s">
        <v>1</v>
      </c>
      <c r="AE391" t="s">
        <v>1766</v>
      </c>
      <c r="AF391" t="s">
        <v>227</v>
      </c>
      <c r="AG391" t="s">
        <v>286</v>
      </c>
      <c r="AI391" t="s">
        <v>227</v>
      </c>
      <c r="AJ391">
        <v>45688</v>
      </c>
      <c r="AK391" t="s">
        <v>315</v>
      </c>
      <c r="AL391" t="s">
        <v>288</v>
      </c>
    </row>
    <row r="392" spans="1:38" x14ac:dyDescent="0.2">
      <c r="A392">
        <v>41</v>
      </c>
      <c r="B392" t="s">
        <v>47</v>
      </c>
      <c r="D392" t="s">
        <v>1762</v>
      </c>
      <c r="E392" t="s">
        <v>32</v>
      </c>
      <c r="F392" t="s">
        <v>1767</v>
      </c>
      <c r="G392" t="s">
        <v>1768</v>
      </c>
      <c r="H392" t="s">
        <v>19</v>
      </c>
      <c r="I392" t="s">
        <v>311</v>
      </c>
      <c r="J392" s="91">
        <v>1766380.67</v>
      </c>
      <c r="K392" s="91">
        <v>1766380.67</v>
      </c>
      <c r="L392" s="91">
        <v>1766380.67</v>
      </c>
      <c r="M392" t="s">
        <v>278</v>
      </c>
      <c r="N392" t="s">
        <v>278</v>
      </c>
      <c r="O392" t="s">
        <v>1769</v>
      </c>
      <c r="P392" t="s">
        <v>280</v>
      </c>
      <c r="Q392" t="s">
        <v>281</v>
      </c>
      <c r="R392" t="s">
        <v>282</v>
      </c>
      <c r="S392" t="s">
        <v>283</v>
      </c>
      <c r="T392" t="s">
        <v>313</v>
      </c>
      <c r="U392" t="s">
        <v>381</v>
      </c>
      <c r="V392">
        <v>101</v>
      </c>
      <c r="W392">
        <v>12015</v>
      </c>
      <c r="X392">
        <v>245011</v>
      </c>
      <c r="Y392">
        <v>9999</v>
      </c>
      <c r="Z392">
        <v>999</v>
      </c>
      <c r="AA392">
        <v>999</v>
      </c>
      <c r="AB392">
        <v>9999</v>
      </c>
      <c r="AC392">
        <v>9999</v>
      </c>
      <c r="AD392" t="s">
        <v>1</v>
      </c>
      <c r="AE392" t="s">
        <v>1766</v>
      </c>
      <c r="AF392" t="s">
        <v>227</v>
      </c>
      <c r="AG392" t="s">
        <v>286</v>
      </c>
      <c r="AI392" t="s">
        <v>227</v>
      </c>
      <c r="AJ392">
        <v>45688</v>
      </c>
      <c r="AK392" t="s">
        <v>315</v>
      </c>
      <c r="AL392" t="s">
        <v>288</v>
      </c>
    </row>
    <row r="393" spans="1:38" x14ac:dyDescent="0.2">
      <c r="A393">
        <v>41</v>
      </c>
      <c r="B393" t="s">
        <v>47</v>
      </c>
      <c r="D393" t="s">
        <v>1762</v>
      </c>
      <c r="E393" t="s">
        <v>32</v>
      </c>
      <c r="F393" t="s">
        <v>1767</v>
      </c>
      <c r="G393" t="s">
        <v>1768</v>
      </c>
      <c r="H393" t="s">
        <v>19</v>
      </c>
      <c r="I393" t="s">
        <v>311</v>
      </c>
      <c r="J393" s="91">
        <v>89884.95</v>
      </c>
      <c r="K393" s="91">
        <v>89884.95</v>
      </c>
      <c r="L393" s="91">
        <v>89884.95</v>
      </c>
      <c r="M393" t="s">
        <v>278</v>
      </c>
      <c r="N393" t="s">
        <v>278</v>
      </c>
      <c r="O393" t="s">
        <v>1769</v>
      </c>
      <c r="P393" t="s">
        <v>280</v>
      </c>
      <c r="Q393" t="s">
        <v>281</v>
      </c>
      <c r="R393" t="s">
        <v>282</v>
      </c>
      <c r="S393" t="s">
        <v>283</v>
      </c>
      <c r="T393" t="s">
        <v>313</v>
      </c>
      <c r="U393" t="s">
        <v>381</v>
      </c>
      <c r="V393">
        <v>101</v>
      </c>
      <c r="W393">
        <v>12015</v>
      </c>
      <c r="X393">
        <v>245011</v>
      </c>
      <c r="Y393">
        <v>9999</v>
      </c>
      <c r="Z393">
        <v>999</v>
      </c>
      <c r="AA393">
        <v>999</v>
      </c>
      <c r="AB393">
        <v>9999</v>
      </c>
      <c r="AC393">
        <v>9999</v>
      </c>
      <c r="AD393" t="s">
        <v>1</v>
      </c>
      <c r="AE393" t="s">
        <v>1766</v>
      </c>
      <c r="AF393" t="s">
        <v>227</v>
      </c>
      <c r="AG393" t="s">
        <v>286</v>
      </c>
      <c r="AI393" t="s">
        <v>227</v>
      </c>
      <c r="AJ393">
        <v>45688</v>
      </c>
      <c r="AK393" t="s">
        <v>315</v>
      </c>
      <c r="AL393" t="s">
        <v>288</v>
      </c>
    </row>
    <row r="394" spans="1:38" x14ac:dyDescent="0.2">
      <c r="A394">
        <v>41</v>
      </c>
      <c r="B394" t="s">
        <v>47</v>
      </c>
      <c r="D394" t="s">
        <v>1762</v>
      </c>
      <c r="E394" t="s">
        <v>32</v>
      </c>
      <c r="F394" t="s">
        <v>1767</v>
      </c>
      <c r="G394" t="s">
        <v>1768</v>
      </c>
      <c r="H394" t="s">
        <v>19</v>
      </c>
      <c r="I394" t="s">
        <v>311</v>
      </c>
      <c r="J394" s="91">
        <v>542429.36</v>
      </c>
      <c r="K394" s="91">
        <v>542429.36</v>
      </c>
      <c r="L394" s="91">
        <v>542429.36</v>
      </c>
      <c r="M394" t="s">
        <v>278</v>
      </c>
      <c r="N394" t="s">
        <v>278</v>
      </c>
      <c r="O394" t="s">
        <v>1769</v>
      </c>
      <c r="P394" t="s">
        <v>280</v>
      </c>
      <c r="Q394" t="s">
        <v>281</v>
      </c>
      <c r="R394" t="s">
        <v>282</v>
      </c>
      <c r="S394" t="s">
        <v>283</v>
      </c>
      <c r="T394" t="s">
        <v>313</v>
      </c>
      <c r="U394" t="s">
        <v>381</v>
      </c>
      <c r="V394">
        <v>101</v>
      </c>
      <c r="W394">
        <v>12015</v>
      </c>
      <c r="X394">
        <v>245011</v>
      </c>
      <c r="Y394">
        <v>9999</v>
      </c>
      <c r="Z394">
        <v>999</v>
      </c>
      <c r="AA394">
        <v>999</v>
      </c>
      <c r="AB394">
        <v>9999</v>
      </c>
      <c r="AC394">
        <v>9999</v>
      </c>
      <c r="AD394" t="s">
        <v>1</v>
      </c>
      <c r="AE394" t="s">
        <v>1766</v>
      </c>
      <c r="AF394" t="s">
        <v>227</v>
      </c>
      <c r="AG394" t="s">
        <v>286</v>
      </c>
      <c r="AI394" t="s">
        <v>227</v>
      </c>
      <c r="AJ394">
        <v>45688</v>
      </c>
      <c r="AK394" t="s">
        <v>315</v>
      </c>
      <c r="AL394" t="s">
        <v>288</v>
      </c>
    </row>
    <row r="395" spans="1:38" x14ac:dyDescent="0.2">
      <c r="A395">
        <v>41</v>
      </c>
      <c r="B395" t="s">
        <v>47</v>
      </c>
      <c r="D395" t="s">
        <v>1762</v>
      </c>
      <c r="E395" t="s">
        <v>32</v>
      </c>
      <c r="F395" t="s">
        <v>1767</v>
      </c>
      <c r="G395" t="s">
        <v>1768</v>
      </c>
      <c r="H395" t="s">
        <v>19</v>
      </c>
      <c r="I395" t="s">
        <v>311</v>
      </c>
      <c r="J395" s="91">
        <v>375653.34</v>
      </c>
      <c r="K395" s="91">
        <v>375653.34</v>
      </c>
      <c r="L395" s="91">
        <v>375653.34</v>
      </c>
      <c r="M395" t="s">
        <v>278</v>
      </c>
      <c r="N395" t="s">
        <v>278</v>
      </c>
      <c r="O395" t="s">
        <v>1769</v>
      </c>
      <c r="P395" t="s">
        <v>280</v>
      </c>
      <c r="Q395" t="s">
        <v>281</v>
      </c>
      <c r="R395" t="s">
        <v>282</v>
      </c>
      <c r="S395" t="s">
        <v>283</v>
      </c>
      <c r="T395" t="s">
        <v>313</v>
      </c>
      <c r="U395" t="s">
        <v>381</v>
      </c>
      <c r="V395">
        <v>101</v>
      </c>
      <c r="W395">
        <v>12015</v>
      </c>
      <c r="X395">
        <v>245011</v>
      </c>
      <c r="Y395">
        <v>9999</v>
      </c>
      <c r="Z395">
        <v>999</v>
      </c>
      <c r="AA395">
        <v>999</v>
      </c>
      <c r="AB395">
        <v>9999</v>
      </c>
      <c r="AC395">
        <v>9999</v>
      </c>
      <c r="AD395" t="s">
        <v>1</v>
      </c>
      <c r="AE395" t="s">
        <v>1766</v>
      </c>
      <c r="AF395" t="s">
        <v>227</v>
      </c>
      <c r="AG395" t="s">
        <v>286</v>
      </c>
      <c r="AI395" t="s">
        <v>227</v>
      </c>
      <c r="AJ395">
        <v>45688</v>
      </c>
      <c r="AK395" t="s">
        <v>315</v>
      </c>
      <c r="AL395" t="s">
        <v>288</v>
      </c>
    </row>
    <row r="396" spans="1:38" x14ac:dyDescent="0.2">
      <c r="A396">
        <v>41</v>
      </c>
      <c r="B396" t="s">
        <v>47</v>
      </c>
      <c r="D396" t="s">
        <v>1762</v>
      </c>
      <c r="E396" t="s">
        <v>32</v>
      </c>
      <c r="F396" t="s">
        <v>1767</v>
      </c>
      <c r="G396" t="s">
        <v>1768</v>
      </c>
      <c r="H396" t="s">
        <v>19</v>
      </c>
      <c r="I396" t="s">
        <v>311</v>
      </c>
      <c r="J396" s="91">
        <v>924503.29</v>
      </c>
      <c r="K396" s="91">
        <v>924503.29</v>
      </c>
      <c r="L396" s="91">
        <v>924503.29</v>
      </c>
      <c r="M396" t="s">
        <v>278</v>
      </c>
      <c r="N396" t="s">
        <v>278</v>
      </c>
      <c r="O396" t="s">
        <v>1769</v>
      </c>
      <c r="P396" t="s">
        <v>280</v>
      </c>
      <c r="Q396" t="s">
        <v>281</v>
      </c>
      <c r="R396" t="s">
        <v>282</v>
      </c>
      <c r="S396" t="s">
        <v>283</v>
      </c>
      <c r="T396" t="s">
        <v>313</v>
      </c>
      <c r="U396" t="s">
        <v>381</v>
      </c>
      <c r="V396">
        <v>101</v>
      </c>
      <c r="W396">
        <v>12015</v>
      </c>
      <c r="X396">
        <v>245011</v>
      </c>
      <c r="Y396">
        <v>9999</v>
      </c>
      <c r="Z396">
        <v>999</v>
      </c>
      <c r="AA396">
        <v>999</v>
      </c>
      <c r="AB396">
        <v>9999</v>
      </c>
      <c r="AC396">
        <v>9999</v>
      </c>
      <c r="AD396" t="s">
        <v>1</v>
      </c>
      <c r="AE396" t="s">
        <v>1766</v>
      </c>
      <c r="AF396" t="s">
        <v>227</v>
      </c>
      <c r="AG396" t="s">
        <v>286</v>
      </c>
      <c r="AI396" t="s">
        <v>227</v>
      </c>
      <c r="AJ396">
        <v>45688</v>
      </c>
      <c r="AK396" t="s">
        <v>315</v>
      </c>
      <c r="AL396" t="s">
        <v>288</v>
      </c>
    </row>
    <row r="397" spans="1:38" x14ac:dyDescent="0.2">
      <c r="A397">
        <v>17</v>
      </c>
      <c r="B397" t="s">
        <v>46</v>
      </c>
      <c r="E397" t="s">
        <v>32</v>
      </c>
      <c r="F397" t="s">
        <v>1770</v>
      </c>
      <c r="G397" t="s">
        <v>1771</v>
      </c>
      <c r="H397" t="s">
        <v>19</v>
      </c>
      <c r="I397" t="s">
        <v>1772</v>
      </c>
      <c r="J397" s="91">
        <v>-542429.36</v>
      </c>
      <c r="K397" s="91">
        <v>-542429.36</v>
      </c>
      <c r="L397" s="91">
        <v>-542429.36</v>
      </c>
      <c r="M397" t="s">
        <v>278</v>
      </c>
      <c r="N397" t="s">
        <v>278</v>
      </c>
      <c r="O397" t="s">
        <v>1773</v>
      </c>
      <c r="P397" t="s">
        <v>280</v>
      </c>
      <c r="Q397" t="s">
        <v>281</v>
      </c>
      <c r="R397" t="s">
        <v>282</v>
      </c>
      <c r="S397" t="s">
        <v>283</v>
      </c>
      <c r="T397" t="s">
        <v>313</v>
      </c>
      <c r="U397" t="s">
        <v>381</v>
      </c>
      <c r="V397">
        <v>101</v>
      </c>
      <c r="W397">
        <v>12015</v>
      </c>
      <c r="X397">
        <v>245011</v>
      </c>
      <c r="Y397">
        <v>9999</v>
      </c>
      <c r="Z397">
        <v>999</v>
      </c>
      <c r="AA397">
        <v>999</v>
      </c>
      <c r="AB397">
        <v>9999</v>
      </c>
      <c r="AC397">
        <v>9999</v>
      </c>
      <c r="AD397" t="s">
        <v>1</v>
      </c>
      <c r="AE397" t="s">
        <v>1766</v>
      </c>
      <c r="AF397" t="s">
        <v>227</v>
      </c>
      <c r="AG397" t="s">
        <v>286</v>
      </c>
      <c r="AI397" t="s">
        <v>227</v>
      </c>
      <c r="AJ397">
        <v>45712</v>
      </c>
      <c r="AK397" t="s">
        <v>315</v>
      </c>
      <c r="AL397" t="s">
        <v>288</v>
      </c>
    </row>
    <row r="398" spans="1:38" x14ac:dyDescent="0.2">
      <c r="A398">
        <v>17</v>
      </c>
      <c r="B398" t="s">
        <v>46</v>
      </c>
      <c r="E398" t="s">
        <v>32</v>
      </c>
      <c r="F398" t="s">
        <v>1770</v>
      </c>
      <c r="G398" t="s">
        <v>1771</v>
      </c>
      <c r="H398" t="s">
        <v>19</v>
      </c>
      <c r="I398" t="s">
        <v>1772</v>
      </c>
      <c r="J398" s="91">
        <v>-1766380.67</v>
      </c>
      <c r="K398" s="91">
        <v>-1766380.67</v>
      </c>
      <c r="L398" s="91">
        <v>-1766380.67</v>
      </c>
      <c r="M398" t="s">
        <v>278</v>
      </c>
      <c r="N398" t="s">
        <v>278</v>
      </c>
      <c r="O398" t="s">
        <v>1773</v>
      </c>
      <c r="P398" t="s">
        <v>280</v>
      </c>
      <c r="Q398" t="s">
        <v>281</v>
      </c>
      <c r="R398" t="s">
        <v>282</v>
      </c>
      <c r="S398" t="s">
        <v>283</v>
      </c>
      <c r="T398" t="s">
        <v>313</v>
      </c>
      <c r="U398" t="s">
        <v>381</v>
      </c>
      <c r="V398">
        <v>101</v>
      </c>
      <c r="W398">
        <v>12015</v>
      </c>
      <c r="X398">
        <v>245011</v>
      </c>
      <c r="Y398">
        <v>9999</v>
      </c>
      <c r="Z398">
        <v>999</v>
      </c>
      <c r="AA398">
        <v>999</v>
      </c>
      <c r="AB398">
        <v>9999</v>
      </c>
      <c r="AC398">
        <v>9999</v>
      </c>
      <c r="AD398" t="s">
        <v>1</v>
      </c>
      <c r="AE398" t="s">
        <v>1766</v>
      </c>
      <c r="AF398" t="s">
        <v>227</v>
      </c>
      <c r="AG398" t="s">
        <v>286</v>
      </c>
      <c r="AI398" t="s">
        <v>227</v>
      </c>
      <c r="AJ398">
        <v>45712</v>
      </c>
      <c r="AK398" t="s">
        <v>315</v>
      </c>
      <c r="AL398" t="s">
        <v>288</v>
      </c>
    </row>
    <row r="399" spans="1:38" x14ac:dyDescent="0.2">
      <c r="A399">
        <v>17</v>
      </c>
      <c r="B399" t="s">
        <v>46</v>
      </c>
      <c r="E399" t="s">
        <v>32</v>
      </c>
      <c r="F399" t="s">
        <v>1770</v>
      </c>
      <c r="G399" t="s">
        <v>1771</v>
      </c>
      <c r="H399" t="s">
        <v>19</v>
      </c>
      <c r="I399" t="s">
        <v>1772</v>
      </c>
      <c r="J399" s="91">
        <v>-1150935.04</v>
      </c>
      <c r="K399" s="91">
        <v>-1150935.04</v>
      </c>
      <c r="L399" s="91">
        <v>-1150935.04</v>
      </c>
      <c r="M399" t="s">
        <v>278</v>
      </c>
      <c r="N399" t="s">
        <v>278</v>
      </c>
      <c r="O399" t="s">
        <v>1773</v>
      </c>
      <c r="P399" t="s">
        <v>280</v>
      </c>
      <c r="Q399" t="s">
        <v>281</v>
      </c>
      <c r="R399" t="s">
        <v>282</v>
      </c>
      <c r="S399" t="s">
        <v>283</v>
      </c>
      <c r="T399" t="s">
        <v>313</v>
      </c>
      <c r="U399" t="s">
        <v>381</v>
      </c>
      <c r="V399">
        <v>101</v>
      </c>
      <c r="W399">
        <v>12015</v>
      </c>
      <c r="X399">
        <v>245011</v>
      </c>
      <c r="Y399">
        <v>9999</v>
      </c>
      <c r="Z399">
        <v>999</v>
      </c>
      <c r="AA399">
        <v>999</v>
      </c>
      <c r="AB399">
        <v>9999</v>
      </c>
      <c r="AC399">
        <v>9999</v>
      </c>
      <c r="AD399" t="s">
        <v>1</v>
      </c>
      <c r="AE399" t="s">
        <v>1766</v>
      </c>
      <c r="AF399" t="s">
        <v>227</v>
      </c>
      <c r="AG399" t="s">
        <v>286</v>
      </c>
      <c r="AI399" t="s">
        <v>227</v>
      </c>
      <c r="AJ399">
        <v>45712</v>
      </c>
      <c r="AK399" t="s">
        <v>315</v>
      </c>
      <c r="AL399" t="s">
        <v>288</v>
      </c>
    </row>
    <row r="400" spans="1:38" x14ac:dyDescent="0.2">
      <c r="A400">
        <v>17</v>
      </c>
      <c r="B400" t="s">
        <v>46</v>
      </c>
      <c r="E400" t="s">
        <v>32</v>
      </c>
      <c r="F400" t="s">
        <v>1770</v>
      </c>
      <c r="G400" t="s">
        <v>1771</v>
      </c>
      <c r="H400" t="s">
        <v>19</v>
      </c>
      <c r="I400" t="s">
        <v>1772</v>
      </c>
      <c r="J400" s="91">
        <v>-375653.34</v>
      </c>
      <c r="K400" s="91">
        <v>-375653.34</v>
      </c>
      <c r="L400" s="91">
        <v>-375653.34</v>
      </c>
      <c r="M400" t="s">
        <v>278</v>
      </c>
      <c r="N400" t="s">
        <v>278</v>
      </c>
      <c r="O400" t="s">
        <v>1773</v>
      </c>
      <c r="P400" t="s">
        <v>280</v>
      </c>
      <c r="Q400" t="s">
        <v>281</v>
      </c>
      <c r="R400" t="s">
        <v>282</v>
      </c>
      <c r="S400" t="s">
        <v>283</v>
      </c>
      <c r="T400" t="s">
        <v>313</v>
      </c>
      <c r="U400" t="s">
        <v>381</v>
      </c>
      <c r="V400">
        <v>101</v>
      </c>
      <c r="W400">
        <v>12015</v>
      </c>
      <c r="X400">
        <v>245011</v>
      </c>
      <c r="Y400">
        <v>9999</v>
      </c>
      <c r="Z400">
        <v>999</v>
      </c>
      <c r="AA400">
        <v>999</v>
      </c>
      <c r="AB400">
        <v>9999</v>
      </c>
      <c r="AC400">
        <v>9999</v>
      </c>
      <c r="AD400" t="s">
        <v>1</v>
      </c>
      <c r="AE400" t="s">
        <v>1766</v>
      </c>
      <c r="AF400" t="s">
        <v>227</v>
      </c>
      <c r="AG400" t="s">
        <v>286</v>
      </c>
      <c r="AI400" t="s">
        <v>227</v>
      </c>
      <c r="AJ400">
        <v>45712</v>
      </c>
      <c r="AK400" t="s">
        <v>315</v>
      </c>
      <c r="AL400" t="s">
        <v>288</v>
      </c>
    </row>
    <row r="401" spans="1:38" x14ac:dyDescent="0.2">
      <c r="A401">
        <v>17</v>
      </c>
      <c r="B401" t="s">
        <v>46</v>
      </c>
      <c r="E401" t="s">
        <v>32</v>
      </c>
      <c r="F401" t="s">
        <v>1770</v>
      </c>
      <c r="G401" t="s">
        <v>1771</v>
      </c>
      <c r="H401" t="s">
        <v>19</v>
      </c>
      <c r="I401" t="s">
        <v>1772</v>
      </c>
      <c r="J401" s="91">
        <v>-924503.29</v>
      </c>
      <c r="K401" s="91">
        <v>-924503.29</v>
      </c>
      <c r="L401" s="91">
        <v>-924503.29</v>
      </c>
      <c r="M401" t="s">
        <v>278</v>
      </c>
      <c r="N401" t="s">
        <v>278</v>
      </c>
      <c r="O401" t="s">
        <v>1773</v>
      </c>
      <c r="P401" t="s">
        <v>280</v>
      </c>
      <c r="Q401" t="s">
        <v>281</v>
      </c>
      <c r="R401" t="s">
        <v>282</v>
      </c>
      <c r="S401" t="s">
        <v>283</v>
      </c>
      <c r="T401" t="s">
        <v>313</v>
      </c>
      <c r="U401" t="s">
        <v>381</v>
      </c>
      <c r="V401">
        <v>101</v>
      </c>
      <c r="W401">
        <v>12015</v>
      </c>
      <c r="X401">
        <v>245011</v>
      </c>
      <c r="Y401">
        <v>9999</v>
      </c>
      <c r="Z401">
        <v>999</v>
      </c>
      <c r="AA401">
        <v>999</v>
      </c>
      <c r="AB401">
        <v>9999</v>
      </c>
      <c r="AC401">
        <v>9999</v>
      </c>
      <c r="AD401" t="s">
        <v>1</v>
      </c>
      <c r="AE401" t="s">
        <v>1766</v>
      </c>
      <c r="AF401" t="s">
        <v>227</v>
      </c>
      <c r="AG401" t="s">
        <v>286</v>
      </c>
      <c r="AI401" t="s">
        <v>227</v>
      </c>
      <c r="AJ401">
        <v>45712</v>
      </c>
      <c r="AK401" t="s">
        <v>315</v>
      </c>
      <c r="AL401" t="s">
        <v>288</v>
      </c>
    </row>
    <row r="402" spans="1:38" x14ac:dyDescent="0.2">
      <c r="A402">
        <v>17</v>
      </c>
      <c r="B402" t="s">
        <v>46</v>
      </c>
      <c r="E402" t="s">
        <v>32</v>
      </c>
      <c r="F402" t="s">
        <v>1770</v>
      </c>
      <c r="G402" t="s">
        <v>1771</v>
      </c>
      <c r="H402" t="s">
        <v>19</v>
      </c>
      <c r="I402" t="s">
        <v>1772</v>
      </c>
      <c r="J402" s="91">
        <v>-89884.95</v>
      </c>
      <c r="K402" s="91">
        <v>-89884.95</v>
      </c>
      <c r="L402" s="91">
        <v>-89884.95</v>
      </c>
      <c r="M402" t="s">
        <v>278</v>
      </c>
      <c r="N402" t="s">
        <v>278</v>
      </c>
      <c r="O402" t="s">
        <v>1773</v>
      </c>
      <c r="P402" t="s">
        <v>280</v>
      </c>
      <c r="Q402" t="s">
        <v>281</v>
      </c>
      <c r="R402" t="s">
        <v>282</v>
      </c>
      <c r="S402" t="s">
        <v>283</v>
      </c>
      <c r="T402" t="s">
        <v>313</v>
      </c>
      <c r="U402" t="s">
        <v>381</v>
      </c>
      <c r="V402">
        <v>101</v>
      </c>
      <c r="W402">
        <v>12015</v>
      </c>
      <c r="X402">
        <v>245011</v>
      </c>
      <c r="Y402">
        <v>9999</v>
      </c>
      <c r="Z402">
        <v>999</v>
      </c>
      <c r="AA402">
        <v>999</v>
      </c>
      <c r="AB402">
        <v>9999</v>
      </c>
      <c r="AC402">
        <v>9999</v>
      </c>
      <c r="AD402" t="s">
        <v>1</v>
      </c>
      <c r="AE402" t="s">
        <v>1766</v>
      </c>
      <c r="AF402" t="s">
        <v>227</v>
      </c>
      <c r="AG402" t="s">
        <v>286</v>
      </c>
      <c r="AI402" t="s">
        <v>227</v>
      </c>
      <c r="AJ402">
        <v>45712</v>
      </c>
      <c r="AK402" t="s">
        <v>315</v>
      </c>
      <c r="AL402" t="s">
        <v>288</v>
      </c>
    </row>
    <row r="403" spans="1:38" x14ac:dyDescent="0.2">
      <c r="A403">
        <v>17</v>
      </c>
      <c r="B403" t="s">
        <v>46</v>
      </c>
      <c r="E403" t="s">
        <v>32</v>
      </c>
      <c r="F403" t="s">
        <v>1774</v>
      </c>
      <c r="G403" t="s">
        <v>1775</v>
      </c>
      <c r="H403" t="s">
        <v>19</v>
      </c>
      <c r="I403" t="s">
        <v>1772</v>
      </c>
      <c r="J403" s="91">
        <v>699980.41</v>
      </c>
      <c r="K403" s="91">
        <v>699980.41</v>
      </c>
      <c r="L403" s="91">
        <v>699980.41</v>
      </c>
      <c r="M403" t="s">
        <v>278</v>
      </c>
      <c r="N403" t="s">
        <v>278</v>
      </c>
      <c r="O403" t="s">
        <v>1776</v>
      </c>
      <c r="P403" t="s">
        <v>280</v>
      </c>
      <c r="Q403" t="s">
        <v>281</v>
      </c>
      <c r="R403" t="s">
        <v>282</v>
      </c>
      <c r="S403" t="s">
        <v>283</v>
      </c>
      <c r="T403" t="s">
        <v>313</v>
      </c>
      <c r="U403" t="s">
        <v>381</v>
      </c>
      <c r="V403">
        <v>101</v>
      </c>
      <c r="W403">
        <v>12015</v>
      </c>
      <c r="X403">
        <v>245011</v>
      </c>
      <c r="Y403">
        <v>9999</v>
      </c>
      <c r="Z403">
        <v>999</v>
      </c>
      <c r="AA403">
        <v>999</v>
      </c>
      <c r="AB403">
        <v>9999</v>
      </c>
      <c r="AC403">
        <v>9999</v>
      </c>
      <c r="AD403" t="s">
        <v>1</v>
      </c>
      <c r="AE403" t="s">
        <v>1766</v>
      </c>
      <c r="AF403" t="s">
        <v>227</v>
      </c>
      <c r="AG403" t="s">
        <v>286</v>
      </c>
      <c r="AI403" t="s">
        <v>227</v>
      </c>
      <c r="AJ403">
        <v>45712</v>
      </c>
      <c r="AK403" t="s">
        <v>315</v>
      </c>
      <c r="AL403" t="s">
        <v>288</v>
      </c>
    </row>
    <row r="404" spans="1:38" x14ac:dyDescent="0.2">
      <c r="A404">
        <v>17</v>
      </c>
      <c r="B404" t="s">
        <v>46</v>
      </c>
      <c r="E404" t="s">
        <v>32</v>
      </c>
      <c r="F404" t="s">
        <v>1774</v>
      </c>
      <c r="G404" t="s">
        <v>1775</v>
      </c>
      <c r="H404" t="s">
        <v>19</v>
      </c>
      <c r="I404" t="s">
        <v>1772</v>
      </c>
      <c r="J404" s="91">
        <v>1126789.74</v>
      </c>
      <c r="K404" s="91">
        <v>1126789.74</v>
      </c>
      <c r="L404" s="91">
        <v>1126789.74</v>
      </c>
      <c r="M404" t="s">
        <v>278</v>
      </c>
      <c r="N404" t="s">
        <v>278</v>
      </c>
      <c r="O404" t="s">
        <v>1776</v>
      </c>
      <c r="P404" t="s">
        <v>280</v>
      </c>
      <c r="Q404" t="s">
        <v>281</v>
      </c>
      <c r="R404" t="s">
        <v>282</v>
      </c>
      <c r="S404" t="s">
        <v>283</v>
      </c>
      <c r="T404" t="s">
        <v>313</v>
      </c>
      <c r="U404" t="s">
        <v>381</v>
      </c>
      <c r="V404">
        <v>101</v>
      </c>
      <c r="W404">
        <v>12015</v>
      </c>
      <c r="X404">
        <v>245011</v>
      </c>
      <c r="Y404">
        <v>9999</v>
      </c>
      <c r="Z404">
        <v>999</v>
      </c>
      <c r="AA404">
        <v>999</v>
      </c>
      <c r="AB404">
        <v>9999</v>
      </c>
      <c r="AC404">
        <v>9999</v>
      </c>
      <c r="AD404" t="s">
        <v>1</v>
      </c>
      <c r="AE404" t="s">
        <v>1766</v>
      </c>
      <c r="AF404" t="s">
        <v>227</v>
      </c>
      <c r="AG404" t="s">
        <v>286</v>
      </c>
      <c r="AI404" t="s">
        <v>227</v>
      </c>
      <c r="AJ404">
        <v>45712</v>
      </c>
      <c r="AK404" t="s">
        <v>315</v>
      </c>
      <c r="AL404" t="s">
        <v>288</v>
      </c>
    </row>
    <row r="405" spans="1:38" x14ac:dyDescent="0.2">
      <c r="A405">
        <v>17</v>
      </c>
      <c r="B405" t="s">
        <v>46</v>
      </c>
      <c r="E405" t="s">
        <v>32</v>
      </c>
      <c r="F405" t="s">
        <v>1774</v>
      </c>
      <c r="G405" t="s">
        <v>1775</v>
      </c>
      <c r="H405" t="s">
        <v>19</v>
      </c>
      <c r="I405" t="s">
        <v>1772</v>
      </c>
      <c r="J405" s="91">
        <v>-245963.65</v>
      </c>
      <c r="K405" s="91">
        <v>-245963.65</v>
      </c>
      <c r="L405" s="91">
        <v>-245963.65</v>
      </c>
      <c r="M405" t="s">
        <v>278</v>
      </c>
      <c r="N405" t="s">
        <v>278</v>
      </c>
      <c r="O405" t="s">
        <v>1776</v>
      </c>
      <c r="P405" t="s">
        <v>280</v>
      </c>
      <c r="Q405" t="s">
        <v>281</v>
      </c>
      <c r="R405" t="s">
        <v>282</v>
      </c>
      <c r="S405" t="s">
        <v>283</v>
      </c>
      <c r="T405" t="s">
        <v>313</v>
      </c>
      <c r="U405" t="s">
        <v>381</v>
      </c>
      <c r="V405">
        <v>101</v>
      </c>
      <c r="W405">
        <v>12015</v>
      </c>
      <c r="X405">
        <v>245011</v>
      </c>
      <c r="Y405">
        <v>9999</v>
      </c>
      <c r="Z405">
        <v>999</v>
      </c>
      <c r="AA405">
        <v>999</v>
      </c>
      <c r="AB405">
        <v>9999</v>
      </c>
      <c r="AC405">
        <v>9999</v>
      </c>
      <c r="AD405" t="s">
        <v>1</v>
      </c>
      <c r="AE405" t="s">
        <v>1766</v>
      </c>
      <c r="AF405" t="s">
        <v>227</v>
      </c>
      <c r="AG405" t="s">
        <v>286</v>
      </c>
      <c r="AI405" t="s">
        <v>227</v>
      </c>
      <c r="AJ405">
        <v>45712</v>
      </c>
      <c r="AK405" t="s">
        <v>315</v>
      </c>
      <c r="AL405" t="s">
        <v>288</v>
      </c>
    </row>
    <row r="406" spans="1:38" x14ac:dyDescent="0.2">
      <c r="A406">
        <v>17</v>
      </c>
      <c r="B406" t="s">
        <v>46</v>
      </c>
      <c r="E406" t="s">
        <v>32</v>
      </c>
      <c r="F406" t="s">
        <v>1774</v>
      </c>
      <c r="G406" t="s">
        <v>1775</v>
      </c>
      <c r="H406" t="s">
        <v>19</v>
      </c>
      <c r="I406" t="s">
        <v>1772</v>
      </c>
      <c r="J406" s="91">
        <v>-629429.01</v>
      </c>
      <c r="K406" s="91">
        <v>-629429.01</v>
      </c>
      <c r="L406" s="91">
        <v>-629429.01</v>
      </c>
      <c r="M406" t="s">
        <v>278</v>
      </c>
      <c r="N406" t="s">
        <v>278</v>
      </c>
      <c r="O406" t="s">
        <v>1776</v>
      </c>
      <c r="P406" t="s">
        <v>280</v>
      </c>
      <c r="Q406" t="s">
        <v>281</v>
      </c>
      <c r="R406" t="s">
        <v>282</v>
      </c>
      <c r="S406" t="s">
        <v>283</v>
      </c>
      <c r="T406" t="s">
        <v>313</v>
      </c>
      <c r="U406" t="s">
        <v>381</v>
      </c>
      <c r="V406">
        <v>101</v>
      </c>
      <c r="W406">
        <v>12015</v>
      </c>
      <c r="X406">
        <v>245011</v>
      </c>
      <c r="Y406">
        <v>9999</v>
      </c>
      <c r="Z406">
        <v>999</v>
      </c>
      <c r="AA406">
        <v>999</v>
      </c>
      <c r="AB406">
        <v>9999</v>
      </c>
      <c r="AC406">
        <v>9999</v>
      </c>
      <c r="AD406" t="s">
        <v>1</v>
      </c>
      <c r="AE406" t="s">
        <v>1766</v>
      </c>
      <c r="AF406" t="s">
        <v>227</v>
      </c>
      <c r="AG406" t="s">
        <v>286</v>
      </c>
      <c r="AI406" t="s">
        <v>227</v>
      </c>
      <c r="AJ406">
        <v>45712</v>
      </c>
      <c r="AK406" t="s">
        <v>315</v>
      </c>
      <c r="AL406" t="s">
        <v>288</v>
      </c>
    </row>
    <row r="407" spans="1:38" x14ac:dyDescent="0.2">
      <c r="A407">
        <v>72</v>
      </c>
      <c r="B407" t="s">
        <v>48</v>
      </c>
      <c r="D407" t="s">
        <v>1777</v>
      </c>
      <c r="E407" t="s">
        <v>11</v>
      </c>
      <c r="F407" t="s">
        <v>1778</v>
      </c>
      <c r="G407" t="s">
        <v>1779</v>
      </c>
      <c r="H407" t="s">
        <v>17</v>
      </c>
      <c r="I407" t="s">
        <v>303</v>
      </c>
      <c r="J407" s="91">
        <v>199020.36</v>
      </c>
      <c r="K407" s="91">
        <v>199020.36</v>
      </c>
      <c r="L407" s="91">
        <v>199020.36</v>
      </c>
      <c r="M407" t="s">
        <v>278</v>
      </c>
      <c r="N407" t="s">
        <v>278</v>
      </c>
      <c r="O407" t="s">
        <v>1777</v>
      </c>
      <c r="P407" t="s">
        <v>280</v>
      </c>
      <c r="Q407" t="s">
        <v>281</v>
      </c>
      <c r="R407" t="s">
        <v>282</v>
      </c>
      <c r="S407" t="s">
        <v>283</v>
      </c>
      <c r="T407" t="s">
        <v>284</v>
      </c>
      <c r="U407" t="s">
        <v>285</v>
      </c>
      <c r="V407">
        <v>101</v>
      </c>
      <c r="W407">
        <v>12012</v>
      </c>
      <c r="X407">
        <v>245011</v>
      </c>
      <c r="Y407">
        <v>9999</v>
      </c>
      <c r="Z407">
        <v>999</v>
      </c>
      <c r="AA407">
        <v>999</v>
      </c>
      <c r="AB407">
        <v>9999</v>
      </c>
      <c r="AC407">
        <v>9999</v>
      </c>
      <c r="AD407" t="s">
        <v>1</v>
      </c>
      <c r="AE407" t="s">
        <v>227</v>
      </c>
      <c r="AF407" t="s">
        <v>227</v>
      </c>
      <c r="AG407" t="s">
        <v>286</v>
      </c>
      <c r="AI407" t="s">
        <v>227</v>
      </c>
      <c r="AJ407">
        <v>45657</v>
      </c>
      <c r="AK407" t="s">
        <v>287</v>
      </c>
      <c r="AL407" t="s">
        <v>288</v>
      </c>
    </row>
    <row r="408" spans="1:38" x14ac:dyDescent="0.2">
      <c r="A408">
        <v>41</v>
      </c>
      <c r="B408" t="s">
        <v>47</v>
      </c>
      <c r="D408" t="s">
        <v>1780</v>
      </c>
      <c r="E408" t="s">
        <v>11</v>
      </c>
      <c r="F408" t="s">
        <v>1781</v>
      </c>
      <c r="G408" t="s">
        <v>1782</v>
      </c>
      <c r="H408" t="s">
        <v>16</v>
      </c>
      <c r="I408" t="s">
        <v>311</v>
      </c>
      <c r="J408" s="91">
        <v>142151.59</v>
      </c>
      <c r="K408" s="91">
        <v>142151.59</v>
      </c>
      <c r="L408" s="91">
        <v>142151.59</v>
      </c>
      <c r="M408" t="s">
        <v>278</v>
      </c>
      <c r="N408" t="s">
        <v>278</v>
      </c>
      <c r="O408" t="s">
        <v>1783</v>
      </c>
      <c r="P408" t="s">
        <v>280</v>
      </c>
      <c r="Q408" t="s">
        <v>281</v>
      </c>
      <c r="R408" t="s">
        <v>282</v>
      </c>
      <c r="S408" t="s">
        <v>283</v>
      </c>
      <c r="T408" t="s">
        <v>284</v>
      </c>
      <c r="U408" t="s">
        <v>285</v>
      </c>
      <c r="V408">
        <v>101</v>
      </c>
      <c r="W408">
        <v>12012</v>
      </c>
      <c r="X408">
        <v>245011</v>
      </c>
      <c r="Y408">
        <v>9999</v>
      </c>
      <c r="Z408">
        <v>999</v>
      </c>
      <c r="AA408">
        <v>999</v>
      </c>
      <c r="AB408">
        <v>9999</v>
      </c>
      <c r="AC408">
        <v>9999</v>
      </c>
      <c r="AD408" t="s">
        <v>1</v>
      </c>
      <c r="AE408" t="s">
        <v>227</v>
      </c>
      <c r="AF408" t="s">
        <v>227</v>
      </c>
      <c r="AG408" t="s">
        <v>286</v>
      </c>
      <c r="AI408" t="s">
        <v>227</v>
      </c>
      <c r="AJ408">
        <v>45688</v>
      </c>
      <c r="AK408" t="s">
        <v>287</v>
      </c>
      <c r="AL408" t="s">
        <v>288</v>
      </c>
    </row>
    <row r="409" spans="1:38" x14ac:dyDescent="0.2">
      <c r="A409">
        <v>13</v>
      </c>
      <c r="B409" t="s">
        <v>46</v>
      </c>
      <c r="E409" t="s">
        <v>11</v>
      </c>
      <c r="F409" t="s">
        <v>1784</v>
      </c>
      <c r="G409" t="s">
        <v>1785</v>
      </c>
      <c r="H409" t="s">
        <v>17</v>
      </c>
      <c r="I409" t="s">
        <v>1772</v>
      </c>
      <c r="J409" s="91">
        <v>-199020.36</v>
      </c>
      <c r="K409" s="91">
        <v>-199020.36</v>
      </c>
      <c r="L409" s="91">
        <v>-199020.36</v>
      </c>
      <c r="M409" t="s">
        <v>278</v>
      </c>
      <c r="N409" t="s">
        <v>278</v>
      </c>
      <c r="O409" t="s">
        <v>1786</v>
      </c>
      <c r="P409" t="s">
        <v>280</v>
      </c>
      <c r="Q409" t="s">
        <v>281</v>
      </c>
      <c r="R409" t="s">
        <v>282</v>
      </c>
      <c r="S409" t="s">
        <v>283</v>
      </c>
      <c r="T409" t="s">
        <v>284</v>
      </c>
      <c r="U409" t="s">
        <v>285</v>
      </c>
      <c r="V409">
        <v>101</v>
      </c>
      <c r="W409">
        <v>12012</v>
      </c>
      <c r="X409">
        <v>245011</v>
      </c>
      <c r="Y409">
        <v>9999</v>
      </c>
      <c r="Z409">
        <v>999</v>
      </c>
      <c r="AA409">
        <v>999</v>
      </c>
      <c r="AB409">
        <v>9999</v>
      </c>
      <c r="AC409">
        <v>9999</v>
      </c>
      <c r="AD409" t="s">
        <v>1</v>
      </c>
      <c r="AE409" t="s">
        <v>227</v>
      </c>
      <c r="AF409" t="s">
        <v>227</v>
      </c>
      <c r="AG409" t="s">
        <v>286</v>
      </c>
      <c r="AI409" t="s">
        <v>227</v>
      </c>
      <c r="AJ409">
        <v>45716</v>
      </c>
      <c r="AK409" t="s">
        <v>287</v>
      </c>
      <c r="AL409" t="s">
        <v>288</v>
      </c>
    </row>
    <row r="410" spans="1:38" x14ac:dyDescent="0.2">
      <c r="A410">
        <v>35</v>
      </c>
      <c r="B410" t="s">
        <v>47</v>
      </c>
      <c r="E410" t="s">
        <v>11</v>
      </c>
      <c r="F410" t="s">
        <v>1787</v>
      </c>
      <c r="G410" t="s">
        <v>1788</v>
      </c>
      <c r="H410" t="s">
        <v>16</v>
      </c>
      <c r="I410" t="s">
        <v>1772</v>
      </c>
      <c r="J410" s="91">
        <v>-142151.59</v>
      </c>
      <c r="K410" s="91">
        <v>-142151.59</v>
      </c>
      <c r="L410" s="91">
        <v>-142151.59</v>
      </c>
      <c r="M410" t="s">
        <v>278</v>
      </c>
      <c r="N410" t="s">
        <v>278</v>
      </c>
      <c r="O410" t="s">
        <v>1789</v>
      </c>
      <c r="P410" t="s">
        <v>280</v>
      </c>
      <c r="Q410" t="s">
        <v>281</v>
      </c>
      <c r="R410" t="s">
        <v>282</v>
      </c>
      <c r="S410" t="s">
        <v>283</v>
      </c>
      <c r="T410" t="s">
        <v>284</v>
      </c>
      <c r="U410" t="s">
        <v>285</v>
      </c>
      <c r="V410">
        <v>101</v>
      </c>
      <c r="W410">
        <v>12012</v>
      </c>
      <c r="X410">
        <v>245011</v>
      </c>
      <c r="Y410">
        <v>9999</v>
      </c>
      <c r="Z410">
        <v>999</v>
      </c>
      <c r="AA410">
        <v>999</v>
      </c>
      <c r="AB410">
        <v>9999</v>
      </c>
      <c r="AC410">
        <v>9999</v>
      </c>
      <c r="AD410" t="s">
        <v>1</v>
      </c>
      <c r="AE410" t="s">
        <v>227</v>
      </c>
      <c r="AF410" t="s">
        <v>227</v>
      </c>
      <c r="AG410" t="s">
        <v>286</v>
      </c>
      <c r="AI410" t="s">
        <v>227</v>
      </c>
      <c r="AJ410">
        <v>45694</v>
      </c>
      <c r="AK410" t="s">
        <v>287</v>
      </c>
      <c r="AL410" t="s">
        <v>288</v>
      </c>
    </row>
    <row r="411" spans="1:38" x14ac:dyDescent="0.2">
      <c r="A411">
        <v>41</v>
      </c>
      <c r="B411" t="s">
        <v>47</v>
      </c>
      <c r="D411" t="s">
        <v>1790</v>
      </c>
      <c r="E411" t="s">
        <v>224</v>
      </c>
      <c r="F411" t="s">
        <v>1791</v>
      </c>
      <c r="G411" t="s">
        <v>1792</v>
      </c>
      <c r="H411" t="s">
        <v>17</v>
      </c>
      <c r="I411" t="s">
        <v>311</v>
      </c>
      <c r="J411" s="91">
        <v>-552318.54</v>
      </c>
      <c r="K411" s="91">
        <v>-552318.54</v>
      </c>
      <c r="L411" s="91">
        <v>-552318.54</v>
      </c>
      <c r="M411" t="s">
        <v>278</v>
      </c>
      <c r="N411" t="s">
        <v>278</v>
      </c>
      <c r="O411" t="s">
        <v>1793</v>
      </c>
      <c r="P411" t="s">
        <v>280</v>
      </c>
      <c r="Q411" t="s">
        <v>281</v>
      </c>
      <c r="R411" t="s">
        <v>282</v>
      </c>
      <c r="S411" t="s">
        <v>283</v>
      </c>
      <c r="T411" t="s">
        <v>313</v>
      </c>
      <c r="U411" t="s">
        <v>1230</v>
      </c>
      <c r="V411">
        <v>101</v>
      </c>
      <c r="W411">
        <v>11001</v>
      </c>
      <c r="X411">
        <v>245011</v>
      </c>
      <c r="Y411">
        <v>9999</v>
      </c>
      <c r="Z411">
        <v>204</v>
      </c>
      <c r="AA411">
        <v>999</v>
      </c>
      <c r="AB411">
        <v>9999</v>
      </c>
      <c r="AC411">
        <v>9999</v>
      </c>
      <c r="AD411" t="s">
        <v>1</v>
      </c>
      <c r="AE411" t="s">
        <v>1794</v>
      </c>
      <c r="AF411" t="s">
        <v>227</v>
      </c>
      <c r="AG411" t="s">
        <v>286</v>
      </c>
      <c r="AI411" t="s">
        <v>227</v>
      </c>
      <c r="AJ411">
        <v>45688</v>
      </c>
      <c r="AK411" t="s">
        <v>287</v>
      </c>
      <c r="AL411" t="s">
        <v>288</v>
      </c>
    </row>
    <row r="412" spans="1:38" x14ac:dyDescent="0.2">
      <c r="A412">
        <v>13</v>
      </c>
      <c r="B412" t="s">
        <v>46</v>
      </c>
      <c r="E412" t="s">
        <v>224</v>
      </c>
      <c r="F412" t="s">
        <v>1795</v>
      </c>
      <c r="G412" t="s">
        <v>1796</v>
      </c>
      <c r="H412" t="s">
        <v>17</v>
      </c>
      <c r="I412" t="s">
        <v>1772</v>
      </c>
      <c r="J412" s="91">
        <v>552318.54</v>
      </c>
      <c r="K412" s="91">
        <v>552318.54</v>
      </c>
      <c r="L412" s="91">
        <v>552318.54</v>
      </c>
      <c r="M412" t="s">
        <v>278</v>
      </c>
      <c r="N412" t="s">
        <v>278</v>
      </c>
      <c r="O412" t="s">
        <v>1797</v>
      </c>
      <c r="P412" t="s">
        <v>280</v>
      </c>
      <c r="Q412" t="s">
        <v>281</v>
      </c>
      <c r="R412" t="s">
        <v>282</v>
      </c>
      <c r="S412" t="s">
        <v>283</v>
      </c>
      <c r="T412" t="s">
        <v>313</v>
      </c>
      <c r="U412" t="s">
        <v>1230</v>
      </c>
      <c r="V412">
        <v>101</v>
      </c>
      <c r="W412">
        <v>11001</v>
      </c>
      <c r="X412">
        <v>245011</v>
      </c>
      <c r="Y412">
        <v>9999</v>
      </c>
      <c r="Z412">
        <v>204</v>
      </c>
      <c r="AA412">
        <v>999</v>
      </c>
      <c r="AB412">
        <v>9999</v>
      </c>
      <c r="AC412">
        <v>9999</v>
      </c>
      <c r="AD412" t="s">
        <v>1</v>
      </c>
      <c r="AE412" t="s">
        <v>1794</v>
      </c>
      <c r="AF412" t="s">
        <v>227</v>
      </c>
      <c r="AG412" t="s">
        <v>286</v>
      </c>
      <c r="AI412" t="s">
        <v>227</v>
      </c>
      <c r="AJ412">
        <v>45716</v>
      </c>
      <c r="AK412" t="s">
        <v>287</v>
      </c>
      <c r="AL412" t="s">
        <v>288</v>
      </c>
    </row>
    <row r="413" spans="1:38" x14ac:dyDescent="0.2">
      <c r="A413">
        <v>194</v>
      </c>
      <c r="B413" t="s">
        <v>559</v>
      </c>
      <c r="D413" t="s">
        <v>1798</v>
      </c>
      <c r="E413" t="s">
        <v>37</v>
      </c>
      <c r="F413" t="s">
        <v>1799</v>
      </c>
      <c r="G413" t="s">
        <v>1800</v>
      </c>
      <c r="H413" t="s">
        <v>36</v>
      </c>
      <c r="I413" t="s">
        <v>1362</v>
      </c>
      <c r="J413" s="91">
        <v>67751.16</v>
      </c>
      <c r="K413" s="91">
        <v>67751.16</v>
      </c>
      <c r="L413" s="91">
        <v>67751.16</v>
      </c>
      <c r="M413" t="s">
        <v>278</v>
      </c>
      <c r="N413" t="s">
        <v>278</v>
      </c>
      <c r="O413" t="s">
        <v>1801</v>
      </c>
      <c r="P413" t="s">
        <v>280</v>
      </c>
      <c r="Q413" t="s">
        <v>281</v>
      </c>
      <c r="R413" t="s">
        <v>282</v>
      </c>
      <c r="S413" t="s">
        <v>294</v>
      </c>
      <c r="T413" t="s">
        <v>305</v>
      </c>
      <c r="U413" t="s">
        <v>1638</v>
      </c>
      <c r="V413">
        <v>101</v>
      </c>
      <c r="W413">
        <v>13001</v>
      </c>
      <c r="X413">
        <v>245011</v>
      </c>
      <c r="Y413">
        <v>9999</v>
      </c>
      <c r="Z413">
        <v>950</v>
      </c>
      <c r="AA413">
        <v>999</v>
      </c>
      <c r="AB413">
        <v>9999</v>
      </c>
      <c r="AC413">
        <v>9999</v>
      </c>
      <c r="AD413" t="s">
        <v>1</v>
      </c>
      <c r="AE413" t="s">
        <v>1802</v>
      </c>
      <c r="AF413" t="s">
        <v>227</v>
      </c>
      <c r="AG413" t="s">
        <v>286</v>
      </c>
      <c r="AI413" t="s">
        <v>227</v>
      </c>
      <c r="AJ413">
        <v>45535</v>
      </c>
      <c r="AK413" t="s">
        <v>315</v>
      </c>
      <c r="AL413" t="s">
        <v>288</v>
      </c>
    </row>
    <row r="414" spans="1:38" x14ac:dyDescent="0.2">
      <c r="A414">
        <v>13</v>
      </c>
      <c r="B414" t="s">
        <v>46</v>
      </c>
      <c r="E414" t="s">
        <v>37</v>
      </c>
      <c r="F414" t="s">
        <v>1803</v>
      </c>
      <c r="G414" t="s">
        <v>1804</v>
      </c>
      <c r="H414" t="s">
        <v>36</v>
      </c>
      <c r="I414" t="s">
        <v>1772</v>
      </c>
      <c r="J414" s="91">
        <v>-67751.16</v>
      </c>
      <c r="K414" s="91">
        <v>-67751.16</v>
      </c>
      <c r="L414" s="91">
        <v>-67751.16</v>
      </c>
      <c r="M414" t="s">
        <v>278</v>
      </c>
      <c r="N414" t="s">
        <v>278</v>
      </c>
      <c r="O414" t="s">
        <v>1805</v>
      </c>
      <c r="P414" t="s">
        <v>280</v>
      </c>
      <c r="Q414" t="s">
        <v>281</v>
      </c>
      <c r="R414" t="s">
        <v>282</v>
      </c>
      <c r="S414" t="s">
        <v>294</v>
      </c>
      <c r="T414" t="s">
        <v>305</v>
      </c>
      <c r="U414" t="s">
        <v>1638</v>
      </c>
      <c r="V414">
        <v>101</v>
      </c>
      <c r="W414">
        <v>13001</v>
      </c>
      <c r="X414">
        <v>245011</v>
      </c>
      <c r="Y414">
        <v>9999</v>
      </c>
      <c r="Z414">
        <v>950</v>
      </c>
      <c r="AA414">
        <v>999</v>
      </c>
      <c r="AB414">
        <v>9999</v>
      </c>
      <c r="AC414">
        <v>9999</v>
      </c>
      <c r="AD414" t="s">
        <v>1</v>
      </c>
      <c r="AE414" t="s">
        <v>1806</v>
      </c>
      <c r="AF414" t="s">
        <v>227</v>
      </c>
      <c r="AG414" t="s">
        <v>286</v>
      </c>
      <c r="AI414" t="s">
        <v>227</v>
      </c>
      <c r="AJ414">
        <v>45716</v>
      </c>
      <c r="AK414" t="s">
        <v>315</v>
      </c>
      <c r="AL414" t="s">
        <v>288</v>
      </c>
    </row>
    <row r="415" spans="1:38" x14ac:dyDescent="0.2">
      <c r="A415">
        <v>41</v>
      </c>
      <c r="B415" t="s">
        <v>47</v>
      </c>
      <c r="D415" t="s">
        <v>1756</v>
      </c>
      <c r="E415" t="s">
        <v>8</v>
      </c>
      <c r="F415" t="s">
        <v>1807</v>
      </c>
      <c r="G415" t="s">
        <v>1807</v>
      </c>
      <c r="H415" t="s">
        <v>16</v>
      </c>
      <c r="I415" t="s">
        <v>311</v>
      </c>
      <c r="J415" s="91">
        <v>-38054.5</v>
      </c>
      <c r="K415" s="91">
        <v>-38054.5</v>
      </c>
      <c r="L415" s="91">
        <v>-38054.5</v>
      </c>
      <c r="M415" t="s">
        <v>278</v>
      </c>
      <c r="N415" t="s">
        <v>278</v>
      </c>
      <c r="O415" t="s">
        <v>1656</v>
      </c>
      <c r="P415" t="s">
        <v>1808</v>
      </c>
      <c r="Q415" t="s">
        <v>281</v>
      </c>
      <c r="R415" t="s">
        <v>282</v>
      </c>
      <c r="S415" t="s">
        <v>294</v>
      </c>
      <c r="T415" t="s">
        <v>295</v>
      </c>
      <c r="U415" t="s">
        <v>296</v>
      </c>
      <c r="V415">
        <v>101</v>
      </c>
      <c r="W415">
        <v>13008</v>
      </c>
      <c r="X415">
        <v>245011</v>
      </c>
      <c r="Y415">
        <v>9999</v>
      </c>
      <c r="Z415">
        <v>999</v>
      </c>
      <c r="AA415">
        <v>999</v>
      </c>
      <c r="AB415">
        <v>9999</v>
      </c>
      <c r="AC415">
        <v>9999</v>
      </c>
      <c r="AD415" t="s">
        <v>1</v>
      </c>
      <c r="AE415" t="s">
        <v>227</v>
      </c>
      <c r="AF415" t="s">
        <v>227</v>
      </c>
      <c r="AG415" t="s">
        <v>286</v>
      </c>
      <c r="AI415" t="s">
        <v>227</v>
      </c>
      <c r="AJ415">
        <v>45688</v>
      </c>
      <c r="AK415" t="s">
        <v>1728</v>
      </c>
      <c r="AL415" t="s">
        <v>288</v>
      </c>
    </row>
    <row r="416" spans="1:38" x14ac:dyDescent="0.2">
      <c r="A416">
        <v>35</v>
      </c>
      <c r="B416" t="s">
        <v>47</v>
      </c>
      <c r="E416" t="s">
        <v>8</v>
      </c>
      <c r="F416" t="s">
        <v>1809</v>
      </c>
      <c r="G416" t="s">
        <v>1810</v>
      </c>
      <c r="H416" t="s">
        <v>227</v>
      </c>
      <c r="I416" t="s">
        <v>1772</v>
      </c>
      <c r="J416" s="91">
        <v>38054.5</v>
      </c>
      <c r="K416" s="91">
        <v>38054.5</v>
      </c>
      <c r="L416" s="91">
        <v>38054.5</v>
      </c>
      <c r="M416" t="s">
        <v>278</v>
      </c>
      <c r="N416" t="s">
        <v>278</v>
      </c>
      <c r="O416" t="s">
        <v>1811</v>
      </c>
      <c r="P416" t="s">
        <v>1808</v>
      </c>
      <c r="Q416" t="s">
        <v>281</v>
      </c>
      <c r="R416" t="s">
        <v>282</v>
      </c>
      <c r="S416" t="s">
        <v>294</v>
      </c>
      <c r="T416" t="s">
        <v>295</v>
      </c>
      <c r="U416" t="s">
        <v>296</v>
      </c>
      <c r="V416">
        <v>101</v>
      </c>
      <c r="W416">
        <v>13008</v>
      </c>
      <c r="X416">
        <v>245011</v>
      </c>
      <c r="Y416">
        <v>9999</v>
      </c>
      <c r="Z416">
        <v>999</v>
      </c>
      <c r="AA416">
        <v>999</v>
      </c>
      <c r="AB416">
        <v>9999</v>
      </c>
      <c r="AC416">
        <v>9999</v>
      </c>
      <c r="AD416" t="s">
        <v>1</v>
      </c>
      <c r="AE416" t="s">
        <v>227</v>
      </c>
      <c r="AF416" t="s">
        <v>227</v>
      </c>
      <c r="AG416" t="s">
        <v>286</v>
      </c>
      <c r="AI416" t="s">
        <v>227</v>
      </c>
      <c r="AJ416">
        <v>45694</v>
      </c>
      <c r="AK416" t="s">
        <v>1728</v>
      </c>
      <c r="AL416" t="s">
        <v>288</v>
      </c>
    </row>
    <row r="417" spans="1:38" x14ac:dyDescent="0.2">
      <c r="A417">
        <v>103</v>
      </c>
      <c r="B417" t="s">
        <v>49</v>
      </c>
      <c r="D417" t="s">
        <v>1812</v>
      </c>
      <c r="E417" t="s">
        <v>57</v>
      </c>
      <c r="F417" t="s">
        <v>1813</v>
      </c>
      <c r="G417" t="s">
        <v>1814</v>
      </c>
      <c r="H417" t="s">
        <v>16</v>
      </c>
      <c r="I417" t="s">
        <v>1589</v>
      </c>
      <c r="J417" s="91">
        <v>2661000</v>
      </c>
      <c r="K417" s="91">
        <v>2661000</v>
      </c>
      <c r="L417" s="91">
        <v>2661000</v>
      </c>
      <c r="M417" t="s">
        <v>278</v>
      </c>
      <c r="N417" t="s">
        <v>278</v>
      </c>
      <c r="O417" t="s">
        <v>1815</v>
      </c>
      <c r="P417" t="s">
        <v>280</v>
      </c>
      <c r="Q417" t="s">
        <v>281</v>
      </c>
      <c r="R417" t="s">
        <v>282</v>
      </c>
      <c r="S417" t="s">
        <v>283</v>
      </c>
      <c r="T417" t="s">
        <v>366</v>
      </c>
      <c r="U417" t="s">
        <v>461</v>
      </c>
      <c r="V417">
        <v>101</v>
      </c>
      <c r="W417">
        <v>12014</v>
      </c>
      <c r="X417">
        <v>245011</v>
      </c>
      <c r="Y417">
        <v>9999</v>
      </c>
      <c r="Z417">
        <v>999</v>
      </c>
      <c r="AA417">
        <v>999</v>
      </c>
      <c r="AB417">
        <v>9999</v>
      </c>
      <c r="AC417">
        <v>9999</v>
      </c>
      <c r="AD417" t="s">
        <v>1</v>
      </c>
      <c r="AE417" t="s">
        <v>227</v>
      </c>
      <c r="AF417" t="s">
        <v>227</v>
      </c>
      <c r="AG417" t="s">
        <v>286</v>
      </c>
      <c r="AI417" t="s">
        <v>227</v>
      </c>
      <c r="AJ417">
        <v>45626</v>
      </c>
      <c r="AK417" t="s">
        <v>287</v>
      </c>
      <c r="AL417" t="s">
        <v>288</v>
      </c>
    </row>
    <row r="418" spans="1:38" x14ac:dyDescent="0.2">
      <c r="A418">
        <v>23</v>
      </c>
      <c r="B418" t="s">
        <v>46</v>
      </c>
      <c r="E418" t="s">
        <v>57</v>
      </c>
      <c r="F418" t="s">
        <v>1816</v>
      </c>
      <c r="G418" t="s">
        <v>1817</v>
      </c>
      <c r="H418" t="s">
        <v>16</v>
      </c>
      <c r="I418" t="s">
        <v>1772</v>
      </c>
      <c r="J418" s="91">
        <v>-2661000</v>
      </c>
      <c r="K418" s="91">
        <v>-2661000</v>
      </c>
      <c r="L418" s="91">
        <v>-2661000</v>
      </c>
      <c r="M418" t="s">
        <v>278</v>
      </c>
      <c r="N418" t="s">
        <v>278</v>
      </c>
      <c r="O418" t="s">
        <v>1818</v>
      </c>
      <c r="P418" t="s">
        <v>280</v>
      </c>
      <c r="Q418" t="s">
        <v>281</v>
      </c>
      <c r="R418" t="s">
        <v>282</v>
      </c>
      <c r="S418" t="s">
        <v>283</v>
      </c>
      <c r="T418" t="s">
        <v>366</v>
      </c>
      <c r="U418" t="s">
        <v>461</v>
      </c>
      <c r="V418">
        <v>101</v>
      </c>
      <c r="W418">
        <v>12014</v>
      </c>
      <c r="X418">
        <v>245011</v>
      </c>
      <c r="Y418">
        <v>9999</v>
      </c>
      <c r="Z418">
        <v>999</v>
      </c>
      <c r="AA418">
        <v>999</v>
      </c>
      <c r="AB418">
        <v>9999</v>
      </c>
      <c r="AC418">
        <v>9999</v>
      </c>
      <c r="AD418" t="s">
        <v>1</v>
      </c>
      <c r="AE418" t="s">
        <v>227</v>
      </c>
      <c r="AF418" t="s">
        <v>227</v>
      </c>
      <c r="AG418" t="s">
        <v>286</v>
      </c>
      <c r="AI418" t="s">
        <v>227</v>
      </c>
      <c r="AJ418">
        <v>45706</v>
      </c>
      <c r="AK418" t="s">
        <v>287</v>
      </c>
      <c r="AL418" t="s">
        <v>288</v>
      </c>
    </row>
    <row r="419" spans="1:38" x14ac:dyDescent="0.2">
      <c r="E419" t="s">
        <v>22</v>
      </c>
      <c r="F419" t="s">
        <v>1819</v>
      </c>
      <c r="G419" t="s">
        <v>1820</v>
      </c>
      <c r="H419" t="s">
        <v>16</v>
      </c>
      <c r="I419" t="s">
        <v>319</v>
      </c>
      <c r="J419" s="91">
        <v>103941.3</v>
      </c>
      <c r="K419" s="91">
        <v>103941.3</v>
      </c>
      <c r="L419" s="91">
        <v>103941.3</v>
      </c>
      <c r="M419" t="s">
        <v>278</v>
      </c>
      <c r="N419" t="s">
        <v>278</v>
      </c>
      <c r="O419" t="s">
        <v>320</v>
      </c>
      <c r="P419" t="s">
        <v>280</v>
      </c>
      <c r="Q419" t="s">
        <v>281</v>
      </c>
      <c r="R419" t="s">
        <v>282</v>
      </c>
      <c r="S419" t="s">
        <v>283</v>
      </c>
      <c r="T419" t="s">
        <v>313</v>
      </c>
      <c r="U419" t="s">
        <v>321</v>
      </c>
      <c r="V419">
        <v>101</v>
      </c>
      <c r="W419">
        <v>11004</v>
      </c>
      <c r="X419">
        <v>245011</v>
      </c>
      <c r="Y419">
        <v>9999</v>
      </c>
      <c r="Z419">
        <v>999</v>
      </c>
      <c r="AA419">
        <v>999</v>
      </c>
      <c r="AB419">
        <v>9999</v>
      </c>
      <c r="AC419">
        <v>9999</v>
      </c>
      <c r="AD419" t="s">
        <v>1</v>
      </c>
      <c r="AE419" t="s">
        <v>322</v>
      </c>
      <c r="AF419" t="s">
        <v>227</v>
      </c>
      <c r="AG419" t="s">
        <v>286</v>
      </c>
      <c r="AI419" t="s">
        <v>227</v>
      </c>
      <c r="AJ419">
        <v>45747</v>
      </c>
      <c r="AK419" t="s">
        <v>315</v>
      </c>
      <c r="AL419" t="s">
        <v>288</v>
      </c>
    </row>
    <row r="420" spans="1:38" x14ac:dyDescent="0.2">
      <c r="E420" t="s">
        <v>22</v>
      </c>
      <c r="F420" t="s">
        <v>1819</v>
      </c>
      <c r="G420" t="s">
        <v>1820</v>
      </c>
      <c r="H420" t="s">
        <v>16</v>
      </c>
      <c r="I420" t="s">
        <v>319</v>
      </c>
      <c r="J420" s="91">
        <v>20788.259999999998</v>
      </c>
      <c r="K420" s="91">
        <v>20788.259999999998</v>
      </c>
      <c r="L420" s="91">
        <v>20788.259999999998</v>
      </c>
      <c r="M420" t="s">
        <v>278</v>
      </c>
      <c r="N420" t="s">
        <v>278</v>
      </c>
      <c r="O420" t="s">
        <v>320</v>
      </c>
      <c r="P420" t="s">
        <v>280</v>
      </c>
      <c r="Q420" t="s">
        <v>281</v>
      </c>
      <c r="R420" t="s">
        <v>282</v>
      </c>
      <c r="S420" t="s">
        <v>283</v>
      </c>
      <c r="T420" t="s">
        <v>313</v>
      </c>
      <c r="U420" t="s">
        <v>321</v>
      </c>
      <c r="V420">
        <v>101</v>
      </c>
      <c r="W420">
        <v>11004</v>
      </c>
      <c r="X420">
        <v>245011</v>
      </c>
      <c r="Y420">
        <v>9999</v>
      </c>
      <c r="Z420">
        <v>999</v>
      </c>
      <c r="AA420">
        <v>999</v>
      </c>
      <c r="AB420">
        <v>9999</v>
      </c>
      <c r="AC420">
        <v>9999</v>
      </c>
      <c r="AD420" t="s">
        <v>1</v>
      </c>
      <c r="AE420" t="s">
        <v>322</v>
      </c>
      <c r="AF420" t="s">
        <v>227</v>
      </c>
      <c r="AG420" t="s">
        <v>286</v>
      </c>
      <c r="AI420" t="s">
        <v>227</v>
      </c>
      <c r="AJ420">
        <v>45747</v>
      </c>
      <c r="AK420" t="s">
        <v>315</v>
      </c>
      <c r="AL420" t="s">
        <v>288</v>
      </c>
    </row>
    <row r="421" spans="1:38" x14ac:dyDescent="0.2">
      <c r="E421" t="s">
        <v>22</v>
      </c>
      <c r="F421" t="s">
        <v>1821</v>
      </c>
      <c r="G421" t="s">
        <v>1822</v>
      </c>
      <c r="H421" t="s">
        <v>16</v>
      </c>
      <c r="I421" t="s">
        <v>319</v>
      </c>
      <c r="J421" s="91">
        <v>-103941.3</v>
      </c>
      <c r="K421" s="91">
        <v>-103941.3</v>
      </c>
      <c r="L421" s="91">
        <v>-103941.3</v>
      </c>
      <c r="M421" t="s">
        <v>278</v>
      </c>
      <c r="N421" t="s">
        <v>278</v>
      </c>
      <c r="O421" t="s">
        <v>1823</v>
      </c>
      <c r="P421" t="s">
        <v>280</v>
      </c>
      <c r="Q421" t="s">
        <v>281</v>
      </c>
      <c r="R421" t="s">
        <v>282</v>
      </c>
      <c r="S421" t="s">
        <v>283</v>
      </c>
      <c r="T421" t="s">
        <v>313</v>
      </c>
      <c r="U421" t="s">
        <v>321</v>
      </c>
      <c r="V421">
        <v>101</v>
      </c>
      <c r="W421">
        <v>11004</v>
      </c>
      <c r="X421">
        <v>245011</v>
      </c>
      <c r="Y421">
        <v>9999</v>
      </c>
      <c r="Z421">
        <v>999</v>
      </c>
      <c r="AA421">
        <v>999</v>
      </c>
      <c r="AB421">
        <v>9999</v>
      </c>
      <c r="AC421">
        <v>9999</v>
      </c>
      <c r="AD421" t="s">
        <v>1</v>
      </c>
      <c r="AE421" t="s">
        <v>322</v>
      </c>
      <c r="AF421" t="s">
        <v>227</v>
      </c>
      <c r="AG421" t="s">
        <v>286</v>
      </c>
      <c r="AI421" t="s">
        <v>227</v>
      </c>
      <c r="AJ421">
        <v>45747</v>
      </c>
      <c r="AK421" t="s">
        <v>315</v>
      </c>
      <c r="AL421" t="s">
        <v>288</v>
      </c>
    </row>
    <row r="422" spans="1:38" x14ac:dyDescent="0.2">
      <c r="E422" t="s">
        <v>22</v>
      </c>
      <c r="F422" t="s">
        <v>1821</v>
      </c>
      <c r="G422" t="s">
        <v>1822</v>
      </c>
      <c r="H422" t="s">
        <v>16</v>
      </c>
      <c r="I422" t="s">
        <v>319</v>
      </c>
      <c r="J422" s="91">
        <v>-20788.259999999998</v>
      </c>
      <c r="K422" s="91">
        <v>-20788.259999999998</v>
      </c>
      <c r="L422" s="91">
        <v>-20788.259999999998</v>
      </c>
      <c r="M422" t="s">
        <v>278</v>
      </c>
      <c r="N422" t="s">
        <v>278</v>
      </c>
      <c r="O422" t="s">
        <v>1823</v>
      </c>
      <c r="P422" t="s">
        <v>280</v>
      </c>
      <c r="Q422" t="s">
        <v>281</v>
      </c>
      <c r="R422" t="s">
        <v>282</v>
      </c>
      <c r="S422" t="s">
        <v>283</v>
      </c>
      <c r="T422" t="s">
        <v>313</v>
      </c>
      <c r="U422" t="s">
        <v>321</v>
      </c>
      <c r="V422">
        <v>101</v>
      </c>
      <c r="W422">
        <v>11004</v>
      </c>
      <c r="X422">
        <v>245011</v>
      </c>
      <c r="Y422">
        <v>9999</v>
      </c>
      <c r="Z422">
        <v>999</v>
      </c>
      <c r="AA422">
        <v>999</v>
      </c>
      <c r="AB422">
        <v>9999</v>
      </c>
      <c r="AC422">
        <v>9999</v>
      </c>
      <c r="AD422" t="s">
        <v>1</v>
      </c>
      <c r="AE422" t="s">
        <v>322</v>
      </c>
      <c r="AF422" t="s">
        <v>227</v>
      </c>
      <c r="AG422" t="s">
        <v>286</v>
      </c>
      <c r="AI422" t="s">
        <v>227</v>
      </c>
      <c r="AJ422">
        <v>45747</v>
      </c>
      <c r="AK422" t="s">
        <v>315</v>
      </c>
      <c r="AL422" t="s">
        <v>288</v>
      </c>
    </row>
    <row r="423" spans="1:38" x14ac:dyDescent="0.2">
      <c r="E423" t="s">
        <v>32</v>
      </c>
      <c r="F423" t="s">
        <v>1824</v>
      </c>
      <c r="G423" t="s">
        <v>1825</v>
      </c>
      <c r="H423" t="s">
        <v>222</v>
      </c>
      <c r="I423" t="s">
        <v>319</v>
      </c>
      <c r="J423" s="91">
        <v>465538.29</v>
      </c>
      <c r="K423" s="91">
        <v>465538.29</v>
      </c>
      <c r="L423" s="91">
        <v>465538.29</v>
      </c>
      <c r="M423" t="s">
        <v>278</v>
      </c>
      <c r="N423" t="s">
        <v>278</v>
      </c>
      <c r="O423" t="s">
        <v>1826</v>
      </c>
      <c r="P423" t="s">
        <v>280</v>
      </c>
      <c r="Q423" t="s">
        <v>281</v>
      </c>
      <c r="R423" t="s">
        <v>282</v>
      </c>
      <c r="S423" t="s">
        <v>283</v>
      </c>
      <c r="T423" t="s">
        <v>313</v>
      </c>
      <c r="U423" t="s">
        <v>381</v>
      </c>
      <c r="V423">
        <v>101</v>
      </c>
      <c r="W423">
        <v>12015</v>
      </c>
      <c r="X423">
        <v>245011</v>
      </c>
      <c r="Y423">
        <v>9999</v>
      </c>
      <c r="Z423">
        <v>999</v>
      </c>
      <c r="AA423">
        <v>999</v>
      </c>
      <c r="AB423">
        <v>9999</v>
      </c>
      <c r="AC423">
        <v>9999</v>
      </c>
      <c r="AD423" t="s">
        <v>1</v>
      </c>
      <c r="AE423" t="s">
        <v>227</v>
      </c>
      <c r="AF423" t="s">
        <v>227</v>
      </c>
      <c r="AG423" t="s">
        <v>286</v>
      </c>
      <c r="AI423" t="s">
        <v>227</v>
      </c>
      <c r="AJ423">
        <v>45734</v>
      </c>
      <c r="AK423" t="s">
        <v>287</v>
      </c>
      <c r="AL423" t="s">
        <v>288</v>
      </c>
    </row>
    <row r="424" spans="1:38" x14ac:dyDescent="0.2">
      <c r="E424" t="s">
        <v>32</v>
      </c>
      <c r="F424" t="s">
        <v>1827</v>
      </c>
      <c r="G424" t="s">
        <v>1828</v>
      </c>
      <c r="H424" t="s">
        <v>222</v>
      </c>
      <c r="I424" t="s">
        <v>319</v>
      </c>
      <c r="J424" s="91">
        <v>-465538.29</v>
      </c>
      <c r="K424" s="91">
        <v>-465538.29</v>
      </c>
      <c r="L424" s="91">
        <v>-465538.29</v>
      </c>
      <c r="M424" t="s">
        <v>278</v>
      </c>
      <c r="N424" t="s">
        <v>278</v>
      </c>
      <c r="O424" t="s">
        <v>1829</v>
      </c>
      <c r="P424" t="s">
        <v>280</v>
      </c>
      <c r="Q424" t="s">
        <v>281</v>
      </c>
      <c r="R424" t="s">
        <v>282</v>
      </c>
      <c r="S424" t="s">
        <v>283</v>
      </c>
      <c r="T424" t="s">
        <v>313</v>
      </c>
      <c r="U424" t="s">
        <v>381</v>
      </c>
      <c r="V424">
        <v>101</v>
      </c>
      <c r="W424">
        <v>12015</v>
      </c>
      <c r="X424">
        <v>245011</v>
      </c>
      <c r="Y424">
        <v>9999</v>
      </c>
      <c r="Z424">
        <v>999</v>
      </c>
      <c r="AA424">
        <v>999</v>
      </c>
      <c r="AB424">
        <v>9999</v>
      </c>
      <c r="AC424">
        <v>9999</v>
      </c>
      <c r="AD424" t="s">
        <v>1</v>
      </c>
      <c r="AE424" t="s">
        <v>227</v>
      </c>
      <c r="AF424" t="s">
        <v>227</v>
      </c>
      <c r="AG424" t="s">
        <v>286</v>
      </c>
      <c r="AI424" t="s">
        <v>227</v>
      </c>
      <c r="AJ424">
        <v>45734</v>
      </c>
      <c r="AK424" t="s">
        <v>287</v>
      </c>
      <c r="AL424" t="s">
        <v>288</v>
      </c>
    </row>
    <row r="425" spans="1:38" x14ac:dyDescent="0.2">
      <c r="A425">
        <v>47</v>
      </c>
      <c r="B425" t="s">
        <v>47</v>
      </c>
      <c r="D425" t="s">
        <v>1830</v>
      </c>
      <c r="E425" t="s">
        <v>32</v>
      </c>
      <c r="F425" t="s">
        <v>1831</v>
      </c>
      <c r="G425" t="s">
        <v>1832</v>
      </c>
      <c r="H425" t="s">
        <v>16</v>
      </c>
      <c r="I425" t="s">
        <v>1772</v>
      </c>
      <c r="J425" s="91">
        <v>375653.34</v>
      </c>
      <c r="K425" s="91">
        <v>375653.34</v>
      </c>
      <c r="L425" s="91">
        <v>375653.34</v>
      </c>
      <c r="M425" t="s">
        <v>278</v>
      </c>
      <c r="N425" t="s">
        <v>278</v>
      </c>
      <c r="O425" t="s">
        <v>1833</v>
      </c>
      <c r="P425" t="s">
        <v>1834</v>
      </c>
      <c r="Q425" t="s">
        <v>281</v>
      </c>
      <c r="R425" t="s">
        <v>282</v>
      </c>
      <c r="S425" t="s">
        <v>283</v>
      </c>
      <c r="T425" t="s">
        <v>313</v>
      </c>
      <c r="U425" t="s">
        <v>381</v>
      </c>
      <c r="V425">
        <v>101</v>
      </c>
      <c r="W425">
        <v>12015</v>
      </c>
      <c r="X425">
        <v>245011</v>
      </c>
      <c r="Y425">
        <v>9999</v>
      </c>
      <c r="Z425">
        <v>999</v>
      </c>
      <c r="AA425">
        <v>999</v>
      </c>
      <c r="AB425">
        <v>9999</v>
      </c>
      <c r="AC425">
        <v>9999</v>
      </c>
      <c r="AD425" t="s">
        <v>1</v>
      </c>
      <c r="AE425" t="s">
        <v>227</v>
      </c>
      <c r="AF425" t="s">
        <v>227</v>
      </c>
      <c r="AG425" t="s">
        <v>286</v>
      </c>
      <c r="AI425" t="s">
        <v>227</v>
      </c>
      <c r="AJ425">
        <v>45714</v>
      </c>
      <c r="AK425" t="s">
        <v>315</v>
      </c>
      <c r="AL425" t="s">
        <v>288</v>
      </c>
    </row>
    <row r="426" spans="1:38" x14ac:dyDescent="0.2">
      <c r="A426">
        <v>47</v>
      </c>
      <c r="B426" t="s">
        <v>47</v>
      </c>
      <c r="D426" t="s">
        <v>1830</v>
      </c>
      <c r="E426" t="s">
        <v>32</v>
      </c>
      <c r="F426" t="s">
        <v>1831</v>
      </c>
      <c r="G426" t="s">
        <v>1832</v>
      </c>
      <c r="H426" t="s">
        <v>16</v>
      </c>
      <c r="I426" t="s">
        <v>1772</v>
      </c>
      <c r="J426" s="91">
        <v>89884.95</v>
      </c>
      <c r="K426" s="91">
        <v>89884.95</v>
      </c>
      <c r="L426" s="91">
        <v>89884.95</v>
      </c>
      <c r="M426" t="s">
        <v>278</v>
      </c>
      <c r="N426" t="s">
        <v>278</v>
      </c>
      <c r="O426" t="s">
        <v>1833</v>
      </c>
      <c r="P426" t="s">
        <v>1835</v>
      </c>
      <c r="Q426" t="s">
        <v>281</v>
      </c>
      <c r="R426" t="s">
        <v>282</v>
      </c>
      <c r="S426" t="s">
        <v>283</v>
      </c>
      <c r="T426" t="s">
        <v>313</v>
      </c>
      <c r="U426" t="s">
        <v>381</v>
      </c>
      <c r="V426">
        <v>101</v>
      </c>
      <c r="W426">
        <v>12015</v>
      </c>
      <c r="X426">
        <v>245011</v>
      </c>
      <c r="Y426">
        <v>9999</v>
      </c>
      <c r="Z426">
        <v>999</v>
      </c>
      <c r="AA426">
        <v>999</v>
      </c>
      <c r="AB426">
        <v>9999</v>
      </c>
      <c r="AC426">
        <v>9999</v>
      </c>
      <c r="AD426" t="s">
        <v>1</v>
      </c>
      <c r="AE426" t="s">
        <v>227</v>
      </c>
      <c r="AF426" t="s">
        <v>227</v>
      </c>
      <c r="AG426" t="s">
        <v>286</v>
      </c>
      <c r="AI426" t="s">
        <v>227</v>
      </c>
      <c r="AJ426">
        <v>45714</v>
      </c>
      <c r="AK426" t="s">
        <v>315</v>
      </c>
      <c r="AL426" t="s">
        <v>288</v>
      </c>
    </row>
    <row r="427" spans="1:38" x14ac:dyDescent="0.2">
      <c r="E427" t="s">
        <v>32</v>
      </c>
      <c r="F427" t="s">
        <v>1836</v>
      </c>
      <c r="G427" t="s">
        <v>1837</v>
      </c>
      <c r="H427" t="s">
        <v>222</v>
      </c>
      <c r="I427" t="s">
        <v>319</v>
      </c>
      <c r="J427" s="91">
        <v>-465538.29</v>
      </c>
      <c r="K427" s="91">
        <v>-465538.29</v>
      </c>
      <c r="L427" s="91">
        <v>-465538.29</v>
      </c>
      <c r="M427" t="s">
        <v>278</v>
      </c>
      <c r="N427" t="s">
        <v>278</v>
      </c>
      <c r="O427" t="s">
        <v>1838</v>
      </c>
      <c r="P427" t="s">
        <v>280</v>
      </c>
      <c r="Q427" t="s">
        <v>281</v>
      </c>
      <c r="R427" t="s">
        <v>282</v>
      </c>
      <c r="S427" t="s">
        <v>283</v>
      </c>
      <c r="T427" t="s">
        <v>313</v>
      </c>
      <c r="U427" t="s">
        <v>381</v>
      </c>
      <c r="V427">
        <v>101</v>
      </c>
      <c r="W427">
        <v>12015</v>
      </c>
      <c r="X427">
        <v>245011</v>
      </c>
      <c r="Y427">
        <v>9999</v>
      </c>
      <c r="Z427">
        <v>999</v>
      </c>
      <c r="AA427">
        <v>999</v>
      </c>
      <c r="AB427">
        <v>9999</v>
      </c>
      <c r="AC427">
        <v>9999</v>
      </c>
      <c r="AD427" t="s">
        <v>1</v>
      </c>
      <c r="AE427" t="s">
        <v>227</v>
      </c>
      <c r="AF427" t="s">
        <v>227</v>
      </c>
      <c r="AG427" t="s">
        <v>286</v>
      </c>
      <c r="AI427" t="s">
        <v>227</v>
      </c>
      <c r="AJ427">
        <v>45747</v>
      </c>
      <c r="AK427" t="s">
        <v>287</v>
      </c>
      <c r="AL427" t="s">
        <v>288</v>
      </c>
    </row>
    <row r="428" spans="1:38" x14ac:dyDescent="0.2">
      <c r="A428">
        <v>45</v>
      </c>
      <c r="B428" t="s">
        <v>47</v>
      </c>
      <c r="D428" t="s">
        <v>1830</v>
      </c>
      <c r="E428" t="s">
        <v>220</v>
      </c>
      <c r="F428" t="s">
        <v>1839</v>
      </c>
      <c r="G428" t="s">
        <v>1840</v>
      </c>
      <c r="H428" t="s">
        <v>225</v>
      </c>
      <c r="I428" t="s">
        <v>1772</v>
      </c>
      <c r="J428" s="91">
        <v>-129356.46</v>
      </c>
      <c r="K428" s="91">
        <v>-129356.46</v>
      </c>
      <c r="L428" s="91">
        <v>-129356.46</v>
      </c>
      <c r="M428" t="s">
        <v>278</v>
      </c>
      <c r="N428" t="s">
        <v>278</v>
      </c>
      <c r="O428" t="s">
        <v>1841</v>
      </c>
      <c r="P428" t="s">
        <v>280</v>
      </c>
      <c r="Q428" t="s">
        <v>281</v>
      </c>
      <c r="R428" t="s">
        <v>282</v>
      </c>
      <c r="S428" t="s">
        <v>283</v>
      </c>
      <c r="T428" t="s">
        <v>313</v>
      </c>
      <c r="U428" t="s">
        <v>1538</v>
      </c>
      <c r="V428">
        <v>101</v>
      </c>
      <c r="W428">
        <v>11015</v>
      </c>
      <c r="X428">
        <v>245011</v>
      </c>
      <c r="Y428">
        <v>9999</v>
      </c>
      <c r="Z428">
        <v>204</v>
      </c>
      <c r="AA428">
        <v>999</v>
      </c>
      <c r="AB428">
        <v>9999</v>
      </c>
      <c r="AC428">
        <v>9999</v>
      </c>
      <c r="AD428" t="s">
        <v>1</v>
      </c>
      <c r="AE428" t="s">
        <v>1842</v>
      </c>
      <c r="AF428" t="s">
        <v>227</v>
      </c>
      <c r="AG428" t="s">
        <v>286</v>
      </c>
      <c r="AI428" t="s">
        <v>227</v>
      </c>
      <c r="AJ428">
        <v>45716</v>
      </c>
      <c r="AK428" t="s">
        <v>315</v>
      </c>
      <c r="AL428" t="s">
        <v>288</v>
      </c>
    </row>
    <row r="429" spans="1:38" x14ac:dyDescent="0.2">
      <c r="E429" t="s">
        <v>220</v>
      </c>
      <c r="F429" t="s">
        <v>1843</v>
      </c>
      <c r="G429" t="s">
        <v>1844</v>
      </c>
      <c r="H429" t="s">
        <v>225</v>
      </c>
      <c r="I429" t="s">
        <v>319</v>
      </c>
      <c r="J429" s="91">
        <v>129356.46</v>
      </c>
      <c r="K429" s="91">
        <v>129356.46</v>
      </c>
      <c r="L429" s="91">
        <v>129356.46</v>
      </c>
      <c r="M429" t="s">
        <v>278</v>
      </c>
      <c r="N429" t="s">
        <v>278</v>
      </c>
      <c r="O429" t="s">
        <v>1845</v>
      </c>
      <c r="P429" t="s">
        <v>280</v>
      </c>
      <c r="Q429" t="s">
        <v>281</v>
      </c>
      <c r="R429" t="s">
        <v>282</v>
      </c>
      <c r="S429" t="s">
        <v>283</v>
      </c>
      <c r="T429" t="s">
        <v>313</v>
      </c>
      <c r="U429" t="s">
        <v>1739</v>
      </c>
      <c r="V429">
        <v>101</v>
      </c>
      <c r="W429">
        <v>11015</v>
      </c>
      <c r="X429">
        <v>245011</v>
      </c>
      <c r="Y429">
        <v>9999</v>
      </c>
      <c r="Z429">
        <v>999</v>
      </c>
      <c r="AA429">
        <v>999</v>
      </c>
      <c r="AB429">
        <v>9999</v>
      </c>
      <c r="AC429">
        <v>9999</v>
      </c>
      <c r="AD429" t="s">
        <v>1</v>
      </c>
      <c r="AE429" t="s">
        <v>227</v>
      </c>
      <c r="AF429" t="s">
        <v>227</v>
      </c>
      <c r="AG429" t="s">
        <v>286</v>
      </c>
      <c r="AI429" t="s">
        <v>227</v>
      </c>
      <c r="AJ429">
        <v>45734</v>
      </c>
      <c r="AK429" t="s">
        <v>287</v>
      </c>
      <c r="AL429" t="s">
        <v>288</v>
      </c>
    </row>
    <row r="430" spans="1:38" x14ac:dyDescent="0.2">
      <c r="A430">
        <v>104</v>
      </c>
      <c r="B430" t="s">
        <v>49</v>
      </c>
      <c r="D430" t="s">
        <v>1846</v>
      </c>
      <c r="E430" t="s">
        <v>35</v>
      </c>
      <c r="F430" t="s">
        <v>1847</v>
      </c>
      <c r="G430" t="s">
        <v>1848</v>
      </c>
      <c r="H430" t="s">
        <v>12</v>
      </c>
      <c r="I430" t="s">
        <v>303</v>
      </c>
      <c r="J430" s="91">
        <v>167075.4</v>
      </c>
      <c r="K430" s="91">
        <v>167075.4</v>
      </c>
      <c r="L430" s="91">
        <v>167075.4</v>
      </c>
      <c r="M430" t="s">
        <v>278</v>
      </c>
      <c r="N430" t="s">
        <v>278</v>
      </c>
      <c r="O430" t="s">
        <v>1849</v>
      </c>
      <c r="P430" t="s">
        <v>280</v>
      </c>
      <c r="Q430" t="s">
        <v>281</v>
      </c>
      <c r="R430" t="s">
        <v>282</v>
      </c>
      <c r="S430" t="s">
        <v>283</v>
      </c>
      <c r="T430" t="s">
        <v>366</v>
      </c>
      <c r="U430" t="s">
        <v>404</v>
      </c>
      <c r="V430">
        <v>101</v>
      </c>
      <c r="W430">
        <v>11010</v>
      </c>
      <c r="X430">
        <v>245011</v>
      </c>
      <c r="Y430">
        <v>9999</v>
      </c>
      <c r="Z430">
        <v>204</v>
      </c>
      <c r="AA430">
        <v>999</v>
      </c>
      <c r="AB430">
        <v>9999</v>
      </c>
      <c r="AC430">
        <v>9999</v>
      </c>
      <c r="AD430" t="s">
        <v>1</v>
      </c>
      <c r="AE430" t="s">
        <v>1850</v>
      </c>
      <c r="AF430" t="s">
        <v>227</v>
      </c>
      <c r="AG430" t="s">
        <v>286</v>
      </c>
      <c r="AI430" t="s">
        <v>227</v>
      </c>
      <c r="AJ430">
        <v>45657</v>
      </c>
      <c r="AK430" t="s">
        <v>315</v>
      </c>
      <c r="AL430" t="s">
        <v>288</v>
      </c>
    </row>
    <row r="431" spans="1:38" x14ac:dyDescent="0.2">
      <c r="E431" t="s">
        <v>35</v>
      </c>
      <c r="F431" t="s">
        <v>1851</v>
      </c>
      <c r="G431" t="s">
        <v>1852</v>
      </c>
      <c r="H431" t="s">
        <v>12</v>
      </c>
      <c r="I431" t="s">
        <v>319</v>
      </c>
      <c r="J431" s="91">
        <v>-167075.4</v>
      </c>
      <c r="K431" s="91">
        <v>-167075.4</v>
      </c>
      <c r="L431" s="91">
        <v>-167075.4</v>
      </c>
      <c r="M431" t="s">
        <v>278</v>
      </c>
      <c r="N431" t="s">
        <v>278</v>
      </c>
      <c r="O431" t="s">
        <v>1853</v>
      </c>
      <c r="P431" t="s">
        <v>280</v>
      </c>
      <c r="Q431" t="s">
        <v>281</v>
      </c>
      <c r="R431" t="s">
        <v>282</v>
      </c>
      <c r="S431" t="s">
        <v>283</v>
      </c>
      <c r="T431" t="s">
        <v>366</v>
      </c>
      <c r="U431" t="s">
        <v>404</v>
      </c>
      <c r="V431">
        <v>101</v>
      </c>
      <c r="W431">
        <v>11010</v>
      </c>
      <c r="X431">
        <v>245011</v>
      </c>
      <c r="Y431">
        <v>9999</v>
      </c>
      <c r="Z431">
        <v>204</v>
      </c>
      <c r="AA431">
        <v>999</v>
      </c>
      <c r="AB431">
        <v>9999</v>
      </c>
      <c r="AC431">
        <v>9999</v>
      </c>
      <c r="AD431" t="s">
        <v>1</v>
      </c>
      <c r="AE431" t="s">
        <v>1850</v>
      </c>
      <c r="AF431" t="s">
        <v>227</v>
      </c>
      <c r="AG431" t="s">
        <v>286</v>
      </c>
      <c r="AI431" t="s">
        <v>227</v>
      </c>
      <c r="AJ431">
        <v>45747</v>
      </c>
      <c r="AK431" t="s">
        <v>315</v>
      </c>
      <c r="AL431" t="s">
        <v>288</v>
      </c>
    </row>
    <row r="432" spans="1:38" x14ac:dyDescent="0.2">
      <c r="A432">
        <v>73</v>
      </c>
      <c r="B432" t="s">
        <v>48</v>
      </c>
      <c r="D432" t="s">
        <v>1790</v>
      </c>
      <c r="E432" t="s">
        <v>224</v>
      </c>
      <c r="F432" t="s">
        <v>1854</v>
      </c>
      <c r="G432" t="s">
        <v>1855</v>
      </c>
      <c r="H432" t="s">
        <v>17</v>
      </c>
      <c r="I432" t="s">
        <v>311</v>
      </c>
      <c r="J432" s="91">
        <v>-552318.5</v>
      </c>
      <c r="K432" s="91">
        <v>-552318.5</v>
      </c>
      <c r="L432" s="91">
        <v>-552318.5</v>
      </c>
      <c r="M432" t="s">
        <v>278</v>
      </c>
      <c r="N432" t="s">
        <v>278</v>
      </c>
      <c r="O432" t="s">
        <v>1856</v>
      </c>
      <c r="P432" t="s">
        <v>280</v>
      </c>
      <c r="Q432" t="s">
        <v>281</v>
      </c>
      <c r="R432" t="s">
        <v>282</v>
      </c>
      <c r="S432" t="s">
        <v>283</v>
      </c>
      <c r="T432" t="s">
        <v>313</v>
      </c>
      <c r="U432" t="s">
        <v>594</v>
      </c>
      <c r="V432">
        <v>101</v>
      </c>
      <c r="W432">
        <v>11001</v>
      </c>
      <c r="X432">
        <v>245011</v>
      </c>
      <c r="Y432">
        <v>9999</v>
      </c>
      <c r="Z432">
        <v>999</v>
      </c>
      <c r="AA432">
        <v>999</v>
      </c>
      <c r="AB432">
        <v>9999</v>
      </c>
      <c r="AC432">
        <v>9999</v>
      </c>
      <c r="AD432" t="s">
        <v>1</v>
      </c>
      <c r="AE432" t="s">
        <v>227</v>
      </c>
      <c r="AF432" t="s">
        <v>227</v>
      </c>
      <c r="AG432" t="s">
        <v>286</v>
      </c>
      <c r="AI432" t="s">
        <v>227</v>
      </c>
      <c r="AJ432">
        <v>45688</v>
      </c>
      <c r="AK432" t="s">
        <v>287</v>
      </c>
      <c r="AL432" t="s">
        <v>288</v>
      </c>
    </row>
    <row r="433" spans="1:38" x14ac:dyDescent="0.2">
      <c r="E433" t="s">
        <v>224</v>
      </c>
      <c r="F433" t="s">
        <v>1857</v>
      </c>
      <c r="G433" t="s">
        <v>1858</v>
      </c>
      <c r="H433" t="s">
        <v>12</v>
      </c>
      <c r="I433" t="s">
        <v>319</v>
      </c>
      <c r="J433" s="91">
        <v>28121.200000000001</v>
      </c>
      <c r="K433" s="91">
        <v>28121.200000000001</v>
      </c>
      <c r="L433" s="91">
        <v>28121.200000000001</v>
      </c>
      <c r="M433" t="s">
        <v>278</v>
      </c>
      <c r="N433" t="s">
        <v>278</v>
      </c>
      <c r="O433" t="s">
        <v>1859</v>
      </c>
      <c r="P433" t="s">
        <v>280</v>
      </c>
      <c r="Q433" t="s">
        <v>281</v>
      </c>
      <c r="R433" t="s">
        <v>282</v>
      </c>
      <c r="S433" t="s">
        <v>283</v>
      </c>
      <c r="T433" t="s">
        <v>313</v>
      </c>
      <c r="U433" t="s">
        <v>1230</v>
      </c>
      <c r="V433">
        <v>101</v>
      </c>
      <c r="W433">
        <v>11001</v>
      </c>
      <c r="X433">
        <v>245011</v>
      </c>
      <c r="Y433">
        <v>9999</v>
      </c>
      <c r="Z433">
        <v>204</v>
      </c>
      <c r="AA433">
        <v>999</v>
      </c>
      <c r="AB433">
        <v>9999</v>
      </c>
      <c r="AC433">
        <v>9999</v>
      </c>
      <c r="AD433" t="s">
        <v>1</v>
      </c>
      <c r="AE433" t="s">
        <v>1794</v>
      </c>
      <c r="AF433" t="s">
        <v>227</v>
      </c>
      <c r="AG433" t="s">
        <v>286</v>
      </c>
      <c r="AI433" t="s">
        <v>227</v>
      </c>
      <c r="AJ433">
        <v>45747</v>
      </c>
      <c r="AK433" t="s">
        <v>315</v>
      </c>
      <c r="AL433" t="s">
        <v>288</v>
      </c>
    </row>
    <row r="434" spans="1:38" x14ac:dyDescent="0.2">
      <c r="E434" t="s">
        <v>224</v>
      </c>
      <c r="F434" t="s">
        <v>1860</v>
      </c>
      <c r="G434" t="s">
        <v>1861</v>
      </c>
      <c r="H434" t="s">
        <v>12</v>
      </c>
      <c r="I434" t="s">
        <v>319</v>
      </c>
      <c r="J434" s="91">
        <v>-28121.200000000001</v>
      </c>
      <c r="K434" s="91">
        <v>-28121.200000000001</v>
      </c>
      <c r="L434" s="91">
        <v>-28121.200000000001</v>
      </c>
      <c r="M434" t="s">
        <v>278</v>
      </c>
      <c r="N434" t="s">
        <v>278</v>
      </c>
      <c r="O434" t="s">
        <v>1862</v>
      </c>
      <c r="P434" t="s">
        <v>280</v>
      </c>
      <c r="Q434" t="s">
        <v>281</v>
      </c>
      <c r="R434" t="s">
        <v>282</v>
      </c>
      <c r="S434" t="s">
        <v>283</v>
      </c>
      <c r="T434" t="s">
        <v>313</v>
      </c>
      <c r="U434" t="s">
        <v>1230</v>
      </c>
      <c r="V434">
        <v>101</v>
      </c>
      <c r="W434">
        <v>11001</v>
      </c>
      <c r="X434">
        <v>245011</v>
      </c>
      <c r="Y434">
        <v>9999</v>
      </c>
      <c r="Z434">
        <v>204</v>
      </c>
      <c r="AA434">
        <v>999</v>
      </c>
      <c r="AB434">
        <v>9999</v>
      </c>
      <c r="AC434">
        <v>9999</v>
      </c>
      <c r="AD434" t="s">
        <v>1</v>
      </c>
      <c r="AE434" t="s">
        <v>1794</v>
      </c>
      <c r="AF434" t="s">
        <v>227</v>
      </c>
      <c r="AG434" t="s">
        <v>286</v>
      </c>
      <c r="AI434" t="s">
        <v>227</v>
      </c>
      <c r="AJ434">
        <v>45747</v>
      </c>
      <c r="AK434" t="s">
        <v>315</v>
      </c>
      <c r="AL434" t="s">
        <v>288</v>
      </c>
    </row>
    <row r="435" spans="1:38" x14ac:dyDescent="0.2">
      <c r="E435" t="s">
        <v>224</v>
      </c>
      <c r="F435" t="s">
        <v>1863</v>
      </c>
      <c r="G435" t="s">
        <v>1864</v>
      </c>
      <c r="H435" t="s">
        <v>12</v>
      </c>
      <c r="I435" t="s">
        <v>319</v>
      </c>
      <c r="J435" s="91">
        <v>14060.6</v>
      </c>
      <c r="K435" s="91">
        <v>14060.6</v>
      </c>
      <c r="L435" s="91">
        <v>14060.6</v>
      </c>
      <c r="M435" t="s">
        <v>278</v>
      </c>
      <c r="N435" t="s">
        <v>278</v>
      </c>
      <c r="O435" t="s">
        <v>1865</v>
      </c>
      <c r="P435" t="s">
        <v>280</v>
      </c>
      <c r="Q435" t="s">
        <v>281</v>
      </c>
      <c r="R435" t="s">
        <v>282</v>
      </c>
      <c r="S435" t="s">
        <v>283</v>
      </c>
      <c r="T435" t="s">
        <v>313</v>
      </c>
      <c r="U435" t="s">
        <v>1230</v>
      </c>
      <c r="V435">
        <v>101</v>
      </c>
      <c r="W435">
        <v>11001</v>
      </c>
      <c r="X435">
        <v>245011</v>
      </c>
      <c r="Y435">
        <v>9999</v>
      </c>
      <c r="Z435">
        <v>204</v>
      </c>
      <c r="AA435">
        <v>999</v>
      </c>
      <c r="AB435">
        <v>9999</v>
      </c>
      <c r="AC435">
        <v>9999</v>
      </c>
      <c r="AD435" t="s">
        <v>1</v>
      </c>
      <c r="AE435" t="s">
        <v>1794</v>
      </c>
      <c r="AF435" t="s">
        <v>227</v>
      </c>
      <c r="AG435" t="s">
        <v>286</v>
      </c>
      <c r="AI435" t="s">
        <v>227</v>
      </c>
      <c r="AJ435">
        <v>45747</v>
      </c>
      <c r="AK435" t="s">
        <v>315</v>
      </c>
      <c r="AL435" t="s">
        <v>288</v>
      </c>
    </row>
    <row r="436" spans="1:38" x14ac:dyDescent="0.2">
      <c r="E436" t="s">
        <v>224</v>
      </c>
      <c r="F436" t="s">
        <v>1866</v>
      </c>
      <c r="G436" t="s">
        <v>1867</v>
      </c>
      <c r="H436" t="s">
        <v>12</v>
      </c>
      <c r="I436" t="s">
        <v>319</v>
      </c>
      <c r="J436" s="91">
        <v>-14060.6</v>
      </c>
      <c r="K436" s="91">
        <v>-14060.6</v>
      </c>
      <c r="L436" s="91">
        <v>-14060.6</v>
      </c>
      <c r="M436" t="s">
        <v>278</v>
      </c>
      <c r="N436" t="s">
        <v>278</v>
      </c>
      <c r="O436" t="s">
        <v>1868</v>
      </c>
      <c r="P436" t="s">
        <v>280</v>
      </c>
      <c r="Q436" t="s">
        <v>281</v>
      </c>
      <c r="R436" t="s">
        <v>282</v>
      </c>
      <c r="S436" t="s">
        <v>283</v>
      </c>
      <c r="T436" t="s">
        <v>313</v>
      </c>
      <c r="U436" t="s">
        <v>1230</v>
      </c>
      <c r="V436">
        <v>101</v>
      </c>
      <c r="W436">
        <v>11001</v>
      </c>
      <c r="X436">
        <v>245011</v>
      </c>
      <c r="Y436">
        <v>9999</v>
      </c>
      <c r="Z436">
        <v>204</v>
      </c>
      <c r="AA436">
        <v>999</v>
      </c>
      <c r="AB436">
        <v>9999</v>
      </c>
      <c r="AC436">
        <v>9999</v>
      </c>
      <c r="AD436" t="s">
        <v>1</v>
      </c>
      <c r="AE436" t="s">
        <v>1794</v>
      </c>
      <c r="AF436" t="s">
        <v>227</v>
      </c>
      <c r="AG436" t="s">
        <v>286</v>
      </c>
      <c r="AI436" t="s">
        <v>227</v>
      </c>
      <c r="AJ436">
        <v>45747</v>
      </c>
      <c r="AK436" t="s">
        <v>315</v>
      </c>
      <c r="AL436" t="s">
        <v>288</v>
      </c>
    </row>
    <row r="437" spans="1:38" x14ac:dyDescent="0.2">
      <c r="E437" t="s">
        <v>224</v>
      </c>
      <c r="F437" t="s">
        <v>1869</v>
      </c>
      <c r="G437" t="s">
        <v>1870</v>
      </c>
      <c r="H437" t="s">
        <v>17</v>
      </c>
      <c r="I437" t="s">
        <v>319</v>
      </c>
      <c r="J437" s="91">
        <v>552318.5</v>
      </c>
      <c r="K437" s="91">
        <v>552318.5</v>
      </c>
      <c r="L437" s="91">
        <v>552318.5</v>
      </c>
      <c r="M437" t="s">
        <v>278</v>
      </c>
      <c r="N437" t="s">
        <v>278</v>
      </c>
      <c r="O437" t="s">
        <v>1871</v>
      </c>
      <c r="P437" t="s">
        <v>280</v>
      </c>
      <c r="Q437" t="s">
        <v>281</v>
      </c>
      <c r="R437" t="s">
        <v>282</v>
      </c>
      <c r="S437" t="s">
        <v>283</v>
      </c>
      <c r="T437" t="s">
        <v>313</v>
      </c>
      <c r="U437" t="s">
        <v>594</v>
      </c>
      <c r="V437">
        <v>101</v>
      </c>
      <c r="W437">
        <v>11001</v>
      </c>
      <c r="X437">
        <v>245011</v>
      </c>
      <c r="Y437">
        <v>9999</v>
      </c>
      <c r="Z437">
        <v>999</v>
      </c>
      <c r="AA437">
        <v>999</v>
      </c>
      <c r="AB437">
        <v>9999</v>
      </c>
      <c r="AC437">
        <v>9999</v>
      </c>
      <c r="AD437" t="s">
        <v>1</v>
      </c>
      <c r="AE437" t="s">
        <v>227</v>
      </c>
      <c r="AF437" t="s">
        <v>227</v>
      </c>
      <c r="AG437" t="s">
        <v>286</v>
      </c>
      <c r="AI437" t="s">
        <v>227</v>
      </c>
      <c r="AJ437">
        <v>45742</v>
      </c>
      <c r="AK437" t="s">
        <v>287</v>
      </c>
      <c r="AL437" t="s">
        <v>288</v>
      </c>
    </row>
    <row r="438" spans="1:38" x14ac:dyDescent="0.2">
      <c r="A438">
        <v>45</v>
      </c>
      <c r="B438" t="s">
        <v>47</v>
      </c>
      <c r="D438" t="s">
        <v>1872</v>
      </c>
      <c r="E438" t="s">
        <v>37</v>
      </c>
      <c r="F438" t="s">
        <v>1873</v>
      </c>
      <c r="G438" t="s">
        <v>1874</v>
      </c>
      <c r="H438" t="s">
        <v>12</v>
      </c>
      <c r="I438" t="s">
        <v>1772</v>
      </c>
      <c r="J438" s="91">
        <v>-659</v>
      </c>
      <c r="K438" s="91">
        <v>-659</v>
      </c>
      <c r="L438" s="91">
        <v>-659</v>
      </c>
      <c r="M438" t="s">
        <v>278</v>
      </c>
      <c r="N438" t="s">
        <v>278</v>
      </c>
      <c r="O438" t="s">
        <v>1875</v>
      </c>
      <c r="P438" t="s">
        <v>280</v>
      </c>
      <c r="Q438" t="s">
        <v>281</v>
      </c>
      <c r="R438" t="s">
        <v>282</v>
      </c>
      <c r="S438" t="s">
        <v>294</v>
      </c>
      <c r="T438" t="s">
        <v>305</v>
      </c>
      <c r="U438" t="s">
        <v>1638</v>
      </c>
      <c r="V438">
        <v>101</v>
      </c>
      <c r="W438">
        <v>13001</v>
      </c>
      <c r="X438">
        <v>245011</v>
      </c>
      <c r="Y438">
        <v>9999</v>
      </c>
      <c r="Z438">
        <v>950</v>
      </c>
      <c r="AA438">
        <v>999</v>
      </c>
      <c r="AB438">
        <v>9999</v>
      </c>
      <c r="AC438">
        <v>9999</v>
      </c>
      <c r="AD438" t="s">
        <v>1</v>
      </c>
      <c r="AE438" t="s">
        <v>1876</v>
      </c>
      <c r="AF438" t="s">
        <v>227</v>
      </c>
      <c r="AG438" t="s">
        <v>286</v>
      </c>
      <c r="AI438" t="s">
        <v>227</v>
      </c>
      <c r="AJ438">
        <v>45716</v>
      </c>
      <c r="AK438" t="s">
        <v>315</v>
      </c>
      <c r="AL438" t="s">
        <v>288</v>
      </c>
    </row>
    <row r="439" spans="1:38" x14ac:dyDescent="0.2">
      <c r="E439" t="s">
        <v>37</v>
      </c>
      <c r="F439" t="s">
        <v>1877</v>
      </c>
      <c r="G439" t="s">
        <v>1878</v>
      </c>
      <c r="H439" t="s">
        <v>12</v>
      </c>
      <c r="I439" t="s">
        <v>319</v>
      </c>
      <c r="J439" s="91">
        <v>659</v>
      </c>
      <c r="K439" s="91">
        <v>659</v>
      </c>
      <c r="L439" s="91">
        <v>659</v>
      </c>
      <c r="M439" t="s">
        <v>278</v>
      </c>
      <c r="N439" t="s">
        <v>278</v>
      </c>
      <c r="O439" t="s">
        <v>1879</v>
      </c>
      <c r="P439" t="s">
        <v>280</v>
      </c>
      <c r="Q439" t="s">
        <v>281</v>
      </c>
      <c r="R439" t="s">
        <v>282</v>
      </c>
      <c r="S439" t="s">
        <v>294</v>
      </c>
      <c r="T439" t="s">
        <v>305</v>
      </c>
      <c r="U439" t="s">
        <v>1638</v>
      </c>
      <c r="V439">
        <v>101</v>
      </c>
      <c r="W439">
        <v>13001</v>
      </c>
      <c r="X439">
        <v>245011</v>
      </c>
      <c r="Y439">
        <v>9999</v>
      </c>
      <c r="Z439">
        <v>950</v>
      </c>
      <c r="AA439">
        <v>999</v>
      </c>
      <c r="AB439">
        <v>9999</v>
      </c>
      <c r="AC439">
        <v>9999</v>
      </c>
      <c r="AD439" t="s">
        <v>1</v>
      </c>
      <c r="AE439" t="s">
        <v>1876</v>
      </c>
      <c r="AF439" t="s">
        <v>227</v>
      </c>
      <c r="AG439" t="s">
        <v>286</v>
      </c>
      <c r="AI439" t="s">
        <v>227</v>
      </c>
      <c r="AJ439">
        <v>45747</v>
      </c>
      <c r="AK439" t="s">
        <v>315</v>
      </c>
      <c r="AL439" t="s">
        <v>288</v>
      </c>
    </row>
    <row r="440" spans="1:38" x14ac:dyDescent="0.2">
      <c r="A440">
        <v>256</v>
      </c>
      <c r="B440" t="s">
        <v>551</v>
      </c>
      <c r="D440" t="s">
        <v>1880</v>
      </c>
      <c r="E440" t="s">
        <v>23</v>
      </c>
      <c r="F440" t="s">
        <v>1881</v>
      </c>
      <c r="G440" t="s">
        <v>1882</v>
      </c>
      <c r="H440" t="s">
        <v>16</v>
      </c>
      <c r="I440" t="s">
        <v>1362</v>
      </c>
      <c r="J440" s="91">
        <v>452022.2</v>
      </c>
      <c r="K440" s="91">
        <v>452022.2</v>
      </c>
      <c r="L440" s="91">
        <v>452022.2</v>
      </c>
      <c r="M440" t="s">
        <v>278</v>
      </c>
      <c r="N440" t="s">
        <v>278</v>
      </c>
      <c r="O440" t="s">
        <v>1883</v>
      </c>
      <c r="P440" t="s">
        <v>280</v>
      </c>
      <c r="Q440" t="s">
        <v>281</v>
      </c>
      <c r="R440" t="s">
        <v>282</v>
      </c>
      <c r="S440" t="s">
        <v>283</v>
      </c>
      <c r="T440" t="s">
        <v>313</v>
      </c>
      <c r="U440" t="s">
        <v>415</v>
      </c>
      <c r="V440">
        <v>101</v>
      </c>
      <c r="W440">
        <v>11003</v>
      </c>
      <c r="X440">
        <v>245011</v>
      </c>
      <c r="Y440">
        <v>9999</v>
      </c>
      <c r="Z440">
        <v>999</v>
      </c>
      <c r="AA440">
        <v>999</v>
      </c>
      <c r="AB440">
        <v>9999</v>
      </c>
      <c r="AC440">
        <v>9999</v>
      </c>
      <c r="AD440" t="s">
        <v>1</v>
      </c>
      <c r="AE440" t="s">
        <v>227</v>
      </c>
      <c r="AF440" t="s">
        <v>227</v>
      </c>
      <c r="AG440" t="s">
        <v>286</v>
      </c>
      <c r="AI440" t="s">
        <v>227</v>
      </c>
      <c r="AJ440">
        <v>45535</v>
      </c>
      <c r="AK440" t="s">
        <v>287</v>
      </c>
      <c r="AL440" t="s">
        <v>288</v>
      </c>
    </row>
    <row r="441" spans="1:38" x14ac:dyDescent="0.2">
      <c r="A441">
        <v>226</v>
      </c>
      <c r="B441" t="s">
        <v>864</v>
      </c>
      <c r="D441" t="s">
        <v>1880</v>
      </c>
      <c r="E441" t="s">
        <v>23</v>
      </c>
      <c r="F441" t="s">
        <v>1884</v>
      </c>
      <c r="G441" t="s">
        <v>1885</v>
      </c>
      <c r="H441" t="s">
        <v>16</v>
      </c>
      <c r="I441" t="s">
        <v>1411</v>
      </c>
      <c r="J441" s="91">
        <v>-229716.2</v>
      </c>
      <c r="K441" s="91">
        <v>-229716.2</v>
      </c>
      <c r="L441" s="91">
        <v>-229716.2</v>
      </c>
      <c r="M441" t="s">
        <v>278</v>
      </c>
      <c r="N441" t="s">
        <v>278</v>
      </c>
      <c r="O441" t="s">
        <v>1883</v>
      </c>
      <c r="P441" t="s">
        <v>280</v>
      </c>
      <c r="Q441" t="s">
        <v>281</v>
      </c>
      <c r="R441" t="s">
        <v>282</v>
      </c>
      <c r="S441" t="s">
        <v>283</v>
      </c>
      <c r="T441" t="s">
        <v>313</v>
      </c>
      <c r="U441" t="s">
        <v>415</v>
      </c>
      <c r="V441">
        <v>101</v>
      </c>
      <c r="W441">
        <v>11003</v>
      </c>
      <c r="X441">
        <v>245011</v>
      </c>
      <c r="Y441">
        <v>9999</v>
      </c>
      <c r="Z441">
        <v>999</v>
      </c>
      <c r="AA441">
        <v>999</v>
      </c>
      <c r="AB441">
        <v>9999</v>
      </c>
      <c r="AC441">
        <v>9999</v>
      </c>
      <c r="AD441" t="s">
        <v>1</v>
      </c>
      <c r="AE441" t="s">
        <v>227</v>
      </c>
      <c r="AF441" t="s">
        <v>227</v>
      </c>
      <c r="AG441" t="s">
        <v>286</v>
      </c>
      <c r="AI441" t="s">
        <v>227</v>
      </c>
      <c r="AJ441">
        <v>45565</v>
      </c>
      <c r="AK441" t="s">
        <v>287</v>
      </c>
      <c r="AL441" t="s">
        <v>288</v>
      </c>
    </row>
    <row r="442" spans="1:38" x14ac:dyDescent="0.2">
      <c r="A442">
        <v>195</v>
      </c>
      <c r="B442" t="s">
        <v>559</v>
      </c>
      <c r="D442" t="s">
        <v>1880</v>
      </c>
      <c r="E442" t="s">
        <v>23</v>
      </c>
      <c r="F442" t="s">
        <v>1886</v>
      </c>
      <c r="G442" t="s">
        <v>1887</v>
      </c>
      <c r="H442" t="s">
        <v>16</v>
      </c>
      <c r="I442" t="s">
        <v>277</v>
      </c>
      <c r="J442" s="91">
        <v>-177844.8</v>
      </c>
      <c r="K442" s="91">
        <v>-177844.8</v>
      </c>
      <c r="L442" s="91">
        <v>-177844.8</v>
      </c>
      <c r="M442" t="s">
        <v>278</v>
      </c>
      <c r="N442" t="s">
        <v>278</v>
      </c>
      <c r="O442" t="s">
        <v>1883</v>
      </c>
      <c r="P442" t="s">
        <v>280</v>
      </c>
      <c r="Q442" t="s">
        <v>281</v>
      </c>
      <c r="R442" t="s">
        <v>282</v>
      </c>
      <c r="S442" t="s">
        <v>283</v>
      </c>
      <c r="T442" t="s">
        <v>313</v>
      </c>
      <c r="U442" t="s">
        <v>415</v>
      </c>
      <c r="V442">
        <v>101</v>
      </c>
      <c r="W442">
        <v>11003</v>
      </c>
      <c r="X442">
        <v>245011</v>
      </c>
      <c r="Y442">
        <v>9999</v>
      </c>
      <c r="Z442">
        <v>999</v>
      </c>
      <c r="AA442">
        <v>999</v>
      </c>
      <c r="AB442">
        <v>9999</v>
      </c>
      <c r="AC442">
        <v>9999</v>
      </c>
      <c r="AD442" t="s">
        <v>1</v>
      </c>
      <c r="AE442" t="s">
        <v>227</v>
      </c>
      <c r="AF442" t="s">
        <v>227</v>
      </c>
      <c r="AG442" t="s">
        <v>286</v>
      </c>
      <c r="AI442" t="s">
        <v>227</v>
      </c>
      <c r="AJ442">
        <v>45596</v>
      </c>
      <c r="AK442" t="s">
        <v>287</v>
      </c>
      <c r="AL442" t="s">
        <v>288</v>
      </c>
    </row>
    <row r="443" spans="1:38" x14ac:dyDescent="0.2">
      <c r="A443">
        <v>75</v>
      </c>
      <c r="B443" t="s">
        <v>48</v>
      </c>
      <c r="D443" t="s">
        <v>1880</v>
      </c>
      <c r="E443" t="s">
        <v>23</v>
      </c>
      <c r="F443" t="s">
        <v>1888</v>
      </c>
      <c r="G443" t="s">
        <v>1889</v>
      </c>
      <c r="H443" t="s">
        <v>16</v>
      </c>
      <c r="I443" t="s">
        <v>1772</v>
      </c>
      <c r="J443" s="91">
        <v>-14820.4</v>
      </c>
      <c r="K443" s="91">
        <v>-14820.4</v>
      </c>
      <c r="L443" s="91">
        <v>-14820.4</v>
      </c>
      <c r="M443" t="s">
        <v>278</v>
      </c>
      <c r="N443" t="s">
        <v>278</v>
      </c>
      <c r="O443" t="s">
        <v>1883</v>
      </c>
      <c r="P443" t="s">
        <v>280</v>
      </c>
      <c r="Q443" t="s">
        <v>281</v>
      </c>
      <c r="R443" t="s">
        <v>282</v>
      </c>
      <c r="S443" t="s">
        <v>283</v>
      </c>
      <c r="T443" t="s">
        <v>313</v>
      </c>
      <c r="U443" t="s">
        <v>415</v>
      </c>
      <c r="V443">
        <v>101</v>
      </c>
      <c r="W443">
        <v>11003</v>
      </c>
      <c r="X443">
        <v>245011</v>
      </c>
      <c r="Y443">
        <v>9999</v>
      </c>
      <c r="Z443">
        <v>999</v>
      </c>
      <c r="AA443">
        <v>999</v>
      </c>
      <c r="AB443">
        <v>9999</v>
      </c>
      <c r="AC443">
        <v>9999</v>
      </c>
      <c r="AD443" t="s">
        <v>1</v>
      </c>
      <c r="AE443" t="s">
        <v>227</v>
      </c>
      <c r="AF443" t="s">
        <v>227</v>
      </c>
      <c r="AG443" t="s">
        <v>286</v>
      </c>
      <c r="AI443" t="s">
        <v>227</v>
      </c>
      <c r="AJ443">
        <v>45716</v>
      </c>
      <c r="AK443" t="s">
        <v>287</v>
      </c>
      <c r="AL443" t="s">
        <v>288</v>
      </c>
    </row>
    <row r="444" spans="1:38" x14ac:dyDescent="0.2">
      <c r="E444" t="s">
        <v>23</v>
      </c>
      <c r="F444" t="s">
        <v>1890</v>
      </c>
      <c r="G444" t="s">
        <v>1891</v>
      </c>
      <c r="H444" t="s">
        <v>16</v>
      </c>
      <c r="I444" t="s">
        <v>1892</v>
      </c>
      <c r="J444" s="91">
        <v>-29640.799999999999</v>
      </c>
      <c r="K444" s="91">
        <v>-29640.799999999999</v>
      </c>
      <c r="L444" s="91">
        <v>-29640.799999999999</v>
      </c>
      <c r="M444" t="s">
        <v>278</v>
      </c>
      <c r="N444" t="s">
        <v>278</v>
      </c>
      <c r="O444" t="s">
        <v>1883</v>
      </c>
      <c r="P444" t="s">
        <v>280</v>
      </c>
      <c r="Q444" t="s">
        <v>281</v>
      </c>
      <c r="R444" t="s">
        <v>282</v>
      </c>
      <c r="S444" t="s">
        <v>283</v>
      </c>
      <c r="T444" t="s">
        <v>313</v>
      </c>
      <c r="U444" t="s">
        <v>415</v>
      </c>
      <c r="V444">
        <v>101</v>
      </c>
      <c r="W444">
        <v>11003</v>
      </c>
      <c r="X444">
        <v>245011</v>
      </c>
      <c r="Y444">
        <v>9999</v>
      </c>
      <c r="Z444">
        <v>999</v>
      </c>
      <c r="AA444">
        <v>999</v>
      </c>
      <c r="AB444">
        <v>9999</v>
      </c>
      <c r="AC444">
        <v>9999</v>
      </c>
      <c r="AD444" t="s">
        <v>1</v>
      </c>
      <c r="AE444" t="s">
        <v>227</v>
      </c>
      <c r="AF444" t="s">
        <v>227</v>
      </c>
      <c r="AG444" t="s">
        <v>286</v>
      </c>
      <c r="AI444" t="s">
        <v>227</v>
      </c>
      <c r="AJ444">
        <v>45777</v>
      </c>
      <c r="AK444" t="s">
        <v>287</v>
      </c>
      <c r="AL444" t="s">
        <v>288</v>
      </c>
    </row>
    <row r="445" spans="1:38" x14ac:dyDescent="0.2">
      <c r="A445">
        <v>44</v>
      </c>
      <c r="B445" t="s">
        <v>47</v>
      </c>
      <c r="D445" t="s">
        <v>1893</v>
      </c>
      <c r="E445" t="s">
        <v>1894</v>
      </c>
      <c r="F445" t="s">
        <v>1895</v>
      </c>
      <c r="G445" t="s">
        <v>1896</v>
      </c>
      <c r="H445" t="s">
        <v>12</v>
      </c>
      <c r="I445" t="s">
        <v>319</v>
      </c>
      <c r="J445" s="91">
        <v>-1514.08</v>
      </c>
      <c r="K445" s="91">
        <v>-1514.08</v>
      </c>
      <c r="L445" s="91">
        <v>-1514.08</v>
      </c>
      <c r="M445" t="s">
        <v>278</v>
      </c>
      <c r="N445" t="s">
        <v>278</v>
      </c>
      <c r="O445" t="s">
        <v>1893</v>
      </c>
      <c r="P445" t="s">
        <v>280</v>
      </c>
      <c r="Q445" t="s">
        <v>281</v>
      </c>
      <c r="R445" t="s">
        <v>282</v>
      </c>
      <c r="S445" t="s">
        <v>283</v>
      </c>
      <c r="T445" t="s">
        <v>313</v>
      </c>
      <c r="U445" t="s">
        <v>651</v>
      </c>
      <c r="V445">
        <v>101</v>
      </c>
      <c r="W445">
        <v>12016</v>
      </c>
      <c r="X445">
        <v>245011</v>
      </c>
      <c r="Y445">
        <v>9999</v>
      </c>
      <c r="Z445">
        <v>950</v>
      </c>
      <c r="AA445">
        <v>999</v>
      </c>
      <c r="AB445">
        <v>9999</v>
      </c>
      <c r="AC445">
        <v>9999</v>
      </c>
      <c r="AD445" t="s">
        <v>1</v>
      </c>
      <c r="AE445" t="s">
        <v>1897</v>
      </c>
      <c r="AF445" t="s">
        <v>227</v>
      </c>
      <c r="AG445" t="s">
        <v>286</v>
      </c>
      <c r="AI445" t="s">
        <v>227</v>
      </c>
      <c r="AJ445">
        <v>45747</v>
      </c>
      <c r="AK445" t="s">
        <v>315</v>
      </c>
      <c r="AL445" t="s">
        <v>288</v>
      </c>
    </row>
    <row r="446" spans="1:38" x14ac:dyDescent="0.2">
      <c r="E446" t="s">
        <v>1894</v>
      </c>
      <c r="F446" t="s">
        <v>1898</v>
      </c>
      <c r="G446" t="s">
        <v>1899</v>
      </c>
      <c r="H446" t="s">
        <v>12</v>
      </c>
      <c r="I446" t="s">
        <v>1892</v>
      </c>
      <c r="J446" s="91">
        <v>1514.08</v>
      </c>
      <c r="K446" s="91">
        <v>1514.08</v>
      </c>
      <c r="L446" s="91">
        <v>1514.08</v>
      </c>
      <c r="M446" t="s">
        <v>278</v>
      </c>
      <c r="N446" t="s">
        <v>278</v>
      </c>
      <c r="O446" t="s">
        <v>1900</v>
      </c>
      <c r="P446" t="s">
        <v>280</v>
      </c>
      <c r="Q446" t="s">
        <v>281</v>
      </c>
      <c r="R446" t="s">
        <v>282</v>
      </c>
      <c r="S446" t="s">
        <v>283</v>
      </c>
      <c r="T446" t="s">
        <v>313</v>
      </c>
      <c r="U446" t="s">
        <v>651</v>
      </c>
      <c r="V446">
        <v>101</v>
      </c>
      <c r="W446">
        <v>12016</v>
      </c>
      <c r="X446">
        <v>245011</v>
      </c>
      <c r="Y446">
        <v>9999</v>
      </c>
      <c r="Z446">
        <v>950</v>
      </c>
      <c r="AA446">
        <v>999</v>
      </c>
      <c r="AB446">
        <v>9999</v>
      </c>
      <c r="AC446">
        <v>9999</v>
      </c>
      <c r="AD446" t="s">
        <v>1</v>
      </c>
      <c r="AE446" t="s">
        <v>1897</v>
      </c>
      <c r="AF446" t="s">
        <v>227</v>
      </c>
      <c r="AG446" t="s">
        <v>286</v>
      </c>
      <c r="AI446" t="s">
        <v>227</v>
      </c>
      <c r="AJ446">
        <v>45750</v>
      </c>
      <c r="AK446" t="s">
        <v>315</v>
      </c>
      <c r="AL446" t="s">
        <v>288</v>
      </c>
    </row>
    <row r="447" spans="1:38" x14ac:dyDescent="0.2">
      <c r="A447">
        <v>44</v>
      </c>
      <c r="B447" t="s">
        <v>47</v>
      </c>
      <c r="D447" t="s">
        <v>1901</v>
      </c>
      <c r="E447" t="s">
        <v>38</v>
      </c>
      <c r="F447" t="s">
        <v>1902</v>
      </c>
      <c r="G447" t="s">
        <v>1903</v>
      </c>
      <c r="H447" t="s">
        <v>12</v>
      </c>
      <c r="I447" t="s">
        <v>319</v>
      </c>
      <c r="J447" s="91">
        <v>-12780</v>
      </c>
      <c r="K447" s="91">
        <v>-12780</v>
      </c>
      <c r="L447" s="91">
        <v>-12780</v>
      </c>
      <c r="M447" t="s">
        <v>278</v>
      </c>
      <c r="N447" t="s">
        <v>278</v>
      </c>
      <c r="O447" t="s">
        <v>1904</v>
      </c>
      <c r="P447" t="s">
        <v>280</v>
      </c>
      <c r="Q447" t="s">
        <v>281</v>
      </c>
      <c r="R447" t="s">
        <v>282</v>
      </c>
      <c r="S447" t="s">
        <v>283</v>
      </c>
      <c r="T447" t="s">
        <v>313</v>
      </c>
      <c r="U447" t="s">
        <v>1905</v>
      </c>
      <c r="V447">
        <v>101</v>
      </c>
      <c r="W447">
        <v>11023</v>
      </c>
      <c r="X447">
        <v>245011</v>
      </c>
      <c r="Y447">
        <v>9999</v>
      </c>
      <c r="Z447">
        <v>204</v>
      </c>
      <c r="AA447">
        <v>999</v>
      </c>
      <c r="AB447">
        <v>9999</v>
      </c>
      <c r="AC447">
        <v>9999</v>
      </c>
      <c r="AD447" t="s">
        <v>1</v>
      </c>
      <c r="AE447" t="s">
        <v>1906</v>
      </c>
      <c r="AF447" t="s">
        <v>227</v>
      </c>
      <c r="AG447" t="s">
        <v>286</v>
      </c>
      <c r="AI447" t="s">
        <v>227</v>
      </c>
      <c r="AJ447">
        <v>45747</v>
      </c>
      <c r="AK447" t="s">
        <v>315</v>
      </c>
      <c r="AL447" t="s">
        <v>288</v>
      </c>
    </row>
    <row r="448" spans="1:38" x14ac:dyDescent="0.2">
      <c r="E448" t="s">
        <v>38</v>
      </c>
      <c r="F448" t="s">
        <v>1907</v>
      </c>
      <c r="G448" t="s">
        <v>1908</v>
      </c>
      <c r="H448" t="s">
        <v>12</v>
      </c>
      <c r="I448" t="s">
        <v>1892</v>
      </c>
      <c r="J448" s="91">
        <v>12780</v>
      </c>
      <c r="K448" s="91">
        <v>12780</v>
      </c>
      <c r="L448" s="91">
        <v>12780</v>
      </c>
      <c r="M448" t="s">
        <v>278</v>
      </c>
      <c r="N448" t="s">
        <v>278</v>
      </c>
      <c r="O448" t="s">
        <v>1909</v>
      </c>
      <c r="P448" t="s">
        <v>280</v>
      </c>
      <c r="Q448" t="s">
        <v>281</v>
      </c>
      <c r="R448" t="s">
        <v>282</v>
      </c>
      <c r="S448" t="s">
        <v>283</v>
      </c>
      <c r="T448" t="s">
        <v>313</v>
      </c>
      <c r="U448" t="s">
        <v>1905</v>
      </c>
      <c r="V448">
        <v>101</v>
      </c>
      <c r="W448">
        <v>11023</v>
      </c>
      <c r="X448">
        <v>245011</v>
      </c>
      <c r="Y448">
        <v>9999</v>
      </c>
      <c r="Z448">
        <v>204</v>
      </c>
      <c r="AA448">
        <v>999</v>
      </c>
      <c r="AB448">
        <v>9999</v>
      </c>
      <c r="AC448">
        <v>9999</v>
      </c>
      <c r="AD448" t="s">
        <v>1</v>
      </c>
      <c r="AE448" t="s">
        <v>1906</v>
      </c>
      <c r="AF448" t="s">
        <v>227</v>
      </c>
      <c r="AG448" t="s">
        <v>286</v>
      </c>
      <c r="AI448" t="s">
        <v>227</v>
      </c>
      <c r="AJ448">
        <v>45750</v>
      </c>
      <c r="AK448" t="s">
        <v>315</v>
      </c>
      <c r="AL448" t="s">
        <v>288</v>
      </c>
    </row>
    <row r="449" spans="1:38" x14ac:dyDescent="0.2">
      <c r="A449">
        <v>229</v>
      </c>
      <c r="B449" t="s">
        <v>864</v>
      </c>
      <c r="D449" t="s">
        <v>1910</v>
      </c>
      <c r="E449" t="s">
        <v>35</v>
      </c>
      <c r="F449" t="s">
        <v>1911</v>
      </c>
      <c r="G449" t="s">
        <v>1912</v>
      </c>
      <c r="H449" t="s">
        <v>27</v>
      </c>
      <c r="I449" t="s">
        <v>1411</v>
      </c>
      <c r="J449" s="91">
        <v>-75000</v>
      </c>
      <c r="K449" s="91">
        <v>-75000</v>
      </c>
      <c r="L449" s="91">
        <v>-75000</v>
      </c>
      <c r="M449" t="s">
        <v>278</v>
      </c>
      <c r="N449" t="s">
        <v>278</v>
      </c>
      <c r="O449" t="s">
        <v>1913</v>
      </c>
      <c r="P449" t="s">
        <v>280</v>
      </c>
      <c r="Q449" t="s">
        <v>281</v>
      </c>
      <c r="R449" t="s">
        <v>282</v>
      </c>
      <c r="S449" t="s">
        <v>283</v>
      </c>
      <c r="T449" t="s">
        <v>366</v>
      </c>
      <c r="U449" t="s">
        <v>490</v>
      </c>
      <c r="V449">
        <v>101</v>
      </c>
      <c r="W449">
        <v>11010</v>
      </c>
      <c r="X449">
        <v>245011</v>
      </c>
      <c r="Y449">
        <v>9999</v>
      </c>
      <c r="Z449">
        <v>999</v>
      </c>
      <c r="AA449">
        <v>999</v>
      </c>
      <c r="AB449">
        <v>9999</v>
      </c>
      <c r="AC449">
        <v>9999</v>
      </c>
      <c r="AD449" t="s">
        <v>1</v>
      </c>
      <c r="AE449" t="s">
        <v>227</v>
      </c>
      <c r="AF449" t="s">
        <v>227</v>
      </c>
      <c r="AG449" t="s">
        <v>286</v>
      </c>
      <c r="AI449" t="s">
        <v>227</v>
      </c>
      <c r="AJ449">
        <v>45562</v>
      </c>
      <c r="AK449" t="s">
        <v>287</v>
      </c>
      <c r="AL449" t="s">
        <v>288</v>
      </c>
    </row>
    <row r="450" spans="1:38" x14ac:dyDescent="0.2">
      <c r="E450" t="s">
        <v>35</v>
      </c>
      <c r="F450" t="s">
        <v>1914</v>
      </c>
      <c r="G450" t="s">
        <v>1915</v>
      </c>
      <c r="H450" t="s">
        <v>27</v>
      </c>
      <c r="I450" t="s">
        <v>1892</v>
      </c>
      <c r="J450" s="91">
        <v>75000</v>
      </c>
      <c r="K450" s="91">
        <v>75000</v>
      </c>
      <c r="L450" s="91">
        <v>75000</v>
      </c>
      <c r="M450" t="s">
        <v>278</v>
      </c>
      <c r="N450" t="s">
        <v>278</v>
      </c>
      <c r="O450" t="s">
        <v>1916</v>
      </c>
      <c r="P450" t="s">
        <v>280</v>
      </c>
      <c r="Q450" t="s">
        <v>281</v>
      </c>
      <c r="R450" t="s">
        <v>282</v>
      </c>
      <c r="S450" t="s">
        <v>283</v>
      </c>
      <c r="T450" t="s">
        <v>366</v>
      </c>
      <c r="U450" t="s">
        <v>490</v>
      </c>
      <c r="V450">
        <v>101</v>
      </c>
      <c r="W450">
        <v>11010</v>
      </c>
      <c r="X450">
        <v>245011</v>
      </c>
      <c r="Y450">
        <v>9999</v>
      </c>
      <c r="Z450">
        <v>999</v>
      </c>
      <c r="AA450">
        <v>999</v>
      </c>
      <c r="AB450">
        <v>9999</v>
      </c>
      <c r="AC450">
        <v>9999</v>
      </c>
      <c r="AD450" t="s">
        <v>1</v>
      </c>
      <c r="AE450" t="s">
        <v>227</v>
      </c>
      <c r="AF450" t="s">
        <v>227</v>
      </c>
      <c r="AG450" t="s">
        <v>286</v>
      </c>
      <c r="AI450" t="s">
        <v>227</v>
      </c>
      <c r="AJ450">
        <v>45777</v>
      </c>
      <c r="AK450" t="s">
        <v>287</v>
      </c>
      <c r="AL450" t="s">
        <v>288</v>
      </c>
    </row>
    <row r="451" spans="1:38" x14ac:dyDescent="0.2">
      <c r="A451">
        <v>44</v>
      </c>
      <c r="B451" t="s">
        <v>47</v>
      </c>
      <c r="D451" t="s">
        <v>1917</v>
      </c>
      <c r="E451" t="s">
        <v>11</v>
      </c>
      <c r="F451" t="s">
        <v>1918</v>
      </c>
      <c r="G451" t="s">
        <v>1919</v>
      </c>
      <c r="H451" t="s">
        <v>12</v>
      </c>
      <c r="I451" t="s">
        <v>319</v>
      </c>
      <c r="J451" s="91">
        <v>199998</v>
      </c>
      <c r="K451" s="91">
        <v>199998</v>
      </c>
      <c r="L451" s="91">
        <v>199998</v>
      </c>
      <c r="M451" t="s">
        <v>278</v>
      </c>
      <c r="N451" t="s">
        <v>278</v>
      </c>
      <c r="O451" t="s">
        <v>1917</v>
      </c>
      <c r="P451" t="s">
        <v>280</v>
      </c>
      <c r="Q451" t="s">
        <v>281</v>
      </c>
      <c r="R451" t="s">
        <v>282</v>
      </c>
      <c r="S451" t="s">
        <v>283</v>
      </c>
      <c r="T451" t="s">
        <v>284</v>
      </c>
      <c r="U451" t="s">
        <v>334</v>
      </c>
      <c r="V451">
        <v>101</v>
      </c>
      <c r="W451">
        <v>12012</v>
      </c>
      <c r="X451">
        <v>245011</v>
      </c>
      <c r="Y451">
        <v>9999</v>
      </c>
      <c r="Z451">
        <v>950</v>
      </c>
      <c r="AA451">
        <v>999</v>
      </c>
      <c r="AB451">
        <v>9999</v>
      </c>
      <c r="AC451">
        <v>9999</v>
      </c>
      <c r="AD451" t="s">
        <v>1</v>
      </c>
      <c r="AE451" t="s">
        <v>1920</v>
      </c>
      <c r="AF451" t="s">
        <v>227</v>
      </c>
      <c r="AG451" t="s">
        <v>286</v>
      </c>
      <c r="AI451" t="s">
        <v>227</v>
      </c>
      <c r="AJ451">
        <v>45747</v>
      </c>
      <c r="AK451" t="s">
        <v>315</v>
      </c>
      <c r="AL451" t="s">
        <v>288</v>
      </c>
    </row>
    <row r="452" spans="1:38" x14ac:dyDescent="0.2">
      <c r="E452" t="s">
        <v>11</v>
      </c>
      <c r="F452" t="s">
        <v>1921</v>
      </c>
      <c r="G452" t="s">
        <v>1922</v>
      </c>
      <c r="H452" t="s">
        <v>12</v>
      </c>
      <c r="I452" t="s">
        <v>1892</v>
      </c>
      <c r="J452" s="91">
        <v>-199998</v>
      </c>
      <c r="K452" s="91">
        <v>-199998</v>
      </c>
      <c r="L452" s="91">
        <v>-199998</v>
      </c>
      <c r="M452" t="s">
        <v>278</v>
      </c>
      <c r="N452" t="s">
        <v>278</v>
      </c>
      <c r="O452" t="s">
        <v>1923</v>
      </c>
      <c r="P452" t="s">
        <v>280</v>
      </c>
      <c r="Q452" t="s">
        <v>281</v>
      </c>
      <c r="R452" t="s">
        <v>282</v>
      </c>
      <c r="S452" t="s">
        <v>283</v>
      </c>
      <c r="T452" t="s">
        <v>284</v>
      </c>
      <c r="U452" t="s">
        <v>334</v>
      </c>
      <c r="V452">
        <v>101</v>
      </c>
      <c r="W452">
        <v>12012</v>
      </c>
      <c r="X452">
        <v>245011</v>
      </c>
      <c r="Y452">
        <v>9999</v>
      </c>
      <c r="Z452">
        <v>950</v>
      </c>
      <c r="AA452">
        <v>999</v>
      </c>
      <c r="AB452">
        <v>9999</v>
      </c>
      <c r="AC452">
        <v>9999</v>
      </c>
      <c r="AD452" t="s">
        <v>1</v>
      </c>
      <c r="AE452" t="s">
        <v>1920</v>
      </c>
      <c r="AF452" t="s">
        <v>227</v>
      </c>
      <c r="AG452" t="s">
        <v>286</v>
      </c>
      <c r="AI452" t="s">
        <v>227</v>
      </c>
      <c r="AJ452">
        <v>45750</v>
      </c>
      <c r="AK452" t="s">
        <v>315</v>
      </c>
      <c r="AL452" t="s">
        <v>288</v>
      </c>
    </row>
    <row r="453" spans="1:38" x14ac:dyDescent="0.2">
      <c r="A453">
        <v>44</v>
      </c>
      <c r="B453" t="s">
        <v>47</v>
      </c>
      <c r="D453" t="s">
        <v>1924</v>
      </c>
      <c r="E453" t="s">
        <v>224</v>
      </c>
      <c r="F453" t="s">
        <v>1925</v>
      </c>
      <c r="G453" t="s">
        <v>1926</v>
      </c>
      <c r="H453" t="s">
        <v>12</v>
      </c>
      <c r="I453" t="s">
        <v>319</v>
      </c>
      <c r="J453" s="91">
        <v>-28121.200000000001</v>
      </c>
      <c r="K453" s="91">
        <v>-28121.200000000001</v>
      </c>
      <c r="L453" s="91">
        <v>-28121.200000000001</v>
      </c>
      <c r="M453" t="s">
        <v>278</v>
      </c>
      <c r="N453" t="s">
        <v>278</v>
      </c>
      <c r="O453" t="s">
        <v>1859</v>
      </c>
      <c r="P453" t="s">
        <v>280</v>
      </c>
      <c r="Q453" t="s">
        <v>281</v>
      </c>
      <c r="R453" t="s">
        <v>282</v>
      </c>
      <c r="S453" t="s">
        <v>283</v>
      </c>
      <c r="T453" t="s">
        <v>313</v>
      </c>
      <c r="U453" t="s">
        <v>1230</v>
      </c>
      <c r="V453">
        <v>101</v>
      </c>
      <c r="W453">
        <v>11001</v>
      </c>
      <c r="X453">
        <v>245011</v>
      </c>
      <c r="Y453">
        <v>9999</v>
      </c>
      <c r="Z453">
        <v>204</v>
      </c>
      <c r="AA453">
        <v>999</v>
      </c>
      <c r="AB453">
        <v>9999</v>
      </c>
      <c r="AC453">
        <v>9999</v>
      </c>
      <c r="AD453" t="s">
        <v>1</v>
      </c>
      <c r="AE453" t="s">
        <v>1794</v>
      </c>
      <c r="AF453" t="s">
        <v>227</v>
      </c>
      <c r="AG453" t="s">
        <v>286</v>
      </c>
      <c r="AI453" t="s">
        <v>227</v>
      </c>
      <c r="AJ453">
        <v>45747</v>
      </c>
      <c r="AK453" t="s">
        <v>315</v>
      </c>
      <c r="AL453" t="s">
        <v>288</v>
      </c>
    </row>
    <row r="454" spans="1:38" x14ac:dyDescent="0.2">
      <c r="A454">
        <v>44</v>
      </c>
      <c r="B454" t="s">
        <v>47</v>
      </c>
      <c r="D454" t="s">
        <v>1924</v>
      </c>
      <c r="E454" t="s">
        <v>224</v>
      </c>
      <c r="F454" t="s">
        <v>1927</v>
      </c>
      <c r="G454" t="s">
        <v>1928</v>
      </c>
      <c r="H454" t="s">
        <v>12</v>
      </c>
      <c r="I454" t="s">
        <v>319</v>
      </c>
      <c r="J454" s="91">
        <v>-14060.6</v>
      </c>
      <c r="K454" s="91">
        <v>-14060.6</v>
      </c>
      <c r="L454" s="91">
        <v>-14060.6</v>
      </c>
      <c r="M454" t="s">
        <v>278</v>
      </c>
      <c r="N454" t="s">
        <v>278</v>
      </c>
      <c r="O454" t="s">
        <v>1865</v>
      </c>
      <c r="P454" t="s">
        <v>280</v>
      </c>
      <c r="Q454" t="s">
        <v>281</v>
      </c>
      <c r="R454" t="s">
        <v>282</v>
      </c>
      <c r="S454" t="s">
        <v>283</v>
      </c>
      <c r="T454" t="s">
        <v>313</v>
      </c>
      <c r="U454" t="s">
        <v>1230</v>
      </c>
      <c r="V454">
        <v>101</v>
      </c>
      <c r="W454">
        <v>11001</v>
      </c>
      <c r="X454">
        <v>245011</v>
      </c>
      <c r="Y454">
        <v>9999</v>
      </c>
      <c r="Z454">
        <v>204</v>
      </c>
      <c r="AA454">
        <v>999</v>
      </c>
      <c r="AB454">
        <v>9999</v>
      </c>
      <c r="AC454">
        <v>9999</v>
      </c>
      <c r="AD454" t="s">
        <v>1</v>
      </c>
      <c r="AE454" t="s">
        <v>1794</v>
      </c>
      <c r="AF454" t="s">
        <v>227</v>
      </c>
      <c r="AG454" t="s">
        <v>286</v>
      </c>
      <c r="AI454" t="s">
        <v>227</v>
      </c>
      <c r="AJ454">
        <v>45747</v>
      </c>
      <c r="AK454" t="s">
        <v>315</v>
      </c>
      <c r="AL454" t="s">
        <v>288</v>
      </c>
    </row>
    <row r="455" spans="1:38" x14ac:dyDescent="0.2">
      <c r="E455" t="s">
        <v>224</v>
      </c>
      <c r="F455" t="s">
        <v>1929</v>
      </c>
      <c r="G455" t="s">
        <v>1930</v>
      </c>
      <c r="H455" t="s">
        <v>12</v>
      </c>
      <c r="I455" t="s">
        <v>1892</v>
      </c>
      <c r="J455" s="91">
        <v>28121.200000000001</v>
      </c>
      <c r="K455" s="91">
        <v>28121.200000000001</v>
      </c>
      <c r="L455" s="91">
        <v>28121.200000000001</v>
      </c>
      <c r="M455" t="s">
        <v>278</v>
      </c>
      <c r="N455" t="s">
        <v>278</v>
      </c>
      <c r="O455" t="s">
        <v>1931</v>
      </c>
      <c r="P455" t="s">
        <v>280</v>
      </c>
      <c r="Q455" t="s">
        <v>281</v>
      </c>
      <c r="R455" t="s">
        <v>282</v>
      </c>
      <c r="S455" t="s">
        <v>283</v>
      </c>
      <c r="T455" t="s">
        <v>313</v>
      </c>
      <c r="U455" t="s">
        <v>1230</v>
      </c>
      <c r="V455">
        <v>101</v>
      </c>
      <c r="W455">
        <v>11001</v>
      </c>
      <c r="X455">
        <v>245011</v>
      </c>
      <c r="Y455">
        <v>9999</v>
      </c>
      <c r="Z455">
        <v>204</v>
      </c>
      <c r="AA455">
        <v>999</v>
      </c>
      <c r="AB455">
        <v>9999</v>
      </c>
      <c r="AC455">
        <v>9999</v>
      </c>
      <c r="AD455" t="s">
        <v>1</v>
      </c>
      <c r="AE455" t="s">
        <v>1794</v>
      </c>
      <c r="AF455" t="s">
        <v>227</v>
      </c>
      <c r="AG455" t="s">
        <v>286</v>
      </c>
      <c r="AI455" t="s">
        <v>227</v>
      </c>
      <c r="AJ455">
        <v>45777</v>
      </c>
      <c r="AK455" t="s">
        <v>315</v>
      </c>
      <c r="AL455" t="s">
        <v>288</v>
      </c>
    </row>
    <row r="456" spans="1:38" x14ac:dyDescent="0.2">
      <c r="E456" t="s">
        <v>224</v>
      </c>
      <c r="F456" t="s">
        <v>1932</v>
      </c>
      <c r="G456" t="s">
        <v>1933</v>
      </c>
      <c r="H456" t="s">
        <v>12</v>
      </c>
      <c r="I456" t="s">
        <v>1892</v>
      </c>
      <c r="J456" s="91">
        <v>14060.6</v>
      </c>
      <c r="K456" s="91">
        <v>14060.6</v>
      </c>
      <c r="L456" s="91">
        <v>14060.6</v>
      </c>
      <c r="M456" t="s">
        <v>278</v>
      </c>
      <c r="N456" t="s">
        <v>278</v>
      </c>
      <c r="O456" t="s">
        <v>1934</v>
      </c>
      <c r="P456" t="s">
        <v>280</v>
      </c>
      <c r="Q456" t="s">
        <v>281</v>
      </c>
      <c r="R456" t="s">
        <v>282</v>
      </c>
      <c r="S456" t="s">
        <v>283</v>
      </c>
      <c r="T456" t="s">
        <v>313</v>
      </c>
      <c r="U456" t="s">
        <v>1230</v>
      </c>
      <c r="V456">
        <v>101</v>
      </c>
      <c r="W456">
        <v>11001</v>
      </c>
      <c r="X456">
        <v>245011</v>
      </c>
      <c r="Y456">
        <v>9999</v>
      </c>
      <c r="Z456">
        <v>204</v>
      </c>
      <c r="AA456">
        <v>999</v>
      </c>
      <c r="AB456">
        <v>9999</v>
      </c>
      <c r="AC456">
        <v>9999</v>
      </c>
      <c r="AD456" t="s">
        <v>1</v>
      </c>
      <c r="AE456" t="s">
        <v>1794</v>
      </c>
      <c r="AF456" t="s">
        <v>227</v>
      </c>
      <c r="AG456" t="s">
        <v>286</v>
      </c>
      <c r="AI456" t="s">
        <v>227</v>
      </c>
      <c r="AJ456">
        <v>45777</v>
      </c>
      <c r="AK456" t="s">
        <v>315</v>
      </c>
      <c r="AL456" t="s">
        <v>288</v>
      </c>
    </row>
    <row r="457" spans="1:38" x14ac:dyDescent="0.2">
      <c r="A457">
        <v>44</v>
      </c>
      <c r="B457" t="s">
        <v>47</v>
      </c>
      <c r="D457" t="s">
        <v>1935</v>
      </c>
      <c r="E457" t="s">
        <v>25</v>
      </c>
      <c r="F457" t="s">
        <v>1936</v>
      </c>
      <c r="G457" t="s">
        <v>1937</v>
      </c>
      <c r="H457" t="s">
        <v>19</v>
      </c>
      <c r="I457" t="s">
        <v>319</v>
      </c>
      <c r="J457" s="91">
        <v>-33962</v>
      </c>
      <c r="K457" s="91">
        <v>-33962</v>
      </c>
      <c r="L457" s="91">
        <v>-33962</v>
      </c>
      <c r="M457" t="s">
        <v>278</v>
      </c>
      <c r="N457" t="s">
        <v>278</v>
      </c>
      <c r="O457" t="s">
        <v>1935</v>
      </c>
      <c r="P457" t="s">
        <v>280</v>
      </c>
      <c r="Q457" t="s">
        <v>281</v>
      </c>
      <c r="R457" t="s">
        <v>282</v>
      </c>
      <c r="S457" t="s">
        <v>294</v>
      </c>
      <c r="T457" t="s">
        <v>295</v>
      </c>
      <c r="U457" t="s">
        <v>474</v>
      </c>
      <c r="V457">
        <v>101</v>
      </c>
      <c r="W457">
        <v>13006</v>
      </c>
      <c r="X457">
        <v>245011</v>
      </c>
      <c r="Y457">
        <v>9999</v>
      </c>
      <c r="Z457">
        <v>999</v>
      </c>
      <c r="AA457">
        <v>999</v>
      </c>
      <c r="AB457">
        <v>9999</v>
      </c>
      <c r="AC457">
        <v>9999</v>
      </c>
      <c r="AD457" t="s">
        <v>1</v>
      </c>
      <c r="AE457" t="s">
        <v>1938</v>
      </c>
      <c r="AF457" t="s">
        <v>227</v>
      </c>
      <c r="AG457" t="s">
        <v>286</v>
      </c>
      <c r="AI457" t="s">
        <v>227</v>
      </c>
      <c r="AJ457">
        <v>45747</v>
      </c>
      <c r="AK457" t="s">
        <v>315</v>
      </c>
      <c r="AL457" t="s">
        <v>288</v>
      </c>
    </row>
    <row r="458" spans="1:38" x14ac:dyDescent="0.2">
      <c r="A458">
        <v>44</v>
      </c>
      <c r="B458" t="s">
        <v>47</v>
      </c>
      <c r="D458" t="s">
        <v>1935</v>
      </c>
      <c r="E458" t="s">
        <v>25</v>
      </c>
      <c r="F458" t="s">
        <v>1939</v>
      </c>
      <c r="G458" t="s">
        <v>1940</v>
      </c>
      <c r="H458" t="s">
        <v>19</v>
      </c>
      <c r="I458" t="s">
        <v>319</v>
      </c>
      <c r="J458" s="91">
        <v>-5822.92</v>
      </c>
      <c r="K458" s="91">
        <v>-5822.92</v>
      </c>
      <c r="L458" s="91">
        <v>-5822.92</v>
      </c>
      <c r="M458" t="s">
        <v>278</v>
      </c>
      <c r="N458" t="s">
        <v>278</v>
      </c>
      <c r="O458" t="s">
        <v>1941</v>
      </c>
      <c r="P458" t="s">
        <v>280</v>
      </c>
      <c r="Q458" t="s">
        <v>281</v>
      </c>
      <c r="R458" t="s">
        <v>282</v>
      </c>
      <c r="S458" t="s">
        <v>294</v>
      </c>
      <c r="T458" t="s">
        <v>295</v>
      </c>
      <c r="U458" t="s">
        <v>474</v>
      </c>
      <c r="V458">
        <v>101</v>
      </c>
      <c r="W458">
        <v>13006</v>
      </c>
      <c r="X458">
        <v>245011</v>
      </c>
      <c r="Y458">
        <v>9999</v>
      </c>
      <c r="Z458">
        <v>999</v>
      </c>
      <c r="AA458">
        <v>999</v>
      </c>
      <c r="AB458">
        <v>9999</v>
      </c>
      <c r="AC458">
        <v>9999</v>
      </c>
      <c r="AD458" t="s">
        <v>1</v>
      </c>
      <c r="AE458" t="s">
        <v>1938</v>
      </c>
      <c r="AF458" t="s">
        <v>227</v>
      </c>
      <c r="AG458" t="s">
        <v>286</v>
      </c>
      <c r="AI458" t="s">
        <v>227</v>
      </c>
      <c r="AJ458">
        <v>45747</v>
      </c>
      <c r="AK458" t="s">
        <v>315</v>
      </c>
      <c r="AL458" t="s">
        <v>288</v>
      </c>
    </row>
    <row r="459" spans="1:38" x14ac:dyDescent="0.2">
      <c r="E459" t="s">
        <v>25</v>
      </c>
      <c r="F459" t="s">
        <v>1942</v>
      </c>
      <c r="G459" t="s">
        <v>1943</v>
      </c>
      <c r="H459" t="s">
        <v>19</v>
      </c>
      <c r="I459" t="s">
        <v>1892</v>
      </c>
      <c r="J459" s="91">
        <v>33962</v>
      </c>
      <c r="K459" s="91">
        <v>33962</v>
      </c>
      <c r="L459" s="91">
        <v>33962</v>
      </c>
      <c r="M459" t="s">
        <v>278</v>
      </c>
      <c r="N459" t="s">
        <v>278</v>
      </c>
      <c r="O459" t="s">
        <v>1944</v>
      </c>
      <c r="P459" t="s">
        <v>280</v>
      </c>
      <c r="Q459" t="s">
        <v>281</v>
      </c>
      <c r="R459" t="s">
        <v>282</v>
      </c>
      <c r="S459" t="s">
        <v>294</v>
      </c>
      <c r="T459" t="s">
        <v>295</v>
      </c>
      <c r="U459" t="s">
        <v>474</v>
      </c>
      <c r="V459">
        <v>101</v>
      </c>
      <c r="W459">
        <v>13006</v>
      </c>
      <c r="X459">
        <v>245011</v>
      </c>
      <c r="Y459">
        <v>9999</v>
      </c>
      <c r="Z459">
        <v>999</v>
      </c>
      <c r="AA459">
        <v>999</v>
      </c>
      <c r="AB459">
        <v>9999</v>
      </c>
      <c r="AC459">
        <v>9999</v>
      </c>
      <c r="AD459" t="s">
        <v>1</v>
      </c>
      <c r="AE459" t="s">
        <v>1938</v>
      </c>
      <c r="AF459" t="s">
        <v>227</v>
      </c>
      <c r="AG459" t="s">
        <v>286</v>
      </c>
      <c r="AI459" t="s">
        <v>227</v>
      </c>
      <c r="AJ459">
        <v>45750</v>
      </c>
      <c r="AK459" t="s">
        <v>315</v>
      </c>
      <c r="AL459" t="s">
        <v>288</v>
      </c>
    </row>
    <row r="460" spans="1:38" x14ac:dyDescent="0.2">
      <c r="E460" t="s">
        <v>25</v>
      </c>
      <c r="F460" t="s">
        <v>1945</v>
      </c>
      <c r="G460" t="s">
        <v>1946</v>
      </c>
      <c r="H460" t="s">
        <v>19</v>
      </c>
      <c r="I460" t="s">
        <v>1892</v>
      </c>
      <c r="J460" s="91">
        <v>5822.92</v>
      </c>
      <c r="K460" s="91">
        <v>5822.92</v>
      </c>
      <c r="L460" s="91">
        <v>5822.92</v>
      </c>
      <c r="M460" t="s">
        <v>278</v>
      </c>
      <c r="N460" t="s">
        <v>278</v>
      </c>
      <c r="O460" t="s">
        <v>1947</v>
      </c>
      <c r="P460" t="s">
        <v>280</v>
      </c>
      <c r="Q460" t="s">
        <v>281</v>
      </c>
      <c r="R460" t="s">
        <v>282</v>
      </c>
      <c r="S460" t="s">
        <v>294</v>
      </c>
      <c r="T460" t="s">
        <v>295</v>
      </c>
      <c r="U460" t="s">
        <v>474</v>
      </c>
      <c r="V460">
        <v>101</v>
      </c>
      <c r="W460">
        <v>13006</v>
      </c>
      <c r="X460">
        <v>245011</v>
      </c>
      <c r="Y460">
        <v>9999</v>
      </c>
      <c r="Z460">
        <v>999</v>
      </c>
      <c r="AA460">
        <v>999</v>
      </c>
      <c r="AB460">
        <v>9999</v>
      </c>
      <c r="AC460">
        <v>9999</v>
      </c>
      <c r="AD460" t="s">
        <v>1</v>
      </c>
      <c r="AE460" t="s">
        <v>1938</v>
      </c>
      <c r="AF460" t="s">
        <v>227</v>
      </c>
      <c r="AG460" t="s">
        <v>286</v>
      </c>
      <c r="AI460" t="s">
        <v>227</v>
      </c>
      <c r="AJ460">
        <v>45750</v>
      </c>
      <c r="AK460" t="s">
        <v>315</v>
      </c>
      <c r="AL460" t="s">
        <v>288</v>
      </c>
    </row>
    <row r="461" spans="1:38" x14ac:dyDescent="0.2">
      <c r="A461">
        <v>44</v>
      </c>
      <c r="B461" t="s">
        <v>47</v>
      </c>
      <c r="D461" t="s">
        <v>1948</v>
      </c>
      <c r="E461" t="s">
        <v>32</v>
      </c>
      <c r="F461" t="s">
        <v>1949</v>
      </c>
      <c r="G461" t="s">
        <v>1950</v>
      </c>
      <c r="H461" t="s">
        <v>12</v>
      </c>
      <c r="I461" t="s">
        <v>1892</v>
      </c>
      <c r="J461" s="91">
        <v>7697.26</v>
      </c>
      <c r="K461" s="91">
        <v>7697.26</v>
      </c>
      <c r="L461" s="91">
        <v>7697.26</v>
      </c>
      <c r="M461" t="s">
        <v>278</v>
      </c>
      <c r="N461" t="s">
        <v>278</v>
      </c>
      <c r="O461" t="s">
        <v>1948</v>
      </c>
      <c r="P461" t="s">
        <v>280</v>
      </c>
      <c r="Q461" t="s">
        <v>281</v>
      </c>
      <c r="R461" t="s">
        <v>282</v>
      </c>
      <c r="S461" t="s">
        <v>283</v>
      </c>
      <c r="T461" t="s">
        <v>313</v>
      </c>
      <c r="U461" t="s">
        <v>1951</v>
      </c>
      <c r="V461">
        <v>101</v>
      </c>
      <c r="W461">
        <v>12015</v>
      </c>
      <c r="X461">
        <v>245011</v>
      </c>
      <c r="Y461">
        <v>9999</v>
      </c>
      <c r="Z461">
        <v>204</v>
      </c>
      <c r="AA461">
        <v>999</v>
      </c>
      <c r="AB461">
        <v>9999</v>
      </c>
      <c r="AC461">
        <v>9999</v>
      </c>
      <c r="AD461" t="s">
        <v>1</v>
      </c>
      <c r="AE461" t="s">
        <v>1952</v>
      </c>
      <c r="AF461" t="s">
        <v>227</v>
      </c>
      <c r="AG461" t="s">
        <v>286</v>
      </c>
      <c r="AI461" t="s">
        <v>227</v>
      </c>
      <c r="AJ461">
        <v>45777</v>
      </c>
      <c r="AK461" t="s">
        <v>315</v>
      </c>
      <c r="AL461" t="s">
        <v>288</v>
      </c>
    </row>
    <row r="462" spans="1:38" x14ac:dyDescent="0.2">
      <c r="A462">
        <v>13</v>
      </c>
      <c r="B462" t="s">
        <v>46</v>
      </c>
      <c r="E462" t="s">
        <v>32</v>
      </c>
      <c r="F462" t="s">
        <v>1953</v>
      </c>
      <c r="G462" t="s">
        <v>1954</v>
      </c>
      <c r="H462" t="s">
        <v>12</v>
      </c>
      <c r="I462" t="s">
        <v>324</v>
      </c>
      <c r="J462" s="91">
        <v>-7697.26</v>
      </c>
      <c r="K462" s="91">
        <v>-7697.26</v>
      </c>
      <c r="L462" s="91">
        <v>-7697.26</v>
      </c>
      <c r="M462" t="s">
        <v>278</v>
      </c>
      <c r="N462" t="s">
        <v>278</v>
      </c>
      <c r="O462" t="s">
        <v>1955</v>
      </c>
      <c r="P462" t="s">
        <v>280</v>
      </c>
      <c r="Q462" t="s">
        <v>281</v>
      </c>
      <c r="R462" t="s">
        <v>282</v>
      </c>
      <c r="S462" t="s">
        <v>283</v>
      </c>
      <c r="T462" t="s">
        <v>313</v>
      </c>
      <c r="U462" t="s">
        <v>1951</v>
      </c>
      <c r="V462">
        <v>101</v>
      </c>
      <c r="W462">
        <v>12015</v>
      </c>
      <c r="X462">
        <v>245011</v>
      </c>
      <c r="Y462">
        <v>9999</v>
      </c>
      <c r="Z462">
        <v>204</v>
      </c>
      <c r="AA462">
        <v>999</v>
      </c>
      <c r="AB462">
        <v>9999</v>
      </c>
      <c r="AC462">
        <v>9999</v>
      </c>
      <c r="AD462" t="s">
        <v>1</v>
      </c>
      <c r="AE462" t="s">
        <v>1952</v>
      </c>
      <c r="AF462" t="s">
        <v>227</v>
      </c>
      <c r="AG462" t="s">
        <v>286</v>
      </c>
      <c r="AI462" t="s">
        <v>227</v>
      </c>
      <c r="AJ462">
        <v>45808</v>
      </c>
      <c r="AK462" t="s">
        <v>315</v>
      </c>
      <c r="AL462" t="s">
        <v>288</v>
      </c>
    </row>
    <row r="463" spans="1:38" x14ac:dyDescent="0.2">
      <c r="A463">
        <v>13</v>
      </c>
      <c r="B463" t="s">
        <v>46</v>
      </c>
      <c r="E463" t="s">
        <v>38</v>
      </c>
      <c r="F463" t="s">
        <v>1956</v>
      </c>
      <c r="G463" t="s">
        <v>1957</v>
      </c>
      <c r="H463" t="s">
        <v>226</v>
      </c>
      <c r="I463" t="s">
        <v>324</v>
      </c>
      <c r="J463" s="91">
        <v>-35154</v>
      </c>
      <c r="K463" s="91">
        <v>-35154</v>
      </c>
      <c r="L463" s="91">
        <v>-35154</v>
      </c>
      <c r="M463" t="s">
        <v>278</v>
      </c>
      <c r="N463" t="s">
        <v>278</v>
      </c>
      <c r="O463" t="s">
        <v>1958</v>
      </c>
      <c r="P463" t="s">
        <v>280</v>
      </c>
      <c r="Q463" t="s">
        <v>281</v>
      </c>
      <c r="R463" t="s">
        <v>282</v>
      </c>
      <c r="S463" t="s">
        <v>283</v>
      </c>
      <c r="T463" t="s">
        <v>313</v>
      </c>
      <c r="U463" t="s">
        <v>443</v>
      </c>
      <c r="V463">
        <v>101</v>
      </c>
      <c r="W463">
        <v>11023</v>
      </c>
      <c r="X463">
        <v>245011</v>
      </c>
      <c r="Y463">
        <v>9999</v>
      </c>
      <c r="Z463">
        <v>999</v>
      </c>
      <c r="AA463">
        <v>999</v>
      </c>
      <c r="AB463">
        <v>9999</v>
      </c>
      <c r="AC463">
        <v>9999</v>
      </c>
      <c r="AD463" t="s">
        <v>1</v>
      </c>
      <c r="AE463" t="s">
        <v>227</v>
      </c>
      <c r="AF463" t="s">
        <v>227</v>
      </c>
      <c r="AG463" t="s">
        <v>286</v>
      </c>
      <c r="AI463" t="s">
        <v>227</v>
      </c>
      <c r="AJ463">
        <v>45808</v>
      </c>
      <c r="AK463" t="s">
        <v>287</v>
      </c>
      <c r="AL463" t="s">
        <v>288</v>
      </c>
    </row>
    <row r="464" spans="1:38" x14ac:dyDescent="0.2">
      <c r="A464">
        <v>13</v>
      </c>
      <c r="B464" t="s">
        <v>46</v>
      </c>
      <c r="E464" t="s">
        <v>38</v>
      </c>
      <c r="F464" t="s">
        <v>1959</v>
      </c>
      <c r="G464" t="s">
        <v>1960</v>
      </c>
      <c r="H464" t="s">
        <v>226</v>
      </c>
      <c r="I464" t="s">
        <v>324</v>
      </c>
      <c r="J464" s="91">
        <v>50101.86</v>
      </c>
      <c r="K464" s="91">
        <v>50101.86</v>
      </c>
      <c r="L464" s="91">
        <v>50101.86</v>
      </c>
      <c r="M464" t="s">
        <v>278</v>
      </c>
      <c r="N464" t="s">
        <v>278</v>
      </c>
      <c r="O464" t="s">
        <v>1961</v>
      </c>
      <c r="P464" t="s">
        <v>280</v>
      </c>
      <c r="Q464" t="s">
        <v>281</v>
      </c>
      <c r="R464" t="s">
        <v>282</v>
      </c>
      <c r="S464" t="s">
        <v>283</v>
      </c>
      <c r="T464" t="s">
        <v>313</v>
      </c>
      <c r="U464" t="s">
        <v>443</v>
      </c>
      <c r="V464">
        <v>101</v>
      </c>
      <c r="W464">
        <v>11023</v>
      </c>
      <c r="X464">
        <v>245011</v>
      </c>
      <c r="Y464">
        <v>9999</v>
      </c>
      <c r="Z464">
        <v>999</v>
      </c>
      <c r="AA464">
        <v>999</v>
      </c>
      <c r="AB464">
        <v>9999</v>
      </c>
      <c r="AC464">
        <v>9999</v>
      </c>
      <c r="AD464" t="s">
        <v>1</v>
      </c>
      <c r="AE464" t="s">
        <v>227</v>
      </c>
      <c r="AF464" t="s">
        <v>227</v>
      </c>
      <c r="AG464" t="s">
        <v>286</v>
      </c>
      <c r="AI464" t="s">
        <v>227</v>
      </c>
      <c r="AJ464">
        <v>45808</v>
      </c>
      <c r="AK464" t="s">
        <v>287</v>
      </c>
      <c r="AL464" t="s">
        <v>288</v>
      </c>
    </row>
    <row r="465" spans="1:38" x14ac:dyDescent="0.2">
      <c r="A465">
        <v>13</v>
      </c>
      <c r="B465" t="s">
        <v>46</v>
      </c>
      <c r="E465" t="s">
        <v>38</v>
      </c>
      <c r="F465" t="s">
        <v>1956</v>
      </c>
      <c r="G465" t="s">
        <v>1957</v>
      </c>
      <c r="H465" t="s">
        <v>226</v>
      </c>
      <c r="I465" t="s">
        <v>324</v>
      </c>
      <c r="J465" s="91">
        <v>-50101.86</v>
      </c>
      <c r="K465" s="91">
        <v>-50101.86</v>
      </c>
      <c r="L465" s="91">
        <v>-50101.86</v>
      </c>
      <c r="M465" t="s">
        <v>278</v>
      </c>
      <c r="N465" t="s">
        <v>278</v>
      </c>
      <c r="O465" t="s">
        <v>1958</v>
      </c>
      <c r="P465" t="s">
        <v>280</v>
      </c>
      <c r="Q465" t="s">
        <v>281</v>
      </c>
      <c r="R465" t="s">
        <v>282</v>
      </c>
      <c r="S465" t="s">
        <v>283</v>
      </c>
      <c r="T465" t="s">
        <v>313</v>
      </c>
      <c r="U465" t="s">
        <v>443</v>
      </c>
      <c r="V465">
        <v>101</v>
      </c>
      <c r="W465">
        <v>11023</v>
      </c>
      <c r="X465">
        <v>245011</v>
      </c>
      <c r="Y465">
        <v>9999</v>
      </c>
      <c r="Z465">
        <v>999</v>
      </c>
      <c r="AA465">
        <v>999</v>
      </c>
      <c r="AB465">
        <v>9999</v>
      </c>
      <c r="AC465">
        <v>9999</v>
      </c>
      <c r="AD465" t="s">
        <v>1</v>
      </c>
      <c r="AE465" t="s">
        <v>227</v>
      </c>
      <c r="AF465" t="s">
        <v>227</v>
      </c>
      <c r="AG465" t="s">
        <v>286</v>
      </c>
      <c r="AI465" t="s">
        <v>227</v>
      </c>
      <c r="AJ465">
        <v>45808</v>
      </c>
      <c r="AK465" t="s">
        <v>287</v>
      </c>
      <c r="AL465" t="s">
        <v>288</v>
      </c>
    </row>
    <row r="466" spans="1:38" x14ac:dyDescent="0.2">
      <c r="A466">
        <v>13</v>
      </c>
      <c r="B466" t="s">
        <v>46</v>
      </c>
      <c r="E466" t="s">
        <v>38</v>
      </c>
      <c r="F466" t="s">
        <v>1959</v>
      </c>
      <c r="G466" t="s">
        <v>1960</v>
      </c>
      <c r="H466" t="s">
        <v>226</v>
      </c>
      <c r="I466" t="s">
        <v>324</v>
      </c>
      <c r="J466" s="91">
        <v>29775.599999999999</v>
      </c>
      <c r="K466" s="91">
        <v>29775.599999999999</v>
      </c>
      <c r="L466" s="91">
        <v>29775.599999999999</v>
      </c>
      <c r="M466" t="s">
        <v>278</v>
      </c>
      <c r="N466" t="s">
        <v>278</v>
      </c>
      <c r="O466" t="s">
        <v>1961</v>
      </c>
      <c r="P466" t="s">
        <v>280</v>
      </c>
      <c r="Q466" t="s">
        <v>281</v>
      </c>
      <c r="R466" t="s">
        <v>282</v>
      </c>
      <c r="S466" t="s">
        <v>283</v>
      </c>
      <c r="T466" t="s">
        <v>313</v>
      </c>
      <c r="U466" t="s">
        <v>443</v>
      </c>
      <c r="V466">
        <v>101</v>
      </c>
      <c r="W466">
        <v>11023</v>
      </c>
      <c r="X466">
        <v>245011</v>
      </c>
      <c r="Y466">
        <v>9999</v>
      </c>
      <c r="Z466">
        <v>999</v>
      </c>
      <c r="AA466">
        <v>999</v>
      </c>
      <c r="AB466">
        <v>9999</v>
      </c>
      <c r="AC466">
        <v>9999</v>
      </c>
      <c r="AD466" t="s">
        <v>1</v>
      </c>
      <c r="AE466" t="s">
        <v>227</v>
      </c>
      <c r="AF466" t="s">
        <v>227</v>
      </c>
      <c r="AG466" t="s">
        <v>286</v>
      </c>
      <c r="AI466" t="s">
        <v>227</v>
      </c>
      <c r="AJ466">
        <v>45808</v>
      </c>
      <c r="AK466" t="s">
        <v>287</v>
      </c>
      <c r="AL466" t="s">
        <v>288</v>
      </c>
    </row>
    <row r="467" spans="1:38" x14ac:dyDescent="0.2">
      <c r="A467">
        <v>13</v>
      </c>
      <c r="B467" t="s">
        <v>46</v>
      </c>
      <c r="E467" t="s">
        <v>38</v>
      </c>
      <c r="F467" t="s">
        <v>1959</v>
      </c>
      <c r="G467" t="s">
        <v>1960</v>
      </c>
      <c r="H467" t="s">
        <v>226</v>
      </c>
      <c r="I467" t="s">
        <v>324</v>
      </c>
      <c r="J467" s="91">
        <v>35154</v>
      </c>
      <c r="K467" s="91">
        <v>35154</v>
      </c>
      <c r="L467" s="91">
        <v>35154</v>
      </c>
      <c r="M467" t="s">
        <v>278</v>
      </c>
      <c r="N467" t="s">
        <v>278</v>
      </c>
      <c r="O467" t="s">
        <v>1961</v>
      </c>
      <c r="P467" t="s">
        <v>280</v>
      </c>
      <c r="Q467" t="s">
        <v>281</v>
      </c>
      <c r="R467" t="s">
        <v>282</v>
      </c>
      <c r="S467" t="s">
        <v>283</v>
      </c>
      <c r="T467" t="s">
        <v>313</v>
      </c>
      <c r="U467" t="s">
        <v>443</v>
      </c>
      <c r="V467">
        <v>101</v>
      </c>
      <c r="W467">
        <v>11023</v>
      </c>
      <c r="X467">
        <v>245011</v>
      </c>
      <c r="Y467">
        <v>9999</v>
      </c>
      <c r="Z467">
        <v>999</v>
      </c>
      <c r="AA467">
        <v>999</v>
      </c>
      <c r="AB467">
        <v>9999</v>
      </c>
      <c r="AC467">
        <v>9999</v>
      </c>
      <c r="AD467" t="s">
        <v>1</v>
      </c>
      <c r="AE467" t="s">
        <v>227</v>
      </c>
      <c r="AF467" t="s">
        <v>227</v>
      </c>
      <c r="AG467" t="s">
        <v>286</v>
      </c>
      <c r="AI467" t="s">
        <v>227</v>
      </c>
      <c r="AJ467">
        <v>45808</v>
      </c>
      <c r="AK467" t="s">
        <v>287</v>
      </c>
      <c r="AL467" t="s">
        <v>288</v>
      </c>
    </row>
    <row r="468" spans="1:38" x14ac:dyDescent="0.2">
      <c r="A468">
        <v>13</v>
      </c>
      <c r="B468" t="s">
        <v>46</v>
      </c>
      <c r="E468" t="s">
        <v>38</v>
      </c>
      <c r="F468" t="s">
        <v>1956</v>
      </c>
      <c r="G468" t="s">
        <v>1957</v>
      </c>
      <c r="H468" t="s">
        <v>226</v>
      </c>
      <c r="I468" t="s">
        <v>324</v>
      </c>
      <c r="J468" s="91">
        <v>-29775.599999999999</v>
      </c>
      <c r="K468" s="91">
        <v>-29775.599999999999</v>
      </c>
      <c r="L468" s="91">
        <v>-29775.599999999999</v>
      </c>
      <c r="M468" t="s">
        <v>278</v>
      </c>
      <c r="N468" t="s">
        <v>278</v>
      </c>
      <c r="O468" t="s">
        <v>1958</v>
      </c>
      <c r="P468" t="s">
        <v>280</v>
      </c>
      <c r="Q468" t="s">
        <v>281</v>
      </c>
      <c r="R468" t="s">
        <v>282</v>
      </c>
      <c r="S468" t="s">
        <v>283</v>
      </c>
      <c r="T468" t="s">
        <v>313</v>
      </c>
      <c r="U468" t="s">
        <v>443</v>
      </c>
      <c r="V468">
        <v>101</v>
      </c>
      <c r="W468">
        <v>11023</v>
      </c>
      <c r="X468">
        <v>245011</v>
      </c>
      <c r="Y468">
        <v>9999</v>
      </c>
      <c r="Z468">
        <v>999</v>
      </c>
      <c r="AA468">
        <v>999</v>
      </c>
      <c r="AB468">
        <v>9999</v>
      </c>
      <c r="AC468">
        <v>9999</v>
      </c>
      <c r="AD468" t="s">
        <v>1</v>
      </c>
      <c r="AE468" t="s">
        <v>227</v>
      </c>
      <c r="AF468" t="s">
        <v>227</v>
      </c>
      <c r="AG468" t="s">
        <v>286</v>
      </c>
      <c r="AI468" t="s">
        <v>227</v>
      </c>
      <c r="AJ468">
        <v>45808</v>
      </c>
      <c r="AK468" t="s">
        <v>287</v>
      </c>
      <c r="AL468" t="s">
        <v>288</v>
      </c>
    </row>
    <row r="469" spans="1:38" x14ac:dyDescent="0.2">
      <c r="A469">
        <v>44</v>
      </c>
      <c r="B469" t="s">
        <v>47</v>
      </c>
      <c r="D469" t="s">
        <v>1962</v>
      </c>
      <c r="E469" t="s">
        <v>11</v>
      </c>
      <c r="F469" t="s">
        <v>1963</v>
      </c>
      <c r="G469" t="s">
        <v>1963</v>
      </c>
      <c r="H469" t="s">
        <v>12</v>
      </c>
      <c r="I469" t="s">
        <v>1892</v>
      </c>
      <c r="J469" s="91">
        <v>199998</v>
      </c>
      <c r="K469" s="91">
        <v>199998</v>
      </c>
      <c r="L469" s="91">
        <v>199998</v>
      </c>
      <c r="M469" t="s">
        <v>278</v>
      </c>
      <c r="N469" t="s">
        <v>278</v>
      </c>
      <c r="O469" t="s">
        <v>1962</v>
      </c>
      <c r="P469" t="s">
        <v>280</v>
      </c>
      <c r="Q469" t="s">
        <v>281</v>
      </c>
      <c r="R469" t="s">
        <v>282</v>
      </c>
      <c r="S469" t="s">
        <v>283</v>
      </c>
      <c r="T469" t="s">
        <v>284</v>
      </c>
      <c r="U469" t="s">
        <v>334</v>
      </c>
      <c r="V469">
        <v>101</v>
      </c>
      <c r="W469">
        <v>12012</v>
      </c>
      <c r="X469">
        <v>245011</v>
      </c>
      <c r="Y469">
        <v>9999</v>
      </c>
      <c r="Z469">
        <v>950</v>
      </c>
      <c r="AA469">
        <v>999</v>
      </c>
      <c r="AB469">
        <v>9999</v>
      </c>
      <c r="AC469">
        <v>9999</v>
      </c>
      <c r="AD469" t="s">
        <v>1</v>
      </c>
      <c r="AE469" t="s">
        <v>1920</v>
      </c>
      <c r="AF469" t="s">
        <v>227</v>
      </c>
      <c r="AG469" t="s">
        <v>286</v>
      </c>
      <c r="AI469" t="s">
        <v>227</v>
      </c>
      <c r="AJ469">
        <v>45777</v>
      </c>
      <c r="AK469" t="s">
        <v>1728</v>
      </c>
      <c r="AL469" t="s">
        <v>288</v>
      </c>
    </row>
    <row r="470" spans="1:38" x14ac:dyDescent="0.2">
      <c r="A470">
        <v>39</v>
      </c>
      <c r="B470" t="s">
        <v>47</v>
      </c>
      <c r="E470" t="s">
        <v>11</v>
      </c>
      <c r="F470" t="s">
        <v>1964</v>
      </c>
      <c r="G470" t="s">
        <v>1965</v>
      </c>
      <c r="H470" t="s">
        <v>12</v>
      </c>
      <c r="I470" t="s">
        <v>324</v>
      </c>
      <c r="J470" s="91">
        <v>-199998</v>
      </c>
      <c r="K470" s="91">
        <v>-199998</v>
      </c>
      <c r="L470" s="91">
        <v>-199998</v>
      </c>
      <c r="M470" t="s">
        <v>278</v>
      </c>
      <c r="N470" t="s">
        <v>278</v>
      </c>
      <c r="O470" t="s">
        <v>1966</v>
      </c>
      <c r="P470" t="s">
        <v>280</v>
      </c>
      <c r="Q470" t="s">
        <v>281</v>
      </c>
      <c r="R470" t="s">
        <v>282</v>
      </c>
      <c r="S470" t="s">
        <v>283</v>
      </c>
      <c r="T470" t="s">
        <v>284</v>
      </c>
      <c r="U470" t="s">
        <v>334</v>
      </c>
      <c r="V470">
        <v>101</v>
      </c>
      <c r="W470">
        <v>12012</v>
      </c>
      <c r="X470">
        <v>245011</v>
      </c>
      <c r="Y470">
        <v>9999</v>
      </c>
      <c r="Z470">
        <v>950</v>
      </c>
      <c r="AA470">
        <v>999</v>
      </c>
      <c r="AB470">
        <v>9999</v>
      </c>
      <c r="AC470">
        <v>9999</v>
      </c>
      <c r="AD470" t="s">
        <v>1</v>
      </c>
      <c r="AE470" t="s">
        <v>1920</v>
      </c>
      <c r="AF470" t="s">
        <v>227</v>
      </c>
      <c r="AG470" t="s">
        <v>286</v>
      </c>
      <c r="AI470" t="s">
        <v>227</v>
      </c>
      <c r="AJ470">
        <v>45782</v>
      </c>
      <c r="AK470" t="s">
        <v>1728</v>
      </c>
      <c r="AL470" t="s">
        <v>288</v>
      </c>
    </row>
    <row r="471" spans="1:38" x14ac:dyDescent="0.2">
      <c r="A471">
        <v>13</v>
      </c>
      <c r="B471" t="s">
        <v>46</v>
      </c>
      <c r="E471" t="s">
        <v>11</v>
      </c>
      <c r="F471" t="s">
        <v>1967</v>
      </c>
      <c r="G471" t="s">
        <v>1968</v>
      </c>
      <c r="H471" t="s">
        <v>227</v>
      </c>
      <c r="I471" t="s">
        <v>324</v>
      </c>
      <c r="J471" s="91">
        <v>1293.75</v>
      </c>
      <c r="K471" s="91">
        <v>1293.75</v>
      </c>
      <c r="L471" s="91">
        <v>1293.75</v>
      </c>
      <c r="M471" t="s">
        <v>278</v>
      </c>
      <c r="N471" t="s">
        <v>278</v>
      </c>
      <c r="O471" t="s">
        <v>1969</v>
      </c>
      <c r="P471" t="s">
        <v>1970</v>
      </c>
      <c r="Q471" t="s">
        <v>281</v>
      </c>
      <c r="R471" t="s">
        <v>282</v>
      </c>
      <c r="S471" t="s">
        <v>283</v>
      </c>
      <c r="T471" t="s">
        <v>284</v>
      </c>
      <c r="U471" t="s">
        <v>285</v>
      </c>
      <c r="V471">
        <v>101</v>
      </c>
      <c r="W471">
        <v>12012</v>
      </c>
      <c r="X471">
        <v>245011</v>
      </c>
      <c r="Y471">
        <v>9999</v>
      </c>
      <c r="Z471">
        <v>999</v>
      </c>
      <c r="AA471">
        <v>999</v>
      </c>
      <c r="AB471">
        <v>9999</v>
      </c>
      <c r="AC471">
        <v>9999</v>
      </c>
      <c r="AD471" t="s">
        <v>1</v>
      </c>
      <c r="AE471" t="s">
        <v>227</v>
      </c>
      <c r="AF471" t="s">
        <v>227</v>
      </c>
      <c r="AG471" t="s">
        <v>286</v>
      </c>
      <c r="AI471" t="s">
        <v>227</v>
      </c>
      <c r="AJ471">
        <v>45808</v>
      </c>
      <c r="AK471" t="s">
        <v>328</v>
      </c>
      <c r="AL471" t="s">
        <v>288</v>
      </c>
    </row>
    <row r="472" spans="1:38" x14ac:dyDescent="0.2">
      <c r="A472">
        <v>13</v>
      </c>
      <c r="B472" t="s">
        <v>46</v>
      </c>
      <c r="E472" t="s">
        <v>11</v>
      </c>
      <c r="F472" t="s">
        <v>1971</v>
      </c>
      <c r="G472" t="s">
        <v>1971</v>
      </c>
      <c r="H472" t="s">
        <v>227</v>
      </c>
      <c r="I472" t="s">
        <v>324</v>
      </c>
      <c r="J472" s="91">
        <v>-1293.75</v>
      </c>
      <c r="K472" s="91">
        <v>-1293.75</v>
      </c>
      <c r="L472" s="91">
        <v>-1293.75</v>
      </c>
      <c r="M472" t="s">
        <v>278</v>
      </c>
      <c r="N472" t="s">
        <v>278</v>
      </c>
      <c r="O472" t="s">
        <v>325</v>
      </c>
      <c r="P472" t="s">
        <v>1970</v>
      </c>
      <c r="Q472" t="s">
        <v>281</v>
      </c>
      <c r="R472" t="s">
        <v>282</v>
      </c>
      <c r="S472" t="s">
        <v>283</v>
      </c>
      <c r="T472" t="s">
        <v>284</v>
      </c>
      <c r="U472" t="s">
        <v>285</v>
      </c>
      <c r="V472">
        <v>101</v>
      </c>
      <c r="W472">
        <v>12012</v>
      </c>
      <c r="X472">
        <v>245011</v>
      </c>
      <c r="Y472">
        <v>9999</v>
      </c>
      <c r="Z472">
        <v>999</v>
      </c>
      <c r="AA472">
        <v>999</v>
      </c>
      <c r="AB472">
        <v>9999</v>
      </c>
      <c r="AC472">
        <v>9999</v>
      </c>
      <c r="AD472" t="s">
        <v>1</v>
      </c>
      <c r="AE472" t="s">
        <v>227</v>
      </c>
      <c r="AF472" t="s">
        <v>227</v>
      </c>
      <c r="AG472" t="s">
        <v>286</v>
      </c>
      <c r="AI472" t="s">
        <v>227</v>
      </c>
      <c r="AJ472">
        <v>45808</v>
      </c>
      <c r="AK472" t="s">
        <v>328</v>
      </c>
      <c r="AL472" t="s">
        <v>288</v>
      </c>
    </row>
    <row r="473" spans="1:38" x14ac:dyDescent="0.2">
      <c r="A473">
        <v>44</v>
      </c>
      <c r="B473" t="s">
        <v>47</v>
      </c>
      <c r="D473" t="s">
        <v>1972</v>
      </c>
      <c r="E473" t="s">
        <v>73</v>
      </c>
      <c r="F473" t="s">
        <v>1973</v>
      </c>
      <c r="G473" t="s">
        <v>1974</v>
      </c>
      <c r="H473" t="s">
        <v>12</v>
      </c>
      <c r="I473" t="s">
        <v>1892</v>
      </c>
      <c r="J473" s="91">
        <v>-30685.22</v>
      </c>
      <c r="K473" s="91">
        <v>-30685.22</v>
      </c>
      <c r="L473" s="91">
        <v>-30685.22</v>
      </c>
      <c r="M473" t="s">
        <v>278</v>
      </c>
      <c r="N473" t="s">
        <v>278</v>
      </c>
      <c r="O473" t="s">
        <v>1972</v>
      </c>
      <c r="P473" t="s">
        <v>280</v>
      </c>
      <c r="Q473" t="s">
        <v>281</v>
      </c>
      <c r="R473" t="s">
        <v>282</v>
      </c>
      <c r="S473" t="s">
        <v>283</v>
      </c>
      <c r="T473" t="s">
        <v>366</v>
      </c>
      <c r="U473" t="s">
        <v>1096</v>
      </c>
      <c r="V473">
        <v>101</v>
      </c>
      <c r="W473">
        <v>12021</v>
      </c>
      <c r="X473">
        <v>245011</v>
      </c>
      <c r="Y473">
        <v>9999</v>
      </c>
      <c r="Z473">
        <v>204</v>
      </c>
      <c r="AA473">
        <v>999</v>
      </c>
      <c r="AB473">
        <v>9999</v>
      </c>
      <c r="AC473">
        <v>9999</v>
      </c>
      <c r="AD473" t="s">
        <v>1</v>
      </c>
      <c r="AE473" t="s">
        <v>1975</v>
      </c>
      <c r="AF473" t="s">
        <v>227</v>
      </c>
      <c r="AG473" t="s">
        <v>286</v>
      </c>
      <c r="AI473" t="s">
        <v>227</v>
      </c>
      <c r="AJ473">
        <v>45777</v>
      </c>
      <c r="AK473" t="s">
        <v>315</v>
      </c>
      <c r="AL473" t="s">
        <v>288</v>
      </c>
    </row>
    <row r="474" spans="1:38" x14ac:dyDescent="0.2">
      <c r="A474">
        <v>13</v>
      </c>
      <c r="B474" t="s">
        <v>46</v>
      </c>
      <c r="E474" t="s">
        <v>73</v>
      </c>
      <c r="F474" t="s">
        <v>1976</v>
      </c>
      <c r="G474" t="s">
        <v>1977</v>
      </c>
      <c r="H474" t="s">
        <v>12</v>
      </c>
      <c r="I474" t="s">
        <v>324</v>
      </c>
      <c r="J474" s="91">
        <v>30685.22</v>
      </c>
      <c r="K474" s="91">
        <v>30685.22</v>
      </c>
      <c r="L474" s="91">
        <v>30685.22</v>
      </c>
      <c r="M474" t="s">
        <v>278</v>
      </c>
      <c r="N474" t="s">
        <v>278</v>
      </c>
      <c r="O474" t="s">
        <v>1978</v>
      </c>
      <c r="P474" t="s">
        <v>280</v>
      </c>
      <c r="Q474" t="s">
        <v>281</v>
      </c>
      <c r="R474" t="s">
        <v>282</v>
      </c>
      <c r="S474" t="s">
        <v>283</v>
      </c>
      <c r="T474" t="s">
        <v>366</v>
      </c>
      <c r="U474" t="s">
        <v>1096</v>
      </c>
      <c r="V474">
        <v>101</v>
      </c>
      <c r="W474">
        <v>12021</v>
      </c>
      <c r="X474">
        <v>245011</v>
      </c>
      <c r="Y474">
        <v>9999</v>
      </c>
      <c r="Z474">
        <v>204</v>
      </c>
      <c r="AA474">
        <v>999</v>
      </c>
      <c r="AB474">
        <v>9999</v>
      </c>
      <c r="AC474">
        <v>9999</v>
      </c>
      <c r="AD474" t="s">
        <v>1</v>
      </c>
      <c r="AE474" t="s">
        <v>1975</v>
      </c>
      <c r="AF474" t="s">
        <v>227</v>
      </c>
      <c r="AG474" t="s">
        <v>286</v>
      </c>
      <c r="AI474" t="s">
        <v>227</v>
      </c>
      <c r="AJ474">
        <v>45808</v>
      </c>
      <c r="AK474" t="s">
        <v>315</v>
      </c>
      <c r="AL474" t="s">
        <v>288</v>
      </c>
    </row>
    <row r="475" spans="1:38" x14ac:dyDescent="0.2">
      <c r="A475">
        <v>44</v>
      </c>
      <c r="B475" t="s">
        <v>47</v>
      </c>
      <c r="D475" t="s">
        <v>1979</v>
      </c>
      <c r="E475" t="s">
        <v>30</v>
      </c>
      <c r="F475" t="s">
        <v>1980</v>
      </c>
      <c r="G475" t="s">
        <v>1981</v>
      </c>
      <c r="H475" t="s">
        <v>17</v>
      </c>
      <c r="I475" t="s">
        <v>1892</v>
      </c>
      <c r="J475" s="91">
        <v>40087.83</v>
      </c>
      <c r="K475" s="91">
        <v>40087.83</v>
      </c>
      <c r="L475" s="91">
        <v>40087.83</v>
      </c>
      <c r="M475" t="s">
        <v>278</v>
      </c>
      <c r="N475" t="s">
        <v>278</v>
      </c>
      <c r="O475" t="s">
        <v>1979</v>
      </c>
      <c r="P475" t="s">
        <v>280</v>
      </c>
      <c r="Q475" t="s">
        <v>281</v>
      </c>
      <c r="R475" t="s">
        <v>282</v>
      </c>
      <c r="S475" t="s">
        <v>294</v>
      </c>
      <c r="T475" t="s">
        <v>295</v>
      </c>
      <c r="U475" t="s">
        <v>387</v>
      </c>
      <c r="V475">
        <v>101</v>
      </c>
      <c r="W475">
        <v>13018</v>
      </c>
      <c r="X475">
        <v>245011</v>
      </c>
      <c r="Y475">
        <v>9999</v>
      </c>
      <c r="Z475">
        <v>999</v>
      </c>
      <c r="AA475">
        <v>999</v>
      </c>
      <c r="AB475">
        <v>9999</v>
      </c>
      <c r="AC475">
        <v>9999</v>
      </c>
      <c r="AD475" t="s">
        <v>1</v>
      </c>
      <c r="AE475" t="s">
        <v>227</v>
      </c>
      <c r="AF475" t="s">
        <v>227</v>
      </c>
      <c r="AG475" t="s">
        <v>286</v>
      </c>
      <c r="AI475" t="s">
        <v>227</v>
      </c>
      <c r="AJ475">
        <v>45777</v>
      </c>
      <c r="AK475" t="s">
        <v>287</v>
      </c>
      <c r="AL475" t="s">
        <v>288</v>
      </c>
    </row>
    <row r="476" spans="1:38" x14ac:dyDescent="0.2">
      <c r="A476">
        <v>23</v>
      </c>
      <c r="B476" t="s">
        <v>46</v>
      </c>
      <c r="E476" t="s">
        <v>30</v>
      </c>
      <c r="F476" t="s">
        <v>1982</v>
      </c>
      <c r="G476" t="s">
        <v>1983</v>
      </c>
      <c r="H476" t="s">
        <v>17</v>
      </c>
      <c r="I476" t="s">
        <v>324</v>
      </c>
      <c r="J476" s="91">
        <v>-40087.83</v>
      </c>
      <c r="K476" s="91">
        <v>-40087.83</v>
      </c>
      <c r="L476" s="91">
        <v>-40087.83</v>
      </c>
      <c r="M476" t="s">
        <v>278</v>
      </c>
      <c r="N476" t="s">
        <v>278</v>
      </c>
      <c r="O476" t="s">
        <v>1984</v>
      </c>
      <c r="P476" t="s">
        <v>280</v>
      </c>
      <c r="Q476" t="s">
        <v>281</v>
      </c>
      <c r="R476" t="s">
        <v>282</v>
      </c>
      <c r="S476" t="s">
        <v>294</v>
      </c>
      <c r="T476" t="s">
        <v>295</v>
      </c>
      <c r="U476" t="s">
        <v>387</v>
      </c>
      <c r="V476">
        <v>101</v>
      </c>
      <c r="W476">
        <v>13018</v>
      </c>
      <c r="X476">
        <v>245011</v>
      </c>
      <c r="Y476">
        <v>9999</v>
      </c>
      <c r="Z476">
        <v>999</v>
      </c>
      <c r="AA476">
        <v>999</v>
      </c>
      <c r="AB476">
        <v>9999</v>
      </c>
      <c r="AC476">
        <v>9999</v>
      </c>
      <c r="AD476" t="s">
        <v>1</v>
      </c>
      <c r="AE476" t="s">
        <v>227</v>
      </c>
      <c r="AF476" t="s">
        <v>227</v>
      </c>
      <c r="AG476" t="s">
        <v>286</v>
      </c>
      <c r="AI476" t="s">
        <v>227</v>
      </c>
      <c r="AJ476">
        <v>45798</v>
      </c>
      <c r="AK476" t="s">
        <v>287</v>
      </c>
      <c r="AL476" t="s">
        <v>288</v>
      </c>
    </row>
    <row r="477" spans="1:38" x14ac:dyDescent="0.2">
      <c r="A477">
        <v>44</v>
      </c>
      <c r="B477" t="s">
        <v>47</v>
      </c>
      <c r="D477" t="s">
        <v>1985</v>
      </c>
      <c r="E477" t="s">
        <v>38</v>
      </c>
      <c r="F477" t="s">
        <v>1986</v>
      </c>
      <c r="G477" t="s">
        <v>1987</v>
      </c>
      <c r="H477" t="s">
        <v>226</v>
      </c>
      <c r="I477" t="s">
        <v>324</v>
      </c>
      <c r="J477" s="91">
        <v>50101.86</v>
      </c>
      <c r="K477" s="91">
        <v>50101.86</v>
      </c>
      <c r="L477" s="91">
        <v>50101.86</v>
      </c>
      <c r="M477" t="s">
        <v>278</v>
      </c>
      <c r="N477" t="s">
        <v>278</v>
      </c>
      <c r="O477" t="s">
        <v>1961</v>
      </c>
      <c r="P477" t="s">
        <v>280</v>
      </c>
      <c r="Q477" t="s">
        <v>281</v>
      </c>
      <c r="R477" t="s">
        <v>282</v>
      </c>
      <c r="S477" t="s">
        <v>283</v>
      </c>
      <c r="T477" t="s">
        <v>313</v>
      </c>
      <c r="U477" t="s">
        <v>443</v>
      </c>
      <c r="V477">
        <v>101</v>
      </c>
      <c r="W477">
        <v>11023</v>
      </c>
      <c r="X477">
        <v>245011</v>
      </c>
      <c r="Y477">
        <v>9999</v>
      </c>
      <c r="Z477">
        <v>999</v>
      </c>
      <c r="AA477">
        <v>999</v>
      </c>
      <c r="AB477">
        <v>9999</v>
      </c>
      <c r="AC477">
        <v>9999</v>
      </c>
      <c r="AD477" t="s">
        <v>1</v>
      </c>
      <c r="AE477" t="s">
        <v>227</v>
      </c>
      <c r="AF477" t="s">
        <v>227</v>
      </c>
      <c r="AG477" t="s">
        <v>286</v>
      </c>
      <c r="AI477" t="s">
        <v>227</v>
      </c>
      <c r="AJ477">
        <v>45808</v>
      </c>
      <c r="AK477" t="s">
        <v>287</v>
      </c>
      <c r="AL477" t="s">
        <v>288</v>
      </c>
    </row>
    <row r="478" spans="1:38" x14ac:dyDescent="0.2">
      <c r="A478">
        <v>44</v>
      </c>
      <c r="B478" t="s">
        <v>47</v>
      </c>
      <c r="D478" t="s">
        <v>1985</v>
      </c>
      <c r="E478" t="s">
        <v>38</v>
      </c>
      <c r="F478" t="s">
        <v>1986</v>
      </c>
      <c r="G478" t="s">
        <v>1987</v>
      </c>
      <c r="H478" t="s">
        <v>226</v>
      </c>
      <c r="I478" t="s">
        <v>324</v>
      </c>
      <c r="J478" s="91">
        <v>35154</v>
      </c>
      <c r="K478" s="91">
        <v>35154</v>
      </c>
      <c r="L478" s="91">
        <v>35154</v>
      </c>
      <c r="M478" t="s">
        <v>278</v>
      </c>
      <c r="N478" t="s">
        <v>278</v>
      </c>
      <c r="O478" t="s">
        <v>1961</v>
      </c>
      <c r="P478" t="s">
        <v>280</v>
      </c>
      <c r="Q478" t="s">
        <v>281</v>
      </c>
      <c r="R478" t="s">
        <v>282</v>
      </c>
      <c r="S478" t="s">
        <v>283</v>
      </c>
      <c r="T478" t="s">
        <v>313</v>
      </c>
      <c r="U478" t="s">
        <v>443</v>
      </c>
      <c r="V478">
        <v>101</v>
      </c>
      <c r="W478">
        <v>11023</v>
      </c>
      <c r="X478">
        <v>245011</v>
      </c>
      <c r="Y478">
        <v>9999</v>
      </c>
      <c r="Z478">
        <v>999</v>
      </c>
      <c r="AA478">
        <v>999</v>
      </c>
      <c r="AB478">
        <v>9999</v>
      </c>
      <c r="AC478">
        <v>9999</v>
      </c>
      <c r="AD478" t="s">
        <v>1</v>
      </c>
      <c r="AE478" t="s">
        <v>227</v>
      </c>
      <c r="AF478" t="s">
        <v>227</v>
      </c>
      <c r="AG478" t="s">
        <v>286</v>
      </c>
      <c r="AI478" t="s">
        <v>227</v>
      </c>
      <c r="AJ478">
        <v>45808</v>
      </c>
      <c r="AK478" t="s">
        <v>287</v>
      </c>
      <c r="AL478" t="s">
        <v>288</v>
      </c>
    </row>
    <row r="479" spans="1:38" x14ac:dyDescent="0.2">
      <c r="A479">
        <v>44</v>
      </c>
      <c r="B479" t="s">
        <v>47</v>
      </c>
      <c r="D479" t="s">
        <v>1985</v>
      </c>
      <c r="E479" t="s">
        <v>38</v>
      </c>
      <c r="F479" t="s">
        <v>1986</v>
      </c>
      <c r="G479" t="s">
        <v>1987</v>
      </c>
      <c r="H479" t="s">
        <v>226</v>
      </c>
      <c r="I479" t="s">
        <v>324</v>
      </c>
      <c r="J479" s="91">
        <v>29775.599999999999</v>
      </c>
      <c r="K479" s="91">
        <v>29775.599999999999</v>
      </c>
      <c r="L479" s="91">
        <v>29775.599999999999</v>
      </c>
      <c r="M479" t="s">
        <v>278</v>
      </c>
      <c r="N479" t="s">
        <v>278</v>
      </c>
      <c r="O479" t="s">
        <v>1961</v>
      </c>
      <c r="P479" t="s">
        <v>280</v>
      </c>
      <c r="Q479" t="s">
        <v>281</v>
      </c>
      <c r="R479" t="s">
        <v>282</v>
      </c>
      <c r="S479" t="s">
        <v>283</v>
      </c>
      <c r="T479" t="s">
        <v>313</v>
      </c>
      <c r="U479" t="s">
        <v>443</v>
      </c>
      <c r="V479">
        <v>101</v>
      </c>
      <c r="W479">
        <v>11023</v>
      </c>
      <c r="X479">
        <v>245011</v>
      </c>
      <c r="Y479">
        <v>9999</v>
      </c>
      <c r="Z479">
        <v>999</v>
      </c>
      <c r="AA479">
        <v>999</v>
      </c>
      <c r="AB479">
        <v>9999</v>
      </c>
      <c r="AC479">
        <v>9999</v>
      </c>
      <c r="AD479" t="s">
        <v>1</v>
      </c>
      <c r="AE479" t="s">
        <v>227</v>
      </c>
      <c r="AF479" t="s">
        <v>227</v>
      </c>
      <c r="AG479" t="s">
        <v>286</v>
      </c>
      <c r="AI479" t="s">
        <v>227</v>
      </c>
      <c r="AJ479">
        <v>45808</v>
      </c>
      <c r="AK479" t="s">
        <v>287</v>
      </c>
      <c r="AL479" t="s">
        <v>288</v>
      </c>
    </row>
    <row r="480" spans="1:38" x14ac:dyDescent="0.2">
      <c r="A480">
        <v>39</v>
      </c>
      <c r="B480" t="s">
        <v>47</v>
      </c>
      <c r="E480" t="s">
        <v>38</v>
      </c>
      <c r="F480" t="s">
        <v>1988</v>
      </c>
      <c r="G480" t="s">
        <v>1989</v>
      </c>
      <c r="H480" t="s">
        <v>226</v>
      </c>
      <c r="I480" t="s">
        <v>1990</v>
      </c>
      <c r="J480" s="91">
        <v>-29775.599999999999</v>
      </c>
      <c r="K480" s="91">
        <v>-29775.599999999999</v>
      </c>
      <c r="L480" s="91">
        <v>-29775.599999999999</v>
      </c>
      <c r="M480" t="s">
        <v>278</v>
      </c>
      <c r="N480" t="s">
        <v>278</v>
      </c>
      <c r="O480" t="s">
        <v>1991</v>
      </c>
      <c r="P480" t="s">
        <v>280</v>
      </c>
      <c r="Q480" t="s">
        <v>281</v>
      </c>
      <c r="R480" t="s">
        <v>282</v>
      </c>
      <c r="S480" t="s">
        <v>283</v>
      </c>
      <c r="T480" t="s">
        <v>313</v>
      </c>
      <c r="U480" t="s">
        <v>443</v>
      </c>
      <c r="V480">
        <v>101</v>
      </c>
      <c r="W480">
        <v>11023</v>
      </c>
      <c r="X480">
        <v>245011</v>
      </c>
      <c r="Y480">
        <v>9999</v>
      </c>
      <c r="Z480">
        <v>999</v>
      </c>
      <c r="AA480">
        <v>999</v>
      </c>
      <c r="AB480">
        <v>9999</v>
      </c>
      <c r="AC480">
        <v>9999</v>
      </c>
      <c r="AD480" t="s">
        <v>1</v>
      </c>
      <c r="AE480" t="s">
        <v>227</v>
      </c>
      <c r="AF480" t="s">
        <v>227</v>
      </c>
      <c r="AG480" t="s">
        <v>286</v>
      </c>
      <c r="AI480" t="s">
        <v>227</v>
      </c>
      <c r="AJ480">
        <v>45813</v>
      </c>
      <c r="AK480" t="s">
        <v>287</v>
      </c>
      <c r="AL480" t="s">
        <v>288</v>
      </c>
    </row>
    <row r="481" spans="1:38" x14ac:dyDescent="0.2">
      <c r="A481">
        <v>39</v>
      </c>
      <c r="B481" t="s">
        <v>47</v>
      </c>
      <c r="E481" t="s">
        <v>38</v>
      </c>
      <c r="F481" t="s">
        <v>1988</v>
      </c>
      <c r="G481" t="s">
        <v>1989</v>
      </c>
      <c r="H481" t="s">
        <v>226</v>
      </c>
      <c r="I481" t="s">
        <v>1990</v>
      </c>
      <c r="J481" s="91">
        <v>-35154</v>
      </c>
      <c r="K481" s="91">
        <v>-35154</v>
      </c>
      <c r="L481" s="91">
        <v>-35154</v>
      </c>
      <c r="M481" t="s">
        <v>278</v>
      </c>
      <c r="N481" t="s">
        <v>278</v>
      </c>
      <c r="O481" t="s">
        <v>1991</v>
      </c>
      <c r="P481" t="s">
        <v>280</v>
      </c>
      <c r="Q481" t="s">
        <v>281</v>
      </c>
      <c r="R481" t="s">
        <v>282</v>
      </c>
      <c r="S481" t="s">
        <v>283</v>
      </c>
      <c r="T481" t="s">
        <v>313</v>
      </c>
      <c r="U481" t="s">
        <v>443</v>
      </c>
      <c r="V481">
        <v>101</v>
      </c>
      <c r="W481">
        <v>11023</v>
      </c>
      <c r="X481">
        <v>245011</v>
      </c>
      <c r="Y481">
        <v>9999</v>
      </c>
      <c r="Z481">
        <v>999</v>
      </c>
      <c r="AA481">
        <v>999</v>
      </c>
      <c r="AB481">
        <v>9999</v>
      </c>
      <c r="AC481">
        <v>9999</v>
      </c>
      <c r="AD481" t="s">
        <v>1</v>
      </c>
      <c r="AE481" t="s">
        <v>227</v>
      </c>
      <c r="AF481" t="s">
        <v>227</v>
      </c>
      <c r="AG481" t="s">
        <v>286</v>
      </c>
      <c r="AI481" t="s">
        <v>227</v>
      </c>
      <c r="AJ481">
        <v>45813</v>
      </c>
      <c r="AK481" t="s">
        <v>287</v>
      </c>
      <c r="AL481" t="s">
        <v>288</v>
      </c>
    </row>
    <row r="482" spans="1:38" x14ac:dyDescent="0.2">
      <c r="A482">
        <v>39</v>
      </c>
      <c r="B482" t="s">
        <v>47</v>
      </c>
      <c r="E482" t="s">
        <v>38</v>
      </c>
      <c r="F482" t="s">
        <v>1988</v>
      </c>
      <c r="G482" t="s">
        <v>1989</v>
      </c>
      <c r="H482" t="s">
        <v>226</v>
      </c>
      <c r="I482" t="s">
        <v>1990</v>
      </c>
      <c r="J482" s="91">
        <v>-50101.86</v>
      </c>
      <c r="K482" s="91">
        <v>-50101.86</v>
      </c>
      <c r="L482" s="91">
        <v>-50101.86</v>
      </c>
      <c r="M482" t="s">
        <v>278</v>
      </c>
      <c r="N482" t="s">
        <v>278</v>
      </c>
      <c r="O482" t="s">
        <v>1991</v>
      </c>
      <c r="P482" t="s">
        <v>280</v>
      </c>
      <c r="Q482" t="s">
        <v>281</v>
      </c>
      <c r="R482" t="s">
        <v>282</v>
      </c>
      <c r="S482" t="s">
        <v>283</v>
      </c>
      <c r="T482" t="s">
        <v>313</v>
      </c>
      <c r="U482" t="s">
        <v>443</v>
      </c>
      <c r="V482">
        <v>101</v>
      </c>
      <c r="W482">
        <v>11023</v>
      </c>
      <c r="X482">
        <v>245011</v>
      </c>
      <c r="Y482">
        <v>9999</v>
      </c>
      <c r="Z482">
        <v>999</v>
      </c>
      <c r="AA482">
        <v>999</v>
      </c>
      <c r="AB482">
        <v>9999</v>
      </c>
      <c r="AC482">
        <v>9999</v>
      </c>
      <c r="AD482" t="s">
        <v>1</v>
      </c>
      <c r="AE482" t="s">
        <v>227</v>
      </c>
      <c r="AF482" t="s">
        <v>227</v>
      </c>
      <c r="AG482" t="s">
        <v>286</v>
      </c>
      <c r="AI482" t="s">
        <v>227</v>
      </c>
      <c r="AJ482">
        <v>45813</v>
      </c>
      <c r="AK482" t="s">
        <v>287</v>
      </c>
      <c r="AL482" t="s">
        <v>288</v>
      </c>
    </row>
    <row r="483" spans="1:38" x14ac:dyDescent="0.2">
      <c r="A483">
        <v>44</v>
      </c>
      <c r="B483" t="s">
        <v>47</v>
      </c>
      <c r="D483" t="s">
        <v>1992</v>
      </c>
      <c r="E483" t="s">
        <v>224</v>
      </c>
      <c r="F483" t="s">
        <v>1993</v>
      </c>
      <c r="G483" t="s">
        <v>1994</v>
      </c>
      <c r="H483" t="s">
        <v>16</v>
      </c>
      <c r="I483" t="s">
        <v>324</v>
      </c>
      <c r="J483" s="91">
        <v>-495023.82</v>
      </c>
      <c r="K483" s="91">
        <v>-495023.82</v>
      </c>
      <c r="L483" s="91">
        <v>-495023.82</v>
      </c>
      <c r="M483" t="s">
        <v>278</v>
      </c>
      <c r="N483" t="s">
        <v>278</v>
      </c>
      <c r="O483" t="s">
        <v>1992</v>
      </c>
      <c r="P483" t="s">
        <v>280</v>
      </c>
      <c r="Q483" t="s">
        <v>281</v>
      </c>
      <c r="R483" t="s">
        <v>282</v>
      </c>
      <c r="S483" t="s">
        <v>283</v>
      </c>
      <c r="T483" t="s">
        <v>313</v>
      </c>
      <c r="U483" t="s">
        <v>594</v>
      </c>
      <c r="V483">
        <v>101</v>
      </c>
      <c r="W483">
        <v>11001</v>
      </c>
      <c r="X483">
        <v>245011</v>
      </c>
      <c r="Y483">
        <v>9999</v>
      </c>
      <c r="Z483">
        <v>999</v>
      </c>
      <c r="AA483">
        <v>999</v>
      </c>
      <c r="AB483">
        <v>9999</v>
      </c>
      <c r="AC483">
        <v>9999</v>
      </c>
      <c r="AD483" t="s">
        <v>1</v>
      </c>
      <c r="AE483" t="s">
        <v>227</v>
      </c>
      <c r="AF483" t="s">
        <v>227</v>
      </c>
      <c r="AG483" t="s">
        <v>286</v>
      </c>
      <c r="AI483" t="s">
        <v>227</v>
      </c>
      <c r="AJ483">
        <v>45808</v>
      </c>
      <c r="AK483" t="s">
        <v>287</v>
      </c>
      <c r="AL483" t="s">
        <v>288</v>
      </c>
    </row>
    <row r="484" spans="1:38" x14ac:dyDescent="0.2">
      <c r="A484">
        <v>44</v>
      </c>
      <c r="B484" t="s">
        <v>47</v>
      </c>
      <c r="D484" t="s">
        <v>1995</v>
      </c>
      <c r="E484" t="s">
        <v>224</v>
      </c>
      <c r="F484" t="s">
        <v>1996</v>
      </c>
      <c r="G484" t="s">
        <v>1997</v>
      </c>
      <c r="H484" t="s">
        <v>16</v>
      </c>
      <c r="I484" t="s">
        <v>324</v>
      </c>
      <c r="J484" s="91">
        <v>-920530.9</v>
      </c>
      <c r="K484" s="91">
        <v>-920530.9</v>
      </c>
      <c r="L484" s="91">
        <v>-920530.9</v>
      </c>
      <c r="M484" t="s">
        <v>278</v>
      </c>
      <c r="N484" t="s">
        <v>278</v>
      </c>
      <c r="O484" t="s">
        <v>1995</v>
      </c>
      <c r="P484" t="s">
        <v>280</v>
      </c>
      <c r="Q484" t="s">
        <v>281</v>
      </c>
      <c r="R484" t="s">
        <v>282</v>
      </c>
      <c r="S484" t="s">
        <v>283</v>
      </c>
      <c r="T484" t="s">
        <v>313</v>
      </c>
      <c r="U484" t="s">
        <v>594</v>
      </c>
      <c r="V484">
        <v>101</v>
      </c>
      <c r="W484">
        <v>11001</v>
      </c>
      <c r="X484">
        <v>245011</v>
      </c>
      <c r="Y484">
        <v>9999</v>
      </c>
      <c r="Z484">
        <v>999</v>
      </c>
      <c r="AA484">
        <v>999</v>
      </c>
      <c r="AB484">
        <v>9999</v>
      </c>
      <c r="AC484">
        <v>9999</v>
      </c>
      <c r="AD484" t="s">
        <v>1</v>
      </c>
      <c r="AE484" t="s">
        <v>227</v>
      </c>
      <c r="AF484" t="s">
        <v>227</v>
      </c>
      <c r="AG484" t="s">
        <v>286</v>
      </c>
      <c r="AI484" t="s">
        <v>227</v>
      </c>
      <c r="AJ484">
        <v>45808</v>
      </c>
      <c r="AK484" t="s">
        <v>287</v>
      </c>
      <c r="AL484" t="s">
        <v>288</v>
      </c>
    </row>
    <row r="485" spans="1:38" x14ac:dyDescent="0.2">
      <c r="A485">
        <v>39</v>
      </c>
      <c r="B485" t="s">
        <v>47</v>
      </c>
      <c r="E485" t="s">
        <v>224</v>
      </c>
      <c r="F485" t="s">
        <v>1998</v>
      </c>
      <c r="G485" t="s">
        <v>1999</v>
      </c>
      <c r="H485" t="s">
        <v>16</v>
      </c>
      <c r="I485" t="s">
        <v>1990</v>
      </c>
      <c r="J485" s="91">
        <v>495023.82</v>
      </c>
      <c r="K485" s="91">
        <v>495023.82</v>
      </c>
      <c r="L485" s="91">
        <v>495023.82</v>
      </c>
      <c r="M485" t="s">
        <v>278</v>
      </c>
      <c r="N485" t="s">
        <v>278</v>
      </c>
      <c r="O485" t="s">
        <v>2000</v>
      </c>
      <c r="P485" t="s">
        <v>280</v>
      </c>
      <c r="Q485" t="s">
        <v>281</v>
      </c>
      <c r="R485" t="s">
        <v>282</v>
      </c>
      <c r="S485" t="s">
        <v>283</v>
      </c>
      <c r="T485" t="s">
        <v>313</v>
      </c>
      <c r="U485" t="s">
        <v>594</v>
      </c>
      <c r="V485">
        <v>101</v>
      </c>
      <c r="W485">
        <v>11001</v>
      </c>
      <c r="X485">
        <v>245011</v>
      </c>
      <c r="Y485">
        <v>9999</v>
      </c>
      <c r="Z485">
        <v>999</v>
      </c>
      <c r="AA485">
        <v>999</v>
      </c>
      <c r="AB485">
        <v>9999</v>
      </c>
      <c r="AC485">
        <v>9999</v>
      </c>
      <c r="AD485" t="s">
        <v>1</v>
      </c>
      <c r="AE485" t="s">
        <v>227</v>
      </c>
      <c r="AF485" t="s">
        <v>227</v>
      </c>
      <c r="AG485" t="s">
        <v>286</v>
      </c>
      <c r="AI485" t="s">
        <v>227</v>
      </c>
      <c r="AJ485">
        <v>45813</v>
      </c>
      <c r="AK485" t="s">
        <v>287</v>
      </c>
      <c r="AL485" t="s">
        <v>288</v>
      </c>
    </row>
    <row r="486" spans="1:38" x14ac:dyDescent="0.2">
      <c r="A486">
        <v>39</v>
      </c>
      <c r="B486" t="s">
        <v>47</v>
      </c>
      <c r="E486" t="s">
        <v>224</v>
      </c>
      <c r="F486" t="s">
        <v>2001</v>
      </c>
      <c r="G486" t="s">
        <v>2002</v>
      </c>
      <c r="H486" t="s">
        <v>16</v>
      </c>
      <c r="I486" t="s">
        <v>1990</v>
      </c>
      <c r="J486" s="91">
        <v>920530.9</v>
      </c>
      <c r="K486" s="91">
        <v>920530.9</v>
      </c>
      <c r="L486" s="91">
        <v>920530.9</v>
      </c>
      <c r="M486" t="s">
        <v>278</v>
      </c>
      <c r="N486" t="s">
        <v>278</v>
      </c>
      <c r="O486" t="s">
        <v>2003</v>
      </c>
      <c r="P486" t="s">
        <v>280</v>
      </c>
      <c r="Q486" t="s">
        <v>281</v>
      </c>
      <c r="R486" t="s">
        <v>282</v>
      </c>
      <c r="S486" t="s">
        <v>283</v>
      </c>
      <c r="T486" t="s">
        <v>313</v>
      </c>
      <c r="U486" t="s">
        <v>594</v>
      </c>
      <c r="V486">
        <v>101</v>
      </c>
      <c r="W486">
        <v>11001</v>
      </c>
      <c r="X486">
        <v>245011</v>
      </c>
      <c r="Y486">
        <v>9999</v>
      </c>
      <c r="Z486">
        <v>999</v>
      </c>
      <c r="AA486">
        <v>999</v>
      </c>
      <c r="AB486">
        <v>9999</v>
      </c>
      <c r="AC486">
        <v>9999</v>
      </c>
      <c r="AD486" t="s">
        <v>1</v>
      </c>
      <c r="AE486" t="s">
        <v>227</v>
      </c>
      <c r="AF486" t="s">
        <v>227</v>
      </c>
      <c r="AG486" t="s">
        <v>286</v>
      </c>
      <c r="AI486" t="s">
        <v>227</v>
      </c>
      <c r="AJ486">
        <v>45813</v>
      </c>
      <c r="AK486" t="s">
        <v>287</v>
      </c>
      <c r="AL486" t="s">
        <v>288</v>
      </c>
    </row>
    <row r="487" spans="1:38" x14ac:dyDescent="0.2">
      <c r="A487">
        <v>289</v>
      </c>
      <c r="B487" t="s">
        <v>51</v>
      </c>
      <c r="D487" t="s">
        <v>2004</v>
      </c>
      <c r="E487" t="s">
        <v>11</v>
      </c>
      <c r="F487" t="s">
        <v>2005</v>
      </c>
      <c r="G487" t="s">
        <v>2006</v>
      </c>
      <c r="H487" t="s">
        <v>9</v>
      </c>
      <c r="I487" t="s">
        <v>277</v>
      </c>
      <c r="J487" s="91">
        <v>-245120</v>
      </c>
      <c r="K487" s="91">
        <v>-245120</v>
      </c>
      <c r="L487" s="91">
        <v>-245120</v>
      </c>
      <c r="M487" t="s">
        <v>278</v>
      </c>
      <c r="N487" t="s">
        <v>278</v>
      </c>
      <c r="O487" t="s">
        <v>279</v>
      </c>
      <c r="P487" t="s">
        <v>280</v>
      </c>
      <c r="Q487" t="s">
        <v>281</v>
      </c>
      <c r="R487" t="s">
        <v>282</v>
      </c>
      <c r="S487" t="s">
        <v>283</v>
      </c>
      <c r="T487" t="s">
        <v>284</v>
      </c>
      <c r="U487" t="s">
        <v>285</v>
      </c>
      <c r="V487">
        <v>101</v>
      </c>
      <c r="W487">
        <v>12012</v>
      </c>
      <c r="X487">
        <v>245011</v>
      </c>
      <c r="Y487">
        <v>9999</v>
      </c>
      <c r="Z487">
        <v>999</v>
      </c>
      <c r="AA487">
        <v>999</v>
      </c>
      <c r="AB487">
        <v>9999</v>
      </c>
      <c r="AC487">
        <v>9999</v>
      </c>
      <c r="AD487" t="s">
        <v>1</v>
      </c>
      <c r="AE487" t="s">
        <v>227</v>
      </c>
      <c r="AF487" t="s">
        <v>227</v>
      </c>
      <c r="AG487" t="s">
        <v>286</v>
      </c>
      <c r="AI487" t="s">
        <v>227</v>
      </c>
      <c r="AJ487">
        <v>45594</v>
      </c>
      <c r="AK487" t="s">
        <v>287</v>
      </c>
      <c r="AL487" t="s">
        <v>288</v>
      </c>
    </row>
    <row r="488" spans="1:38" x14ac:dyDescent="0.2">
      <c r="E488" t="s">
        <v>11</v>
      </c>
      <c r="F488" t="s">
        <v>2007</v>
      </c>
      <c r="G488" t="s">
        <v>2008</v>
      </c>
      <c r="H488" t="s">
        <v>2009</v>
      </c>
      <c r="I488" t="s">
        <v>2010</v>
      </c>
      <c r="J488" s="91">
        <v>245120</v>
      </c>
      <c r="K488" s="91">
        <v>245120</v>
      </c>
      <c r="L488" s="91">
        <v>245120</v>
      </c>
      <c r="M488" t="s">
        <v>278</v>
      </c>
      <c r="N488" t="s">
        <v>278</v>
      </c>
      <c r="O488" t="s">
        <v>2011</v>
      </c>
      <c r="P488" t="s">
        <v>280</v>
      </c>
      <c r="Q488" t="s">
        <v>281</v>
      </c>
      <c r="R488" t="s">
        <v>282</v>
      </c>
      <c r="S488" t="s">
        <v>283</v>
      </c>
      <c r="T488" t="s">
        <v>284</v>
      </c>
      <c r="U488" t="s">
        <v>285</v>
      </c>
      <c r="V488">
        <v>101</v>
      </c>
      <c r="W488">
        <v>12012</v>
      </c>
      <c r="X488">
        <v>245011</v>
      </c>
      <c r="Y488">
        <v>9999</v>
      </c>
      <c r="Z488">
        <v>999</v>
      </c>
      <c r="AA488">
        <v>999</v>
      </c>
      <c r="AB488">
        <v>9999</v>
      </c>
      <c r="AC488">
        <v>9999</v>
      </c>
      <c r="AD488" t="s">
        <v>1</v>
      </c>
      <c r="AE488" t="s">
        <v>227</v>
      </c>
      <c r="AF488" t="s">
        <v>227</v>
      </c>
      <c r="AG488" t="s">
        <v>286</v>
      </c>
      <c r="AI488" t="s">
        <v>227</v>
      </c>
      <c r="AJ488">
        <v>45869</v>
      </c>
      <c r="AK488" t="s">
        <v>287</v>
      </c>
      <c r="AL488" t="s">
        <v>288</v>
      </c>
    </row>
    <row r="489" spans="1:38" x14ac:dyDescent="0.2">
      <c r="E489" t="s">
        <v>11</v>
      </c>
      <c r="F489" t="s">
        <v>2012</v>
      </c>
      <c r="G489" t="s">
        <v>2013</v>
      </c>
      <c r="H489" t="s">
        <v>2009</v>
      </c>
      <c r="I489" t="s">
        <v>2010</v>
      </c>
      <c r="J489" s="91">
        <v>-245120</v>
      </c>
      <c r="K489" s="91">
        <v>-245120</v>
      </c>
      <c r="L489" s="91">
        <v>-245120</v>
      </c>
      <c r="M489" t="s">
        <v>278</v>
      </c>
      <c r="N489" t="s">
        <v>278</v>
      </c>
      <c r="O489" t="s">
        <v>279</v>
      </c>
      <c r="P489" t="s">
        <v>280</v>
      </c>
      <c r="Q489" t="s">
        <v>281</v>
      </c>
      <c r="R489" t="s">
        <v>282</v>
      </c>
      <c r="S489" t="s">
        <v>283</v>
      </c>
      <c r="T489" t="s">
        <v>284</v>
      </c>
      <c r="U489" t="s">
        <v>285</v>
      </c>
      <c r="V489">
        <v>101</v>
      </c>
      <c r="W489">
        <v>12012</v>
      </c>
      <c r="X489">
        <v>245011</v>
      </c>
      <c r="Y489">
        <v>9999</v>
      </c>
      <c r="Z489">
        <v>999</v>
      </c>
      <c r="AA489">
        <v>999</v>
      </c>
      <c r="AB489">
        <v>9999</v>
      </c>
      <c r="AC489">
        <v>9999</v>
      </c>
      <c r="AD489" t="s">
        <v>1</v>
      </c>
      <c r="AE489" t="s">
        <v>227</v>
      </c>
      <c r="AF489" t="s">
        <v>227</v>
      </c>
      <c r="AG489" t="s">
        <v>286</v>
      </c>
      <c r="AI489" t="s">
        <v>227</v>
      </c>
      <c r="AJ489">
        <v>45869</v>
      </c>
      <c r="AK489" t="s">
        <v>287</v>
      </c>
      <c r="AL489" t="s">
        <v>288</v>
      </c>
    </row>
    <row r="490" spans="1:38" x14ac:dyDescent="0.2">
      <c r="E490" t="s">
        <v>11</v>
      </c>
      <c r="F490" t="s">
        <v>2012</v>
      </c>
      <c r="G490" t="s">
        <v>2013</v>
      </c>
      <c r="H490" t="s">
        <v>2009</v>
      </c>
      <c r="I490" t="s">
        <v>2010</v>
      </c>
      <c r="J490" s="91">
        <v>245120</v>
      </c>
      <c r="K490" s="91">
        <v>245120</v>
      </c>
      <c r="L490" s="91">
        <v>245120</v>
      </c>
      <c r="M490" t="s">
        <v>278</v>
      </c>
      <c r="N490" t="s">
        <v>278</v>
      </c>
      <c r="O490" t="s">
        <v>279</v>
      </c>
      <c r="P490" t="s">
        <v>280</v>
      </c>
      <c r="Q490" t="s">
        <v>281</v>
      </c>
      <c r="R490" t="s">
        <v>282</v>
      </c>
      <c r="S490" t="s">
        <v>283</v>
      </c>
      <c r="T490" t="s">
        <v>284</v>
      </c>
      <c r="U490" t="s">
        <v>285</v>
      </c>
      <c r="V490">
        <v>101</v>
      </c>
      <c r="W490">
        <v>12012</v>
      </c>
      <c r="X490">
        <v>245011</v>
      </c>
      <c r="Y490">
        <v>9999</v>
      </c>
      <c r="Z490">
        <v>999</v>
      </c>
      <c r="AA490">
        <v>999</v>
      </c>
      <c r="AB490">
        <v>9999</v>
      </c>
      <c r="AC490">
        <v>9999</v>
      </c>
      <c r="AD490" t="s">
        <v>1</v>
      </c>
      <c r="AE490" t="s">
        <v>227</v>
      </c>
      <c r="AF490" t="s">
        <v>227</v>
      </c>
      <c r="AG490" t="s">
        <v>286</v>
      </c>
      <c r="AI490" t="s">
        <v>227</v>
      </c>
      <c r="AJ490">
        <v>45869</v>
      </c>
      <c r="AK490" t="s">
        <v>287</v>
      </c>
      <c r="AL490" t="s">
        <v>288</v>
      </c>
    </row>
    <row r="491" spans="1:38" x14ac:dyDescent="0.2">
      <c r="A491">
        <v>45</v>
      </c>
      <c r="B491" t="s">
        <v>47</v>
      </c>
      <c r="D491" t="s">
        <v>2014</v>
      </c>
      <c r="E491" t="s">
        <v>224</v>
      </c>
      <c r="F491" t="s">
        <v>2015</v>
      </c>
      <c r="G491" t="s">
        <v>2016</v>
      </c>
      <c r="H491" t="s">
        <v>16</v>
      </c>
      <c r="I491" t="s">
        <v>1990</v>
      </c>
      <c r="J491" s="91">
        <v>-644603.30000000005</v>
      </c>
      <c r="K491" s="91">
        <v>-644603.30000000005</v>
      </c>
      <c r="L491" s="91">
        <v>-644603.30000000005</v>
      </c>
      <c r="M491" t="s">
        <v>278</v>
      </c>
      <c r="N491" t="s">
        <v>278</v>
      </c>
      <c r="O491" t="s">
        <v>2017</v>
      </c>
      <c r="P491" t="s">
        <v>280</v>
      </c>
      <c r="Q491" t="s">
        <v>281</v>
      </c>
      <c r="R491" t="s">
        <v>282</v>
      </c>
      <c r="S491" t="s">
        <v>283</v>
      </c>
      <c r="T491" t="s">
        <v>313</v>
      </c>
      <c r="U491" t="s">
        <v>594</v>
      </c>
      <c r="V491">
        <v>101</v>
      </c>
      <c r="W491">
        <v>11001</v>
      </c>
      <c r="X491">
        <v>245011</v>
      </c>
      <c r="Y491">
        <v>9999</v>
      </c>
      <c r="Z491">
        <v>999</v>
      </c>
      <c r="AA491">
        <v>999</v>
      </c>
      <c r="AB491">
        <v>9999</v>
      </c>
      <c r="AC491">
        <v>9999</v>
      </c>
      <c r="AD491" t="s">
        <v>1</v>
      </c>
      <c r="AE491" t="s">
        <v>227</v>
      </c>
      <c r="AF491" t="s">
        <v>227</v>
      </c>
      <c r="AG491" t="s">
        <v>286</v>
      </c>
      <c r="AI491" t="s">
        <v>227</v>
      </c>
      <c r="AJ491">
        <v>45838</v>
      </c>
      <c r="AK491" t="s">
        <v>287</v>
      </c>
      <c r="AL491" t="s">
        <v>288</v>
      </c>
    </row>
    <row r="492" spans="1:38" x14ac:dyDescent="0.2">
      <c r="E492" t="s">
        <v>224</v>
      </c>
      <c r="F492" t="s">
        <v>2018</v>
      </c>
      <c r="G492" t="s">
        <v>2019</v>
      </c>
      <c r="H492" t="s">
        <v>16</v>
      </c>
      <c r="I492" t="s">
        <v>2010</v>
      </c>
      <c r="J492" s="91">
        <v>644603.30000000005</v>
      </c>
      <c r="K492" s="91">
        <v>644603.30000000005</v>
      </c>
      <c r="L492" s="91">
        <v>644603.30000000005</v>
      </c>
      <c r="M492" t="s">
        <v>278</v>
      </c>
      <c r="N492" t="s">
        <v>278</v>
      </c>
      <c r="O492" t="s">
        <v>2020</v>
      </c>
      <c r="P492" t="s">
        <v>280</v>
      </c>
      <c r="Q492" t="s">
        <v>281</v>
      </c>
      <c r="R492" t="s">
        <v>282</v>
      </c>
      <c r="S492" t="s">
        <v>283</v>
      </c>
      <c r="T492" t="s">
        <v>313</v>
      </c>
      <c r="U492" t="s">
        <v>594</v>
      </c>
      <c r="V492">
        <v>101</v>
      </c>
      <c r="W492">
        <v>11001</v>
      </c>
      <c r="X492">
        <v>245011</v>
      </c>
      <c r="Y492">
        <v>9999</v>
      </c>
      <c r="Z492">
        <v>999</v>
      </c>
      <c r="AA492">
        <v>999</v>
      </c>
      <c r="AB492">
        <v>9999</v>
      </c>
      <c r="AC492">
        <v>9999</v>
      </c>
      <c r="AD492" t="s">
        <v>1</v>
      </c>
      <c r="AE492" t="s">
        <v>227</v>
      </c>
      <c r="AF492" t="s">
        <v>227</v>
      </c>
      <c r="AG492" t="s">
        <v>286</v>
      </c>
      <c r="AI492" t="s">
        <v>227</v>
      </c>
      <c r="AJ492">
        <v>45845</v>
      </c>
      <c r="AK492" t="s">
        <v>287</v>
      </c>
      <c r="AL492" t="s">
        <v>288</v>
      </c>
    </row>
    <row r="493" spans="1:38" x14ac:dyDescent="0.2">
      <c r="A493">
        <v>45</v>
      </c>
      <c r="B493" t="s">
        <v>47</v>
      </c>
      <c r="D493" t="s">
        <v>2021</v>
      </c>
      <c r="E493" t="s">
        <v>14</v>
      </c>
      <c r="F493" t="s">
        <v>2022</v>
      </c>
      <c r="G493" t="s">
        <v>2023</v>
      </c>
      <c r="H493" t="s">
        <v>16</v>
      </c>
      <c r="I493" t="s">
        <v>1990</v>
      </c>
      <c r="J493" s="91">
        <v>-145753.79999999999</v>
      </c>
      <c r="K493" s="91">
        <v>-145753.79999999999</v>
      </c>
      <c r="L493" s="91">
        <v>-145753.79999999999</v>
      </c>
      <c r="M493" t="s">
        <v>278</v>
      </c>
      <c r="N493" t="s">
        <v>278</v>
      </c>
      <c r="O493" t="s">
        <v>2024</v>
      </c>
      <c r="P493" t="s">
        <v>280</v>
      </c>
      <c r="Q493" t="s">
        <v>281</v>
      </c>
      <c r="R493" t="s">
        <v>282</v>
      </c>
      <c r="S493" t="s">
        <v>294</v>
      </c>
      <c r="T493" t="s">
        <v>305</v>
      </c>
      <c r="U493" t="s">
        <v>306</v>
      </c>
      <c r="V493">
        <v>101</v>
      </c>
      <c r="W493">
        <v>13016</v>
      </c>
      <c r="X493">
        <v>245011</v>
      </c>
      <c r="Y493">
        <v>9999</v>
      </c>
      <c r="Z493">
        <v>999</v>
      </c>
      <c r="AA493">
        <v>999</v>
      </c>
      <c r="AB493">
        <v>9999</v>
      </c>
      <c r="AC493">
        <v>9999</v>
      </c>
      <c r="AD493" t="s">
        <v>1</v>
      </c>
      <c r="AE493" t="s">
        <v>227</v>
      </c>
      <c r="AF493" t="s">
        <v>227</v>
      </c>
      <c r="AG493" t="s">
        <v>286</v>
      </c>
      <c r="AI493" t="s">
        <v>227</v>
      </c>
      <c r="AJ493">
        <v>45838</v>
      </c>
      <c r="AK493" t="s">
        <v>287</v>
      </c>
      <c r="AL493" t="s">
        <v>288</v>
      </c>
    </row>
    <row r="494" spans="1:38" x14ac:dyDescent="0.2">
      <c r="E494" t="s">
        <v>14</v>
      </c>
      <c r="F494" t="s">
        <v>2025</v>
      </c>
      <c r="G494" t="s">
        <v>2026</v>
      </c>
      <c r="H494" t="s">
        <v>16</v>
      </c>
      <c r="I494" t="s">
        <v>2010</v>
      </c>
      <c r="J494" s="91">
        <v>145753.79999999999</v>
      </c>
      <c r="K494" s="91">
        <v>145753.79999999999</v>
      </c>
      <c r="L494" s="91">
        <v>145753.79999999999</v>
      </c>
      <c r="M494" t="s">
        <v>278</v>
      </c>
      <c r="N494" t="s">
        <v>278</v>
      </c>
      <c r="O494" t="s">
        <v>2027</v>
      </c>
      <c r="P494" t="s">
        <v>280</v>
      </c>
      <c r="Q494" t="s">
        <v>281</v>
      </c>
      <c r="R494" t="s">
        <v>282</v>
      </c>
      <c r="S494" t="s">
        <v>294</v>
      </c>
      <c r="T494" t="s">
        <v>305</v>
      </c>
      <c r="U494" t="s">
        <v>306</v>
      </c>
      <c r="V494">
        <v>101</v>
      </c>
      <c r="W494">
        <v>13016</v>
      </c>
      <c r="X494">
        <v>245011</v>
      </c>
      <c r="Y494">
        <v>9999</v>
      </c>
      <c r="Z494">
        <v>999</v>
      </c>
      <c r="AA494">
        <v>999</v>
      </c>
      <c r="AB494">
        <v>9999</v>
      </c>
      <c r="AC494">
        <v>9999</v>
      </c>
      <c r="AD494" t="s">
        <v>1</v>
      </c>
      <c r="AE494" t="s">
        <v>227</v>
      </c>
      <c r="AF494" t="s">
        <v>227</v>
      </c>
      <c r="AG494" t="s">
        <v>286</v>
      </c>
      <c r="AI494" t="s">
        <v>227</v>
      </c>
      <c r="AJ494">
        <v>45845</v>
      </c>
      <c r="AK494" t="s">
        <v>287</v>
      </c>
      <c r="AL494" t="s">
        <v>288</v>
      </c>
    </row>
    <row r="495" spans="1:38" x14ac:dyDescent="0.2">
      <c r="E495" t="s">
        <v>23</v>
      </c>
      <c r="F495" t="s">
        <v>2028</v>
      </c>
      <c r="G495" t="s">
        <v>2029</v>
      </c>
      <c r="H495" t="s">
        <v>656</v>
      </c>
      <c r="I495" t="s">
        <v>332</v>
      </c>
      <c r="J495" s="91">
        <v>-3382.18</v>
      </c>
      <c r="K495" s="91">
        <v>-3382.18</v>
      </c>
      <c r="L495" s="91">
        <v>-3382.18</v>
      </c>
      <c r="M495" t="s">
        <v>278</v>
      </c>
      <c r="N495" t="s">
        <v>278</v>
      </c>
      <c r="O495" t="s">
        <v>2030</v>
      </c>
      <c r="P495" t="s">
        <v>2030</v>
      </c>
      <c r="Q495" t="s">
        <v>281</v>
      </c>
      <c r="R495" t="s">
        <v>282</v>
      </c>
      <c r="S495" t="s">
        <v>283</v>
      </c>
      <c r="T495" t="s">
        <v>313</v>
      </c>
      <c r="U495" t="s">
        <v>345</v>
      </c>
      <c r="V495">
        <v>101</v>
      </c>
      <c r="W495">
        <v>11003</v>
      </c>
      <c r="X495">
        <v>245011</v>
      </c>
      <c r="Y495">
        <v>9999</v>
      </c>
      <c r="Z495">
        <v>950</v>
      </c>
      <c r="AA495">
        <v>999</v>
      </c>
      <c r="AB495">
        <v>9999</v>
      </c>
      <c r="AC495">
        <v>9999</v>
      </c>
      <c r="AD495" t="s">
        <v>1</v>
      </c>
      <c r="AE495" t="s">
        <v>227</v>
      </c>
      <c r="AF495" t="s">
        <v>227</v>
      </c>
      <c r="AG495" t="s">
        <v>286</v>
      </c>
      <c r="AI495" t="s">
        <v>227</v>
      </c>
      <c r="AJ495">
        <v>45874</v>
      </c>
      <c r="AK495" t="s">
        <v>315</v>
      </c>
      <c r="AL495" t="s">
        <v>288</v>
      </c>
    </row>
    <row r="496" spans="1:38" x14ac:dyDescent="0.2">
      <c r="E496" t="s">
        <v>23</v>
      </c>
      <c r="F496" t="s">
        <v>2028</v>
      </c>
      <c r="G496" t="s">
        <v>2029</v>
      </c>
      <c r="H496" t="s">
        <v>656</v>
      </c>
      <c r="I496" t="s">
        <v>332</v>
      </c>
      <c r="J496" s="91">
        <v>3382.18</v>
      </c>
      <c r="K496" s="91">
        <v>3382.18</v>
      </c>
      <c r="L496" s="91">
        <v>3382.18</v>
      </c>
      <c r="M496" t="s">
        <v>278</v>
      </c>
      <c r="N496" t="s">
        <v>278</v>
      </c>
      <c r="O496" t="s">
        <v>2030</v>
      </c>
      <c r="P496" t="s">
        <v>2030</v>
      </c>
      <c r="Q496" t="s">
        <v>281</v>
      </c>
      <c r="R496" t="s">
        <v>282</v>
      </c>
      <c r="S496" t="s">
        <v>283</v>
      </c>
      <c r="T496" t="s">
        <v>313</v>
      </c>
      <c r="U496" t="s">
        <v>415</v>
      </c>
      <c r="V496">
        <v>101</v>
      </c>
      <c r="W496">
        <v>11003</v>
      </c>
      <c r="X496">
        <v>245011</v>
      </c>
      <c r="Y496">
        <v>9999</v>
      </c>
      <c r="Z496">
        <v>999</v>
      </c>
      <c r="AA496">
        <v>999</v>
      </c>
      <c r="AB496">
        <v>9999</v>
      </c>
      <c r="AC496">
        <v>9999</v>
      </c>
      <c r="AD496" t="s">
        <v>1</v>
      </c>
      <c r="AE496" t="s">
        <v>227</v>
      </c>
      <c r="AF496" t="s">
        <v>227</v>
      </c>
      <c r="AG496" t="s">
        <v>286</v>
      </c>
      <c r="AI496" t="s">
        <v>227</v>
      </c>
      <c r="AJ496">
        <v>45874</v>
      </c>
      <c r="AK496" t="s">
        <v>315</v>
      </c>
      <c r="AL496" t="s">
        <v>288</v>
      </c>
    </row>
    <row r="497" spans="1:38" x14ac:dyDescent="0.2">
      <c r="E497" t="s">
        <v>32</v>
      </c>
      <c r="F497" t="s">
        <v>2028</v>
      </c>
      <c r="G497" t="s">
        <v>2029</v>
      </c>
      <c r="H497" t="s">
        <v>656</v>
      </c>
      <c r="I497" t="s">
        <v>332</v>
      </c>
      <c r="J497" s="91">
        <v>30791.86</v>
      </c>
      <c r="K497" s="91">
        <v>30791.86</v>
      </c>
      <c r="L497" s="91">
        <v>30791.86</v>
      </c>
      <c r="M497" t="s">
        <v>278</v>
      </c>
      <c r="N497" t="s">
        <v>278</v>
      </c>
      <c r="O497" t="s">
        <v>2030</v>
      </c>
      <c r="P497" t="s">
        <v>2030</v>
      </c>
      <c r="Q497" t="s">
        <v>281</v>
      </c>
      <c r="R497" t="s">
        <v>282</v>
      </c>
      <c r="S497" t="s">
        <v>283</v>
      </c>
      <c r="T497" t="s">
        <v>313</v>
      </c>
      <c r="U497" t="s">
        <v>381</v>
      </c>
      <c r="V497">
        <v>101</v>
      </c>
      <c r="W497">
        <v>12015</v>
      </c>
      <c r="X497">
        <v>245011</v>
      </c>
      <c r="Y497">
        <v>9999</v>
      </c>
      <c r="Z497">
        <v>999</v>
      </c>
      <c r="AA497">
        <v>999</v>
      </c>
      <c r="AB497">
        <v>9999</v>
      </c>
      <c r="AC497">
        <v>9999</v>
      </c>
      <c r="AD497" t="s">
        <v>1</v>
      </c>
      <c r="AE497" t="s">
        <v>227</v>
      </c>
      <c r="AF497" t="s">
        <v>227</v>
      </c>
      <c r="AG497" t="s">
        <v>286</v>
      </c>
      <c r="AI497" t="s">
        <v>227</v>
      </c>
      <c r="AJ497">
        <v>45874</v>
      </c>
      <c r="AK497" t="s">
        <v>315</v>
      </c>
      <c r="AL497" t="s">
        <v>288</v>
      </c>
    </row>
    <row r="498" spans="1:38" x14ac:dyDescent="0.2">
      <c r="E498" t="s">
        <v>32</v>
      </c>
      <c r="F498" t="s">
        <v>2028</v>
      </c>
      <c r="G498" t="s">
        <v>2029</v>
      </c>
      <c r="H498" t="s">
        <v>656</v>
      </c>
      <c r="I498" t="s">
        <v>332</v>
      </c>
      <c r="J498" s="91">
        <v>-30791.86</v>
      </c>
      <c r="K498" s="91">
        <v>-30791.86</v>
      </c>
      <c r="L498" s="91">
        <v>-30791.86</v>
      </c>
      <c r="M498" t="s">
        <v>278</v>
      </c>
      <c r="N498" t="s">
        <v>278</v>
      </c>
      <c r="O498" t="s">
        <v>2030</v>
      </c>
      <c r="P498" t="s">
        <v>2030</v>
      </c>
      <c r="Q498" t="s">
        <v>281</v>
      </c>
      <c r="R498" t="s">
        <v>282</v>
      </c>
      <c r="S498" t="s">
        <v>283</v>
      </c>
      <c r="T498" t="s">
        <v>313</v>
      </c>
      <c r="U498" t="s">
        <v>1086</v>
      </c>
      <c r="V498">
        <v>101</v>
      </c>
      <c r="W498">
        <v>12015</v>
      </c>
      <c r="X498">
        <v>245011</v>
      </c>
      <c r="Y498">
        <v>9999</v>
      </c>
      <c r="Z498">
        <v>950</v>
      </c>
      <c r="AA498">
        <v>999</v>
      </c>
      <c r="AB498">
        <v>9999</v>
      </c>
      <c r="AC498">
        <v>9999</v>
      </c>
      <c r="AD498" t="s">
        <v>1</v>
      </c>
      <c r="AE498" t="s">
        <v>227</v>
      </c>
      <c r="AF498" t="s">
        <v>227</v>
      </c>
      <c r="AG498" t="s">
        <v>286</v>
      </c>
      <c r="AI498" t="s">
        <v>227</v>
      </c>
      <c r="AJ498">
        <v>45874</v>
      </c>
      <c r="AK498" t="s">
        <v>315</v>
      </c>
      <c r="AL498" t="s">
        <v>288</v>
      </c>
    </row>
    <row r="499" spans="1:38" x14ac:dyDescent="0.2">
      <c r="A499">
        <v>46</v>
      </c>
      <c r="B499" t="s">
        <v>47</v>
      </c>
      <c r="D499" t="s">
        <v>2031</v>
      </c>
      <c r="E499" t="s">
        <v>228</v>
      </c>
      <c r="F499" t="s">
        <v>2032</v>
      </c>
      <c r="G499" t="s">
        <v>2033</v>
      </c>
      <c r="H499" t="s">
        <v>12</v>
      </c>
      <c r="I499" t="s">
        <v>2010</v>
      </c>
      <c r="J499" s="91">
        <v>-10787.94</v>
      </c>
      <c r="K499" s="91">
        <v>-10787.94</v>
      </c>
      <c r="L499" s="91">
        <v>-10787.94</v>
      </c>
      <c r="M499" t="s">
        <v>278</v>
      </c>
      <c r="N499" t="s">
        <v>278</v>
      </c>
      <c r="O499" t="s">
        <v>2031</v>
      </c>
      <c r="P499" t="s">
        <v>280</v>
      </c>
      <c r="Q499" t="s">
        <v>281</v>
      </c>
      <c r="R499" t="s">
        <v>282</v>
      </c>
      <c r="S499" t="s">
        <v>283</v>
      </c>
      <c r="T499" t="s">
        <v>313</v>
      </c>
      <c r="U499" t="s">
        <v>2034</v>
      </c>
      <c r="V499">
        <v>101</v>
      </c>
      <c r="W499">
        <v>12011</v>
      </c>
      <c r="X499">
        <v>245011</v>
      </c>
      <c r="Y499">
        <v>9999</v>
      </c>
      <c r="Z499">
        <v>950</v>
      </c>
      <c r="AA499">
        <v>999</v>
      </c>
      <c r="AB499">
        <v>9999</v>
      </c>
      <c r="AC499">
        <v>9999</v>
      </c>
      <c r="AD499" t="s">
        <v>1</v>
      </c>
      <c r="AE499" t="s">
        <v>2035</v>
      </c>
      <c r="AF499" t="s">
        <v>227</v>
      </c>
      <c r="AG499" t="s">
        <v>286</v>
      </c>
      <c r="AI499" t="s">
        <v>227</v>
      </c>
      <c r="AJ499">
        <v>45869</v>
      </c>
      <c r="AK499" t="s">
        <v>315</v>
      </c>
      <c r="AL499" t="s">
        <v>288</v>
      </c>
    </row>
    <row r="500" spans="1:38" x14ac:dyDescent="0.2">
      <c r="E500" t="s">
        <v>228</v>
      </c>
      <c r="F500" t="s">
        <v>2036</v>
      </c>
      <c r="G500" t="s">
        <v>2037</v>
      </c>
      <c r="H500" t="s">
        <v>12</v>
      </c>
      <c r="I500" t="s">
        <v>332</v>
      </c>
      <c r="J500" s="91">
        <v>10787.94</v>
      </c>
      <c r="K500" s="91">
        <v>10787.94</v>
      </c>
      <c r="L500" s="91">
        <v>10787.94</v>
      </c>
      <c r="M500" t="s">
        <v>278</v>
      </c>
      <c r="N500" t="s">
        <v>278</v>
      </c>
      <c r="O500" t="s">
        <v>2038</v>
      </c>
      <c r="P500" t="s">
        <v>280</v>
      </c>
      <c r="Q500" t="s">
        <v>281</v>
      </c>
      <c r="R500" t="s">
        <v>282</v>
      </c>
      <c r="S500" t="s">
        <v>283</v>
      </c>
      <c r="T500" t="s">
        <v>313</v>
      </c>
      <c r="U500" t="s">
        <v>2034</v>
      </c>
      <c r="V500">
        <v>101</v>
      </c>
      <c r="W500">
        <v>12011</v>
      </c>
      <c r="X500">
        <v>245011</v>
      </c>
      <c r="Y500">
        <v>9999</v>
      </c>
      <c r="Z500">
        <v>950</v>
      </c>
      <c r="AA500">
        <v>999</v>
      </c>
      <c r="AB500">
        <v>9999</v>
      </c>
      <c r="AC500">
        <v>9999</v>
      </c>
      <c r="AD500" t="s">
        <v>1</v>
      </c>
      <c r="AE500" t="s">
        <v>2035</v>
      </c>
      <c r="AF500" t="s">
        <v>227</v>
      </c>
      <c r="AG500" t="s">
        <v>286</v>
      </c>
      <c r="AI500" t="s">
        <v>227</v>
      </c>
      <c r="AJ500">
        <v>45888</v>
      </c>
      <c r="AK500" t="s">
        <v>315</v>
      </c>
      <c r="AL500" t="s">
        <v>288</v>
      </c>
    </row>
    <row r="501" spans="1:38" x14ac:dyDescent="0.2">
      <c r="E501" t="s">
        <v>220</v>
      </c>
      <c r="F501" t="s">
        <v>2028</v>
      </c>
      <c r="G501" t="s">
        <v>2029</v>
      </c>
      <c r="H501" t="s">
        <v>656</v>
      </c>
      <c r="I501" t="s">
        <v>332</v>
      </c>
      <c r="J501" s="91">
        <v>-129356.46</v>
      </c>
      <c r="K501" s="91">
        <v>-129356.46</v>
      </c>
      <c r="L501" s="91">
        <v>-129356.46</v>
      </c>
      <c r="M501" t="s">
        <v>278</v>
      </c>
      <c r="N501" t="s">
        <v>278</v>
      </c>
      <c r="O501" t="s">
        <v>2030</v>
      </c>
      <c r="P501" t="s">
        <v>2030</v>
      </c>
      <c r="Q501" t="s">
        <v>281</v>
      </c>
      <c r="R501" t="s">
        <v>282</v>
      </c>
      <c r="S501" t="s">
        <v>283</v>
      </c>
      <c r="T501" t="s">
        <v>313</v>
      </c>
      <c r="U501" t="s">
        <v>1739</v>
      </c>
      <c r="V501">
        <v>101</v>
      </c>
      <c r="W501">
        <v>11015</v>
      </c>
      <c r="X501">
        <v>245011</v>
      </c>
      <c r="Y501">
        <v>9999</v>
      </c>
      <c r="Z501">
        <v>999</v>
      </c>
      <c r="AA501">
        <v>999</v>
      </c>
      <c r="AB501">
        <v>9999</v>
      </c>
      <c r="AC501">
        <v>9999</v>
      </c>
      <c r="AD501" t="s">
        <v>1</v>
      </c>
      <c r="AE501" t="s">
        <v>227</v>
      </c>
      <c r="AF501" t="s">
        <v>227</v>
      </c>
      <c r="AG501" t="s">
        <v>286</v>
      </c>
      <c r="AI501" t="s">
        <v>227</v>
      </c>
      <c r="AJ501">
        <v>45874</v>
      </c>
      <c r="AK501" t="s">
        <v>315</v>
      </c>
      <c r="AL501" t="s">
        <v>288</v>
      </c>
    </row>
    <row r="502" spans="1:38" x14ac:dyDescent="0.2">
      <c r="E502" t="s">
        <v>220</v>
      </c>
      <c r="F502" t="s">
        <v>2028</v>
      </c>
      <c r="G502" t="s">
        <v>2029</v>
      </c>
      <c r="H502" t="s">
        <v>656</v>
      </c>
      <c r="I502" t="s">
        <v>332</v>
      </c>
      <c r="J502" s="91">
        <v>129356.46</v>
      </c>
      <c r="K502" s="91">
        <v>129356.46</v>
      </c>
      <c r="L502" s="91">
        <v>129356.46</v>
      </c>
      <c r="M502" t="s">
        <v>278</v>
      </c>
      <c r="N502" t="s">
        <v>278</v>
      </c>
      <c r="O502" t="s">
        <v>2030</v>
      </c>
      <c r="P502" t="s">
        <v>2030</v>
      </c>
      <c r="Q502" t="s">
        <v>281</v>
      </c>
      <c r="R502" t="s">
        <v>282</v>
      </c>
      <c r="S502" t="s">
        <v>283</v>
      </c>
      <c r="T502" t="s">
        <v>313</v>
      </c>
      <c r="U502" t="s">
        <v>1538</v>
      </c>
      <c r="V502">
        <v>101</v>
      </c>
      <c r="W502">
        <v>11015</v>
      </c>
      <c r="X502">
        <v>245011</v>
      </c>
      <c r="Y502">
        <v>9999</v>
      </c>
      <c r="Z502">
        <v>204</v>
      </c>
      <c r="AA502">
        <v>999</v>
      </c>
      <c r="AB502">
        <v>9999</v>
      </c>
      <c r="AC502">
        <v>9999</v>
      </c>
      <c r="AD502" t="s">
        <v>1</v>
      </c>
      <c r="AE502" t="s">
        <v>227</v>
      </c>
      <c r="AF502" t="s">
        <v>227</v>
      </c>
      <c r="AG502" t="s">
        <v>286</v>
      </c>
      <c r="AI502" t="s">
        <v>227</v>
      </c>
      <c r="AJ502">
        <v>45874</v>
      </c>
      <c r="AK502" t="s">
        <v>315</v>
      </c>
      <c r="AL502" t="s">
        <v>288</v>
      </c>
    </row>
    <row r="503" spans="1:38" x14ac:dyDescent="0.2">
      <c r="A503">
        <v>46</v>
      </c>
      <c r="B503" t="s">
        <v>47</v>
      </c>
      <c r="D503" t="s">
        <v>2039</v>
      </c>
      <c r="E503" t="s">
        <v>224</v>
      </c>
      <c r="F503" t="s">
        <v>2040</v>
      </c>
      <c r="G503" t="s">
        <v>2041</v>
      </c>
      <c r="H503" t="s">
        <v>16</v>
      </c>
      <c r="I503" t="s">
        <v>2010</v>
      </c>
      <c r="J503" s="91">
        <v>-644603.30000000005</v>
      </c>
      <c r="K503" s="91">
        <v>-644603.30000000005</v>
      </c>
      <c r="L503" s="91">
        <v>-644603.30000000005</v>
      </c>
      <c r="M503" t="s">
        <v>278</v>
      </c>
      <c r="N503" t="s">
        <v>278</v>
      </c>
      <c r="O503" t="s">
        <v>2042</v>
      </c>
      <c r="P503" t="s">
        <v>280</v>
      </c>
      <c r="Q503" t="s">
        <v>281</v>
      </c>
      <c r="R503" t="s">
        <v>282</v>
      </c>
      <c r="S503" t="s">
        <v>283</v>
      </c>
      <c r="T503" t="s">
        <v>313</v>
      </c>
      <c r="U503" t="s">
        <v>594</v>
      </c>
      <c r="V503">
        <v>101</v>
      </c>
      <c r="W503">
        <v>11001</v>
      </c>
      <c r="X503">
        <v>245011</v>
      </c>
      <c r="Y503">
        <v>9999</v>
      </c>
      <c r="Z503">
        <v>999</v>
      </c>
      <c r="AA503">
        <v>999</v>
      </c>
      <c r="AB503">
        <v>9999</v>
      </c>
      <c r="AC503">
        <v>9999</v>
      </c>
      <c r="AD503" t="s">
        <v>1</v>
      </c>
      <c r="AE503" t="s">
        <v>227</v>
      </c>
      <c r="AF503" t="s">
        <v>227</v>
      </c>
      <c r="AG503" t="s">
        <v>286</v>
      </c>
      <c r="AI503" t="s">
        <v>227</v>
      </c>
      <c r="AJ503">
        <v>45869</v>
      </c>
      <c r="AK503" t="s">
        <v>287</v>
      </c>
      <c r="AL503" t="s">
        <v>288</v>
      </c>
    </row>
    <row r="504" spans="1:38" x14ac:dyDescent="0.2">
      <c r="E504" t="s">
        <v>224</v>
      </c>
      <c r="F504" t="s">
        <v>2043</v>
      </c>
      <c r="G504" t="s">
        <v>2044</v>
      </c>
      <c r="H504" t="s">
        <v>16</v>
      </c>
      <c r="I504" t="s">
        <v>332</v>
      </c>
      <c r="J504" s="91">
        <v>644603.30000000005</v>
      </c>
      <c r="K504" s="91">
        <v>644603.30000000005</v>
      </c>
      <c r="L504" s="91">
        <v>644603.30000000005</v>
      </c>
      <c r="M504" t="s">
        <v>278</v>
      </c>
      <c r="N504" t="s">
        <v>278</v>
      </c>
      <c r="O504" t="s">
        <v>2045</v>
      </c>
      <c r="P504" t="s">
        <v>280</v>
      </c>
      <c r="Q504" t="s">
        <v>281</v>
      </c>
      <c r="R504" t="s">
        <v>282</v>
      </c>
      <c r="S504" t="s">
        <v>283</v>
      </c>
      <c r="T504" t="s">
        <v>313</v>
      </c>
      <c r="U504" t="s">
        <v>594</v>
      </c>
      <c r="V504">
        <v>101</v>
      </c>
      <c r="W504">
        <v>11001</v>
      </c>
      <c r="X504">
        <v>245011</v>
      </c>
      <c r="Y504">
        <v>9999</v>
      </c>
      <c r="Z504">
        <v>999</v>
      </c>
      <c r="AA504">
        <v>999</v>
      </c>
      <c r="AB504">
        <v>9999</v>
      </c>
      <c r="AC504">
        <v>9999</v>
      </c>
      <c r="AD504" t="s">
        <v>1</v>
      </c>
      <c r="AE504" t="s">
        <v>227</v>
      </c>
      <c r="AF504" t="s">
        <v>227</v>
      </c>
      <c r="AG504" t="s">
        <v>286</v>
      </c>
      <c r="AI504" t="s">
        <v>227</v>
      </c>
      <c r="AJ504">
        <v>45875</v>
      </c>
      <c r="AK504" t="s">
        <v>287</v>
      </c>
      <c r="AL504" t="s">
        <v>288</v>
      </c>
    </row>
    <row r="505" spans="1:38" x14ac:dyDescent="0.2">
      <c r="A505">
        <v>46</v>
      </c>
      <c r="B505" t="s">
        <v>47</v>
      </c>
      <c r="D505" t="s">
        <v>2046</v>
      </c>
      <c r="E505" t="s">
        <v>14</v>
      </c>
      <c r="F505" t="s">
        <v>2047</v>
      </c>
      <c r="G505" t="s">
        <v>2048</v>
      </c>
      <c r="H505" t="s">
        <v>16</v>
      </c>
      <c r="I505" t="s">
        <v>2010</v>
      </c>
      <c r="J505" s="91">
        <v>-145753.79999999999</v>
      </c>
      <c r="K505" s="91">
        <v>-145753.79999999999</v>
      </c>
      <c r="L505" s="91">
        <v>-145753.79999999999</v>
      </c>
      <c r="M505" t="s">
        <v>278</v>
      </c>
      <c r="N505" t="s">
        <v>278</v>
      </c>
      <c r="O505" t="s">
        <v>2049</v>
      </c>
      <c r="P505" t="s">
        <v>280</v>
      </c>
      <c r="Q505" t="s">
        <v>281</v>
      </c>
      <c r="R505" t="s">
        <v>282</v>
      </c>
      <c r="S505" t="s">
        <v>294</v>
      </c>
      <c r="T505" t="s">
        <v>305</v>
      </c>
      <c r="U505" t="s">
        <v>306</v>
      </c>
      <c r="V505">
        <v>101</v>
      </c>
      <c r="W505">
        <v>13016</v>
      </c>
      <c r="X505">
        <v>245011</v>
      </c>
      <c r="Y505">
        <v>9999</v>
      </c>
      <c r="Z505">
        <v>999</v>
      </c>
      <c r="AA505">
        <v>999</v>
      </c>
      <c r="AB505">
        <v>9999</v>
      </c>
      <c r="AC505">
        <v>9999</v>
      </c>
      <c r="AD505" t="s">
        <v>1</v>
      </c>
      <c r="AE505" t="s">
        <v>227</v>
      </c>
      <c r="AF505" t="s">
        <v>227</v>
      </c>
      <c r="AG505" t="s">
        <v>286</v>
      </c>
      <c r="AI505" t="s">
        <v>227</v>
      </c>
      <c r="AJ505">
        <v>45869</v>
      </c>
      <c r="AK505" t="s">
        <v>287</v>
      </c>
      <c r="AL505" t="s">
        <v>288</v>
      </c>
    </row>
    <row r="506" spans="1:38" x14ac:dyDescent="0.2">
      <c r="E506" t="s">
        <v>14</v>
      </c>
      <c r="F506" t="s">
        <v>2050</v>
      </c>
      <c r="G506" t="s">
        <v>2051</v>
      </c>
      <c r="H506" t="s">
        <v>16</v>
      </c>
      <c r="I506" t="s">
        <v>332</v>
      </c>
      <c r="J506" s="91">
        <v>145753.79999999999</v>
      </c>
      <c r="K506" s="91">
        <v>145753.79999999999</v>
      </c>
      <c r="L506" s="91">
        <v>145753.79999999999</v>
      </c>
      <c r="M506" t="s">
        <v>278</v>
      </c>
      <c r="N506" t="s">
        <v>278</v>
      </c>
      <c r="O506" t="s">
        <v>2052</v>
      </c>
      <c r="P506" t="s">
        <v>280</v>
      </c>
      <c r="Q506" t="s">
        <v>281</v>
      </c>
      <c r="R506" t="s">
        <v>282</v>
      </c>
      <c r="S506" t="s">
        <v>294</v>
      </c>
      <c r="T506" t="s">
        <v>305</v>
      </c>
      <c r="U506" t="s">
        <v>306</v>
      </c>
      <c r="V506">
        <v>101</v>
      </c>
      <c r="W506">
        <v>13016</v>
      </c>
      <c r="X506">
        <v>245011</v>
      </c>
      <c r="Y506">
        <v>9999</v>
      </c>
      <c r="Z506">
        <v>999</v>
      </c>
      <c r="AA506">
        <v>999</v>
      </c>
      <c r="AB506">
        <v>9999</v>
      </c>
      <c r="AC506">
        <v>9999</v>
      </c>
      <c r="AD506" t="s">
        <v>1</v>
      </c>
      <c r="AE506" t="s">
        <v>227</v>
      </c>
      <c r="AF506" t="s">
        <v>227</v>
      </c>
      <c r="AG506" t="s">
        <v>286</v>
      </c>
      <c r="AI506" t="s">
        <v>227</v>
      </c>
      <c r="AJ506">
        <v>45875</v>
      </c>
      <c r="AK506" t="s">
        <v>287</v>
      </c>
      <c r="AL506" t="s">
        <v>288</v>
      </c>
    </row>
    <row r="507" spans="1:38" x14ac:dyDescent="0.2">
      <c r="A507">
        <v>46</v>
      </c>
      <c r="B507" t="s">
        <v>47</v>
      </c>
      <c r="D507" t="s">
        <v>2053</v>
      </c>
      <c r="E507" t="s">
        <v>37</v>
      </c>
      <c r="F507" t="s">
        <v>2054</v>
      </c>
      <c r="G507" t="s">
        <v>2055</v>
      </c>
      <c r="H507" t="s">
        <v>16</v>
      </c>
      <c r="I507" t="s">
        <v>2010</v>
      </c>
      <c r="J507" s="91">
        <v>-260551.98</v>
      </c>
      <c r="K507" s="91">
        <v>-260551.98</v>
      </c>
      <c r="L507" s="91">
        <v>-260551.98</v>
      </c>
      <c r="M507" t="s">
        <v>278</v>
      </c>
      <c r="N507" t="s">
        <v>278</v>
      </c>
      <c r="O507" t="s">
        <v>2056</v>
      </c>
      <c r="P507" t="s">
        <v>280</v>
      </c>
      <c r="Q507" t="s">
        <v>281</v>
      </c>
      <c r="R507" t="s">
        <v>282</v>
      </c>
      <c r="S507" t="s">
        <v>294</v>
      </c>
      <c r="T507" t="s">
        <v>305</v>
      </c>
      <c r="U507" t="s">
        <v>438</v>
      </c>
      <c r="V507">
        <v>101</v>
      </c>
      <c r="W507">
        <v>13001</v>
      </c>
      <c r="X507">
        <v>245011</v>
      </c>
      <c r="Y507">
        <v>9999</v>
      </c>
      <c r="Z507">
        <v>999</v>
      </c>
      <c r="AA507">
        <v>999</v>
      </c>
      <c r="AB507">
        <v>9999</v>
      </c>
      <c r="AC507">
        <v>9999</v>
      </c>
      <c r="AD507" t="s">
        <v>1</v>
      </c>
      <c r="AE507" t="s">
        <v>227</v>
      </c>
      <c r="AF507" t="s">
        <v>227</v>
      </c>
      <c r="AG507" t="s">
        <v>286</v>
      </c>
      <c r="AI507" t="s">
        <v>227</v>
      </c>
      <c r="AJ507">
        <v>45869</v>
      </c>
      <c r="AK507" t="s">
        <v>287</v>
      </c>
      <c r="AL507" t="s">
        <v>288</v>
      </c>
    </row>
    <row r="508" spans="1:38" x14ac:dyDescent="0.2">
      <c r="E508" t="s">
        <v>37</v>
      </c>
      <c r="F508" t="s">
        <v>2057</v>
      </c>
      <c r="G508" t="s">
        <v>2058</v>
      </c>
      <c r="H508" t="s">
        <v>16</v>
      </c>
      <c r="I508" t="s">
        <v>332</v>
      </c>
      <c r="J508" s="91">
        <v>260551.98</v>
      </c>
      <c r="K508" s="91">
        <v>260551.98</v>
      </c>
      <c r="L508" s="91">
        <v>260551.98</v>
      </c>
      <c r="M508" t="s">
        <v>278</v>
      </c>
      <c r="N508" t="s">
        <v>278</v>
      </c>
      <c r="O508" t="s">
        <v>2059</v>
      </c>
      <c r="P508" t="s">
        <v>280</v>
      </c>
      <c r="Q508" t="s">
        <v>281</v>
      </c>
      <c r="R508" t="s">
        <v>282</v>
      </c>
      <c r="S508" t="s">
        <v>294</v>
      </c>
      <c r="T508" t="s">
        <v>305</v>
      </c>
      <c r="U508" t="s">
        <v>438</v>
      </c>
      <c r="V508">
        <v>101</v>
      </c>
      <c r="W508">
        <v>13001</v>
      </c>
      <c r="X508">
        <v>245011</v>
      </c>
      <c r="Y508">
        <v>9999</v>
      </c>
      <c r="Z508">
        <v>999</v>
      </c>
      <c r="AA508">
        <v>999</v>
      </c>
      <c r="AB508">
        <v>9999</v>
      </c>
      <c r="AC508">
        <v>9999</v>
      </c>
      <c r="AD508" t="s">
        <v>1</v>
      </c>
      <c r="AE508" t="s">
        <v>227</v>
      </c>
      <c r="AF508" t="s">
        <v>227</v>
      </c>
      <c r="AG508" t="s">
        <v>286</v>
      </c>
      <c r="AI508" t="s">
        <v>227</v>
      </c>
      <c r="AJ508">
        <v>45875</v>
      </c>
      <c r="AK508" t="s">
        <v>287</v>
      </c>
      <c r="AL508" t="s">
        <v>288</v>
      </c>
    </row>
    <row r="509" spans="1:38" x14ac:dyDescent="0.2">
      <c r="E509" t="s">
        <v>25</v>
      </c>
      <c r="F509" t="s">
        <v>2028</v>
      </c>
      <c r="G509" t="s">
        <v>2029</v>
      </c>
      <c r="H509" t="s">
        <v>656</v>
      </c>
      <c r="I509" t="s">
        <v>332</v>
      </c>
      <c r="J509" s="91">
        <v>132501.51999999999</v>
      </c>
      <c r="K509" s="91">
        <v>132501.51999999999</v>
      </c>
      <c r="L509" s="91">
        <v>132501.51999999999</v>
      </c>
      <c r="M509" t="s">
        <v>278</v>
      </c>
      <c r="N509" t="s">
        <v>278</v>
      </c>
      <c r="O509" t="s">
        <v>2030</v>
      </c>
      <c r="P509" t="s">
        <v>2030</v>
      </c>
      <c r="Q509" t="s">
        <v>281</v>
      </c>
      <c r="R509" t="s">
        <v>282</v>
      </c>
      <c r="S509" t="s">
        <v>294</v>
      </c>
      <c r="T509" t="s">
        <v>295</v>
      </c>
      <c r="U509" t="s">
        <v>2060</v>
      </c>
      <c r="V509">
        <v>101</v>
      </c>
      <c r="W509">
        <v>13006</v>
      </c>
      <c r="X509">
        <v>245011</v>
      </c>
      <c r="Y509">
        <v>9999</v>
      </c>
      <c r="Z509">
        <v>950</v>
      </c>
      <c r="AA509">
        <v>999</v>
      </c>
      <c r="AB509">
        <v>9999</v>
      </c>
      <c r="AC509">
        <v>9999</v>
      </c>
      <c r="AD509" t="s">
        <v>1</v>
      </c>
      <c r="AE509" t="s">
        <v>227</v>
      </c>
      <c r="AF509" t="s">
        <v>227</v>
      </c>
      <c r="AG509" t="s">
        <v>286</v>
      </c>
      <c r="AI509" t="s">
        <v>227</v>
      </c>
      <c r="AJ509">
        <v>45874</v>
      </c>
      <c r="AK509" t="s">
        <v>315</v>
      </c>
      <c r="AL509" t="s">
        <v>288</v>
      </c>
    </row>
    <row r="510" spans="1:38" x14ac:dyDescent="0.2">
      <c r="E510" t="s">
        <v>25</v>
      </c>
      <c r="F510" t="s">
        <v>2028</v>
      </c>
      <c r="G510" t="s">
        <v>2029</v>
      </c>
      <c r="H510" t="s">
        <v>656</v>
      </c>
      <c r="I510" t="s">
        <v>332</v>
      </c>
      <c r="J510" s="91">
        <v>-132501.51999999999</v>
      </c>
      <c r="K510" s="91">
        <v>-132501.51999999999</v>
      </c>
      <c r="L510" s="91">
        <v>-132501.51999999999</v>
      </c>
      <c r="M510" t="s">
        <v>278</v>
      </c>
      <c r="N510" t="s">
        <v>278</v>
      </c>
      <c r="O510" t="s">
        <v>2030</v>
      </c>
      <c r="P510" t="s">
        <v>2030</v>
      </c>
      <c r="Q510" t="s">
        <v>281</v>
      </c>
      <c r="R510" t="s">
        <v>282</v>
      </c>
      <c r="S510" t="s">
        <v>294</v>
      </c>
      <c r="T510" t="s">
        <v>295</v>
      </c>
      <c r="U510" t="s">
        <v>474</v>
      </c>
      <c r="V510">
        <v>101</v>
      </c>
      <c r="W510">
        <v>13006</v>
      </c>
      <c r="X510">
        <v>245011</v>
      </c>
      <c r="Y510">
        <v>9999</v>
      </c>
      <c r="Z510">
        <v>999</v>
      </c>
      <c r="AA510">
        <v>999</v>
      </c>
      <c r="AB510">
        <v>9999</v>
      </c>
      <c r="AC510">
        <v>9999</v>
      </c>
      <c r="AD510" t="s">
        <v>1</v>
      </c>
      <c r="AE510" t="s">
        <v>227</v>
      </c>
      <c r="AF510" t="s">
        <v>227</v>
      </c>
      <c r="AG510" t="s">
        <v>286</v>
      </c>
      <c r="AI510" t="s">
        <v>227</v>
      </c>
      <c r="AJ510">
        <v>45874</v>
      </c>
      <c r="AK510" t="s">
        <v>315</v>
      </c>
      <c r="AL510" t="s">
        <v>288</v>
      </c>
    </row>
    <row r="511" spans="1:38" x14ac:dyDescent="0.2">
      <c r="A511">
        <v>319</v>
      </c>
      <c r="B511" t="s">
        <v>52</v>
      </c>
      <c r="D511" t="s">
        <v>2061</v>
      </c>
      <c r="E511" t="s">
        <v>8</v>
      </c>
      <c r="F511" t="s">
        <v>2062</v>
      </c>
      <c r="G511" t="s">
        <v>2063</v>
      </c>
      <c r="H511" t="s">
        <v>9</v>
      </c>
      <c r="I511" t="s">
        <v>277</v>
      </c>
      <c r="J511" s="91">
        <v>-180047.12</v>
      </c>
      <c r="K511" s="91">
        <v>-180047.12</v>
      </c>
      <c r="L511" s="91">
        <v>-180047.12</v>
      </c>
      <c r="M511" t="s">
        <v>278</v>
      </c>
      <c r="N511" t="s">
        <v>278</v>
      </c>
      <c r="O511" t="s">
        <v>2064</v>
      </c>
      <c r="P511" t="s">
        <v>280</v>
      </c>
      <c r="Q511" t="s">
        <v>281</v>
      </c>
      <c r="R511" t="s">
        <v>282</v>
      </c>
      <c r="S511" t="s">
        <v>294</v>
      </c>
      <c r="T511" t="s">
        <v>295</v>
      </c>
      <c r="U511" t="s">
        <v>296</v>
      </c>
      <c r="V511">
        <v>101</v>
      </c>
      <c r="W511">
        <v>13008</v>
      </c>
      <c r="X511">
        <v>245011</v>
      </c>
      <c r="Y511">
        <v>9999</v>
      </c>
      <c r="Z511">
        <v>999</v>
      </c>
      <c r="AA511">
        <v>999</v>
      </c>
      <c r="AB511">
        <v>9999</v>
      </c>
      <c r="AC511">
        <v>9999</v>
      </c>
      <c r="AD511" t="s">
        <v>1</v>
      </c>
      <c r="AE511" t="s">
        <v>227</v>
      </c>
      <c r="AF511" t="s">
        <v>227</v>
      </c>
      <c r="AG511" t="s">
        <v>286</v>
      </c>
      <c r="AI511" t="s">
        <v>227</v>
      </c>
      <c r="AJ511">
        <v>45596</v>
      </c>
      <c r="AK511" t="s">
        <v>287</v>
      </c>
      <c r="AL511" t="s">
        <v>288</v>
      </c>
    </row>
    <row r="512" spans="1:38" x14ac:dyDescent="0.2">
      <c r="E512" t="s">
        <v>8</v>
      </c>
      <c r="F512" t="s">
        <v>2065</v>
      </c>
      <c r="G512" t="s">
        <v>2066</v>
      </c>
      <c r="H512" t="s">
        <v>222</v>
      </c>
      <c r="I512" t="s">
        <v>332</v>
      </c>
      <c r="J512" s="91">
        <v>180047.12</v>
      </c>
      <c r="K512" s="91">
        <v>180047.12</v>
      </c>
      <c r="L512" s="91">
        <v>180047.12</v>
      </c>
      <c r="M512" t="s">
        <v>278</v>
      </c>
      <c r="N512" t="s">
        <v>278</v>
      </c>
      <c r="O512" t="s">
        <v>2067</v>
      </c>
      <c r="P512" t="s">
        <v>280</v>
      </c>
      <c r="Q512" t="s">
        <v>281</v>
      </c>
      <c r="R512" t="s">
        <v>282</v>
      </c>
      <c r="S512" t="s">
        <v>294</v>
      </c>
      <c r="T512" t="s">
        <v>295</v>
      </c>
      <c r="U512" t="s">
        <v>296</v>
      </c>
      <c r="V512">
        <v>101</v>
      </c>
      <c r="W512">
        <v>13008</v>
      </c>
      <c r="X512">
        <v>245011</v>
      </c>
      <c r="Y512">
        <v>9999</v>
      </c>
      <c r="Z512">
        <v>999</v>
      </c>
      <c r="AA512">
        <v>999</v>
      </c>
      <c r="AB512">
        <v>9999</v>
      </c>
      <c r="AC512">
        <v>9999</v>
      </c>
      <c r="AD512" t="s">
        <v>1</v>
      </c>
      <c r="AE512" t="s">
        <v>227</v>
      </c>
      <c r="AF512" t="s">
        <v>227</v>
      </c>
      <c r="AG512" t="s">
        <v>286</v>
      </c>
      <c r="AI512" t="s">
        <v>227</v>
      </c>
      <c r="AJ512">
        <v>45900</v>
      </c>
      <c r="AK512" t="s">
        <v>287</v>
      </c>
      <c r="AL512" t="s">
        <v>288</v>
      </c>
    </row>
    <row r="513" spans="1:38" x14ac:dyDescent="0.2">
      <c r="E513" t="s">
        <v>8</v>
      </c>
      <c r="F513" t="s">
        <v>2028</v>
      </c>
      <c r="G513" t="s">
        <v>2029</v>
      </c>
      <c r="H513" t="s">
        <v>656</v>
      </c>
      <c r="I513" t="s">
        <v>332</v>
      </c>
      <c r="J513" s="91">
        <v>625174</v>
      </c>
      <c r="K513" s="91">
        <v>625174</v>
      </c>
      <c r="L513" s="91">
        <v>625174</v>
      </c>
      <c r="M513" t="s">
        <v>278</v>
      </c>
      <c r="N513" t="s">
        <v>278</v>
      </c>
      <c r="O513" t="s">
        <v>2030</v>
      </c>
      <c r="P513" t="s">
        <v>2030</v>
      </c>
      <c r="Q513" t="s">
        <v>281</v>
      </c>
      <c r="R513" t="s">
        <v>282</v>
      </c>
      <c r="S513" t="s">
        <v>294</v>
      </c>
      <c r="T513" t="s">
        <v>295</v>
      </c>
      <c r="U513" t="s">
        <v>296</v>
      </c>
      <c r="V513">
        <v>101</v>
      </c>
      <c r="W513">
        <v>13008</v>
      </c>
      <c r="X513">
        <v>245011</v>
      </c>
      <c r="Y513">
        <v>9999</v>
      </c>
      <c r="Z513">
        <v>999</v>
      </c>
      <c r="AA513">
        <v>999</v>
      </c>
      <c r="AB513">
        <v>9999</v>
      </c>
      <c r="AC513">
        <v>9999</v>
      </c>
      <c r="AD513" t="s">
        <v>1</v>
      </c>
      <c r="AE513" t="s">
        <v>227</v>
      </c>
      <c r="AF513" t="s">
        <v>227</v>
      </c>
      <c r="AG513" t="s">
        <v>286</v>
      </c>
      <c r="AI513" t="s">
        <v>227</v>
      </c>
      <c r="AJ513">
        <v>45874</v>
      </c>
      <c r="AK513" t="s">
        <v>315</v>
      </c>
      <c r="AL513" t="s">
        <v>288</v>
      </c>
    </row>
    <row r="514" spans="1:38" x14ac:dyDescent="0.2">
      <c r="E514" t="s">
        <v>8</v>
      </c>
      <c r="F514" t="s">
        <v>2028</v>
      </c>
      <c r="G514" t="s">
        <v>2029</v>
      </c>
      <c r="H514" t="s">
        <v>656</v>
      </c>
      <c r="I514" t="s">
        <v>332</v>
      </c>
      <c r="J514" s="91">
        <v>-625174</v>
      </c>
      <c r="K514" s="91">
        <v>-625174</v>
      </c>
      <c r="L514" s="91">
        <v>-625174</v>
      </c>
      <c r="M514" t="s">
        <v>278</v>
      </c>
      <c r="N514" t="s">
        <v>278</v>
      </c>
      <c r="O514" t="s">
        <v>2030</v>
      </c>
      <c r="P514" t="s">
        <v>2030</v>
      </c>
      <c r="Q514" t="s">
        <v>281</v>
      </c>
      <c r="R514" t="s">
        <v>282</v>
      </c>
      <c r="S514" t="s">
        <v>294</v>
      </c>
      <c r="T514" t="s">
        <v>295</v>
      </c>
      <c r="U514" t="s">
        <v>773</v>
      </c>
      <c r="V514">
        <v>101</v>
      </c>
      <c r="W514">
        <v>13008</v>
      </c>
      <c r="X514">
        <v>245011</v>
      </c>
      <c r="Y514">
        <v>9999</v>
      </c>
      <c r="Z514">
        <v>950</v>
      </c>
      <c r="AA514">
        <v>999</v>
      </c>
      <c r="AB514">
        <v>9999</v>
      </c>
      <c r="AC514">
        <v>9999</v>
      </c>
      <c r="AD514" t="s">
        <v>1</v>
      </c>
      <c r="AE514" t="s">
        <v>227</v>
      </c>
      <c r="AF514" t="s">
        <v>227</v>
      </c>
      <c r="AG514" t="s">
        <v>286</v>
      </c>
      <c r="AI514" t="s">
        <v>227</v>
      </c>
      <c r="AJ514">
        <v>45874</v>
      </c>
      <c r="AK514" t="s">
        <v>315</v>
      </c>
      <c r="AL514" t="s">
        <v>288</v>
      </c>
    </row>
    <row r="515" spans="1:38" x14ac:dyDescent="0.2">
      <c r="A515">
        <v>136</v>
      </c>
      <c r="B515" t="s">
        <v>50</v>
      </c>
      <c r="D515" t="s">
        <v>2068</v>
      </c>
      <c r="E515" t="s">
        <v>23</v>
      </c>
      <c r="F515" t="s">
        <v>2069</v>
      </c>
      <c r="G515" t="s">
        <v>2070</v>
      </c>
      <c r="H515" t="s">
        <v>16</v>
      </c>
      <c r="I515" t="s">
        <v>324</v>
      </c>
      <c r="J515" s="91">
        <v>-613137.44000000006</v>
      </c>
      <c r="K515" s="91">
        <v>-613137.44000000006</v>
      </c>
      <c r="L515" s="91">
        <v>-613137.44000000006</v>
      </c>
      <c r="M515" t="s">
        <v>278</v>
      </c>
      <c r="N515" t="s">
        <v>278</v>
      </c>
      <c r="O515" t="s">
        <v>2071</v>
      </c>
      <c r="P515" t="s">
        <v>280</v>
      </c>
      <c r="Q515" t="s">
        <v>281</v>
      </c>
      <c r="R515" t="s">
        <v>282</v>
      </c>
      <c r="S515" t="s">
        <v>283</v>
      </c>
      <c r="T515" t="s">
        <v>313</v>
      </c>
      <c r="U515" t="s">
        <v>415</v>
      </c>
      <c r="V515">
        <v>101</v>
      </c>
      <c r="W515">
        <v>11003</v>
      </c>
      <c r="X515">
        <v>245011</v>
      </c>
      <c r="Y515">
        <v>9999</v>
      </c>
      <c r="Z515">
        <v>999</v>
      </c>
      <c r="AA515">
        <v>999</v>
      </c>
      <c r="AB515">
        <v>9999</v>
      </c>
      <c r="AC515">
        <v>9999</v>
      </c>
      <c r="AD515" t="s">
        <v>1</v>
      </c>
      <c r="AE515" t="s">
        <v>227</v>
      </c>
      <c r="AF515" t="s">
        <v>227</v>
      </c>
      <c r="AG515" t="s">
        <v>286</v>
      </c>
      <c r="AI515" t="s">
        <v>227</v>
      </c>
      <c r="AJ515">
        <v>45808</v>
      </c>
      <c r="AK515" t="s">
        <v>287</v>
      </c>
      <c r="AL515" t="s">
        <v>288</v>
      </c>
    </row>
    <row r="516" spans="1:38" x14ac:dyDescent="0.2">
      <c r="E516" t="s">
        <v>23</v>
      </c>
      <c r="F516" t="s">
        <v>2072</v>
      </c>
      <c r="G516" t="s">
        <v>2073</v>
      </c>
      <c r="H516" t="s">
        <v>16</v>
      </c>
      <c r="I516" t="s">
        <v>338</v>
      </c>
      <c r="J516" s="91">
        <v>613137.44000000006</v>
      </c>
      <c r="K516" s="91">
        <v>613137.44000000006</v>
      </c>
      <c r="L516" s="91">
        <v>613137.44000000006</v>
      </c>
      <c r="M516" t="s">
        <v>278</v>
      </c>
      <c r="N516" t="s">
        <v>278</v>
      </c>
      <c r="O516" t="s">
        <v>2074</v>
      </c>
      <c r="P516" t="s">
        <v>280</v>
      </c>
      <c r="Q516" t="s">
        <v>281</v>
      </c>
      <c r="R516" t="s">
        <v>282</v>
      </c>
      <c r="S516" t="s">
        <v>283</v>
      </c>
      <c r="T516" t="s">
        <v>313</v>
      </c>
      <c r="U516" t="s">
        <v>415</v>
      </c>
      <c r="V516">
        <v>101</v>
      </c>
      <c r="W516">
        <v>11003</v>
      </c>
      <c r="X516">
        <v>245011</v>
      </c>
      <c r="Y516">
        <v>9999</v>
      </c>
      <c r="Z516">
        <v>999</v>
      </c>
      <c r="AA516">
        <v>999</v>
      </c>
      <c r="AB516">
        <v>9999</v>
      </c>
      <c r="AC516">
        <v>9999</v>
      </c>
      <c r="AD516" t="s">
        <v>1</v>
      </c>
      <c r="AE516" t="s">
        <v>227</v>
      </c>
      <c r="AF516" t="s">
        <v>227</v>
      </c>
      <c r="AG516" t="s">
        <v>286</v>
      </c>
      <c r="AI516" t="s">
        <v>227</v>
      </c>
      <c r="AJ516">
        <v>45926</v>
      </c>
      <c r="AK516" t="s">
        <v>287</v>
      </c>
      <c r="AL516" t="s">
        <v>288</v>
      </c>
    </row>
    <row r="517" spans="1:38" x14ac:dyDescent="0.2">
      <c r="A517">
        <v>75</v>
      </c>
      <c r="B517" t="s">
        <v>48</v>
      </c>
      <c r="D517" t="s">
        <v>2075</v>
      </c>
      <c r="E517" t="s">
        <v>40</v>
      </c>
      <c r="F517" t="s">
        <v>2076</v>
      </c>
      <c r="G517" t="s">
        <v>2077</v>
      </c>
      <c r="H517" t="s">
        <v>12</v>
      </c>
      <c r="I517" t="s">
        <v>2010</v>
      </c>
      <c r="J517" s="91">
        <v>-9928.0300000000007</v>
      </c>
      <c r="K517" s="91">
        <v>-9928.0300000000007</v>
      </c>
      <c r="L517" s="91">
        <v>-9928.0300000000007</v>
      </c>
      <c r="M517" t="s">
        <v>278</v>
      </c>
      <c r="N517" t="s">
        <v>278</v>
      </c>
      <c r="O517" t="s">
        <v>2075</v>
      </c>
      <c r="P517" t="s">
        <v>280</v>
      </c>
      <c r="Q517" t="s">
        <v>281</v>
      </c>
      <c r="R517" t="s">
        <v>282</v>
      </c>
      <c r="S517" t="s">
        <v>294</v>
      </c>
      <c r="T517" t="s">
        <v>305</v>
      </c>
      <c r="U517" t="s">
        <v>2078</v>
      </c>
      <c r="V517">
        <v>101</v>
      </c>
      <c r="W517">
        <v>13004</v>
      </c>
      <c r="X517">
        <v>245011</v>
      </c>
      <c r="Y517">
        <v>9999</v>
      </c>
      <c r="Z517">
        <v>204</v>
      </c>
      <c r="AA517">
        <v>999</v>
      </c>
      <c r="AB517">
        <v>9999</v>
      </c>
      <c r="AC517">
        <v>9999</v>
      </c>
      <c r="AD517" t="s">
        <v>1</v>
      </c>
      <c r="AE517" t="s">
        <v>2079</v>
      </c>
      <c r="AF517" t="s">
        <v>227</v>
      </c>
      <c r="AG517" t="s">
        <v>286</v>
      </c>
      <c r="AI517" t="s">
        <v>227</v>
      </c>
      <c r="AJ517">
        <v>45869</v>
      </c>
      <c r="AK517" t="s">
        <v>315</v>
      </c>
      <c r="AL517" t="s">
        <v>288</v>
      </c>
    </row>
    <row r="518" spans="1:38" x14ac:dyDescent="0.2">
      <c r="E518" t="s">
        <v>40</v>
      </c>
      <c r="F518" t="s">
        <v>2080</v>
      </c>
      <c r="G518" t="s">
        <v>2081</v>
      </c>
      <c r="H518" t="s">
        <v>12</v>
      </c>
      <c r="I518" t="s">
        <v>338</v>
      </c>
      <c r="J518" s="91">
        <v>9928.0300000000007</v>
      </c>
      <c r="K518" s="91">
        <v>9928.0300000000007</v>
      </c>
      <c r="L518" s="91">
        <v>9928.0300000000007</v>
      </c>
      <c r="M518" t="s">
        <v>278</v>
      </c>
      <c r="N518" t="s">
        <v>278</v>
      </c>
      <c r="O518" t="s">
        <v>2082</v>
      </c>
      <c r="P518" t="s">
        <v>280</v>
      </c>
      <c r="Q518" t="s">
        <v>281</v>
      </c>
      <c r="R518" t="s">
        <v>282</v>
      </c>
      <c r="S518" t="s">
        <v>294</v>
      </c>
      <c r="T518" t="s">
        <v>305</v>
      </c>
      <c r="U518" t="s">
        <v>2078</v>
      </c>
      <c r="V518">
        <v>101</v>
      </c>
      <c r="W518">
        <v>13004</v>
      </c>
      <c r="X518">
        <v>245011</v>
      </c>
      <c r="Y518">
        <v>9999</v>
      </c>
      <c r="Z518">
        <v>204</v>
      </c>
      <c r="AA518">
        <v>999</v>
      </c>
      <c r="AB518">
        <v>9999</v>
      </c>
      <c r="AC518">
        <v>9999</v>
      </c>
      <c r="AD518" t="s">
        <v>1</v>
      </c>
      <c r="AE518" t="s">
        <v>2079</v>
      </c>
      <c r="AF518" t="s">
        <v>227</v>
      </c>
      <c r="AG518" t="s">
        <v>286</v>
      </c>
      <c r="AI518" t="s">
        <v>227</v>
      </c>
      <c r="AJ518">
        <v>45930</v>
      </c>
      <c r="AK518" t="s">
        <v>315</v>
      </c>
      <c r="AL518" t="s">
        <v>288</v>
      </c>
    </row>
    <row r="519" spans="1:38" x14ac:dyDescent="0.2">
      <c r="E519" t="s">
        <v>23</v>
      </c>
      <c r="F519" t="s">
        <v>2083</v>
      </c>
      <c r="G519" t="s">
        <v>2084</v>
      </c>
      <c r="H519" t="s">
        <v>21</v>
      </c>
      <c r="I519" t="s">
        <v>348</v>
      </c>
      <c r="J519" s="91">
        <v>27286.83</v>
      </c>
      <c r="K519" s="91">
        <v>27286.83</v>
      </c>
      <c r="L519" s="91">
        <v>27286.83</v>
      </c>
      <c r="M519" t="s">
        <v>278</v>
      </c>
      <c r="N519" t="s">
        <v>278</v>
      </c>
      <c r="O519" t="s">
        <v>2085</v>
      </c>
      <c r="P519" t="s">
        <v>280</v>
      </c>
      <c r="Q519" t="s">
        <v>281</v>
      </c>
      <c r="R519" t="s">
        <v>282</v>
      </c>
      <c r="S519" t="s">
        <v>283</v>
      </c>
      <c r="T519" t="s">
        <v>313</v>
      </c>
      <c r="U519" t="s">
        <v>415</v>
      </c>
      <c r="V519">
        <v>101</v>
      </c>
      <c r="W519">
        <v>11003</v>
      </c>
      <c r="X519">
        <v>245011</v>
      </c>
      <c r="Y519">
        <v>9999</v>
      </c>
      <c r="Z519">
        <v>999</v>
      </c>
      <c r="AA519">
        <v>999</v>
      </c>
      <c r="AB519">
        <v>9999</v>
      </c>
      <c r="AC519">
        <v>9999</v>
      </c>
      <c r="AD519" t="s">
        <v>1</v>
      </c>
      <c r="AE519" t="s">
        <v>227</v>
      </c>
      <c r="AF519" t="s">
        <v>227</v>
      </c>
      <c r="AG519" t="s">
        <v>286</v>
      </c>
      <c r="AI519" t="s">
        <v>227</v>
      </c>
      <c r="AJ519">
        <v>45961</v>
      </c>
      <c r="AK519" t="s">
        <v>382</v>
      </c>
      <c r="AL519" t="s">
        <v>288</v>
      </c>
    </row>
    <row r="520" spans="1:38" x14ac:dyDescent="0.2">
      <c r="E520" t="s">
        <v>23</v>
      </c>
      <c r="F520" t="s">
        <v>2086</v>
      </c>
      <c r="G520" t="s">
        <v>2087</v>
      </c>
      <c r="H520" t="s">
        <v>21</v>
      </c>
      <c r="I520" t="s">
        <v>348</v>
      </c>
      <c r="J520" s="91">
        <v>-27286.83</v>
      </c>
      <c r="K520" s="91">
        <v>-27286.83</v>
      </c>
      <c r="L520" s="91">
        <v>-27286.83</v>
      </c>
      <c r="M520" t="s">
        <v>278</v>
      </c>
      <c r="N520" t="s">
        <v>278</v>
      </c>
      <c r="O520" t="s">
        <v>2088</v>
      </c>
      <c r="P520" t="s">
        <v>280</v>
      </c>
      <c r="Q520" t="s">
        <v>281</v>
      </c>
      <c r="R520" t="s">
        <v>282</v>
      </c>
      <c r="S520" t="s">
        <v>283</v>
      </c>
      <c r="T520" t="s">
        <v>313</v>
      </c>
      <c r="U520" t="s">
        <v>415</v>
      </c>
      <c r="V520">
        <v>101</v>
      </c>
      <c r="W520">
        <v>11003</v>
      </c>
      <c r="X520">
        <v>245011</v>
      </c>
      <c r="Y520">
        <v>9999</v>
      </c>
      <c r="Z520">
        <v>999</v>
      </c>
      <c r="AA520">
        <v>999</v>
      </c>
      <c r="AB520">
        <v>9999</v>
      </c>
      <c r="AC520">
        <v>9999</v>
      </c>
      <c r="AD520" t="s">
        <v>1</v>
      </c>
      <c r="AE520" t="s">
        <v>227</v>
      </c>
      <c r="AF520" t="s">
        <v>227</v>
      </c>
      <c r="AG520" t="s">
        <v>286</v>
      </c>
      <c r="AI520" t="s">
        <v>227</v>
      </c>
      <c r="AJ520">
        <v>45961</v>
      </c>
      <c r="AK520" t="s">
        <v>382</v>
      </c>
      <c r="AL520" t="s">
        <v>288</v>
      </c>
    </row>
    <row r="521" spans="1:38" x14ac:dyDescent="0.2">
      <c r="A521">
        <v>44</v>
      </c>
      <c r="B521" t="s">
        <v>47</v>
      </c>
      <c r="D521" t="s">
        <v>2089</v>
      </c>
      <c r="E521" t="s">
        <v>224</v>
      </c>
      <c r="F521" t="s">
        <v>2090</v>
      </c>
      <c r="G521" t="s">
        <v>2091</v>
      </c>
      <c r="H521" t="s">
        <v>12</v>
      </c>
      <c r="I521" t="s">
        <v>338</v>
      </c>
      <c r="J521" s="91">
        <v>-1029.17</v>
      </c>
      <c r="K521" s="91">
        <v>-1029.17</v>
      </c>
      <c r="L521" s="91">
        <v>-1029.17</v>
      </c>
      <c r="M521" t="s">
        <v>278</v>
      </c>
      <c r="N521" t="s">
        <v>278</v>
      </c>
      <c r="O521" t="s">
        <v>2089</v>
      </c>
      <c r="P521" t="s">
        <v>280</v>
      </c>
      <c r="Q521" t="s">
        <v>281</v>
      </c>
      <c r="R521" t="s">
        <v>282</v>
      </c>
      <c r="S521" t="s">
        <v>283</v>
      </c>
      <c r="T521" t="s">
        <v>313</v>
      </c>
      <c r="U521" t="s">
        <v>1230</v>
      </c>
      <c r="V521">
        <v>101</v>
      </c>
      <c r="W521">
        <v>11001</v>
      </c>
      <c r="X521">
        <v>245011</v>
      </c>
      <c r="Y521">
        <v>9999</v>
      </c>
      <c r="Z521">
        <v>204</v>
      </c>
      <c r="AA521">
        <v>999</v>
      </c>
      <c r="AB521">
        <v>9999</v>
      </c>
      <c r="AC521">
        <v>9999</v>
      </c>
      <c r="AD521" t="s">
        <v>1</v>
      </c>
      <c r="AE521" t="s">
        <v>2092</v>
      </c>
      <c r="AF521" t="s">
        <v>227</v>
      </c>
      <c r="AG521" t="s">
        <v>286</v>
      </c>
      <c r="AI521" t="s">
        <v>227</v>
      </c>
      <c r="AJ521">
        <v>45930</v>
      </c>
      <c r="AK521" t="s">
        <v>315</v>
      </c>
      <c r="AL521" t="s">
        <v>288</v>
      </c>
    </row>
    <row r="522" spans="1:38" x14ac:dyDescent="0.2">
      <c r="E522" t="s">
        <v>224</v>
      </c>
      <c r="F522" t="s">
        <v>2093</v>
      </c>
      <c r="G522" t="s">
        <v>2094</v>
      </c>
      <c r="H522" t="s">
        <v>12</v>
      </c>
      <c r="I522" t="s">
        <v>348</v>
      </c>
      <c r="J522" s="91">
        <v>1029.17</v>
      </c>
      <c r="K522" s="91">
        <v>1029.17</v>
      </c>
      <c r="L522" s="91">
        <v>1029.17</v>
      </c>
      <c r="M522" t="s">
        <v>278</v>
      </c>
      <c r="N522" t="s">
        <v>278</v>
      </c>
      <c r="O522" t="s">
        <v>2095</v>
      </c>
      <c r="P522" t="s">
        <v>280</v>
      </c>
      <c r="Q522" t="s">
        <v>281</v>
      </c>
      <c r="R522" t="s">
        <v>282</v>
      </c>
      <c r="S522" t="s">
        <v>283</v>
      </c>
      <c r="T522" t="s">
        <v>313</v>
      </c>
      <c r="U522" t="s">
        <v>1230</v>
      </c>
      <c r="V522">
        <v>101</v>
      </c>
      <c r="W522">
        <v>11001</v>
      </c>
      <c r="X522">
        <v>245011</v>
      </c>
      <c r="Y522">
        <v>9999</v>
      </c>
      <c r="Z522">
        <v>204</v>
      </c>
      <c r="AA522">
        <v>999</v>
      </c>
      <c r="AB522">
        <v>9999</v>
      </c>
      <c r="AC522">
        <v>9999</v>
      </c>
      <c r="AD522" t="s">
        <v>1</v>
      </c>
      <c r="AE522" t="s">
        <v>2092</v>
      </c>
      <c r="AF522" t="s">
        <v>227</v>
      </c>
      <c r="AG522" t="s">
        <v>286</v>
      </c>
      <c r="AI522" t="s">
        <v>227</v>
      </c>
      <c r="AJ522">
        <v>45961</v>
      </c>
      <c r="AK522" t="s">
        <v>315</v>
      </c>
      <c r="AL522" t="s">
        <v>288</v>
      </c>
    </row>
    <row r="523" spans="1:38" x14ac:dyDescent="0.2">
      <c r="E523" t="s">
        <v>25</v>
      </c>
      <c r="F523" t="s">
        <v>2096</v>
      </c>
      <c r="G523" t="s">
        <v>2097</v>
      </c>
      <c r="H523" t="s">
        <v>16</v>
      </c>
      <c r="I523" t="s">
        <v>348</v>
      </c>
      <c r="J523" s="91">
        <v>378108.08</v>
      </c>
      <c r="K523" s="91">
        <v>378108.08</v>
      </c>
      <c r="L523" s="91">
        <v>378108.08</v>
      </c>
      <c r="M523" t="s">
        <v>278</v>
      </c>
      <c r="N523" t="s">
        <v>278</v>
      </c>
      <c r="O523" t="s">
        <v>2098</v>
      </c>
      <c r="P523" t="s">
        <v>280</v>
      </c>
      <c r="Q523" t="s">
        <v>281</v>
      </c>
      <c r="R523" t="s">
        <v>282</v>
      </c>
      <c r="S523" t="s">
        <v>294</v>
      </c>
      <c r="T523" t="s">
        <v>295</v>
      </c>
      <c r="U523" t="s">
        <v>474</v>
      </c>
      <c r="V523">
        <v>101</v>
      </c>
      <c r="W523">
        <v>13006</v>
      </c>
      <c r="X523">
        <v>245011</v>
      </c>
      <c r="Y523">
        <v>9999</v>
      </c>
      <c r="Z523">
        <v>999</v>
      </c>
      <c r="AA523">
        <v>999</v>
      </c>
      <c r="AB523">
        <v>9999</v>
      </c>
      <c r="AC523">
        <v>9999</v>
      </c>
      <c r="AD523" t="s">
        <v>1</v>
      </c>
      <c r="AE523" t="s">
        <v>227</v>
      </c>
      <c r="AF523" t="s">
        <v>227</v>
      </c>
      <c r="AG523" t="s">
        <v>286</v>
      </c>
      <c r="AI523" t="s">
        <v>227</v>
      </c>
      <c r="AJ523">
        <v>45961</v>
      </c>
      <c r="AK523" t="s">
        <v>287</v>
      </c>
      <c r="AL523" t="s">
        <v>288</v>
      </c>
    </row>
    <row r="524" spans="1:38" x14ac:dyDescent="0.2">
      <c r="E524" t="s">
        <v>25</v>
      </c>
      <c r="F524" t="s">
        <v>2099</v>
      </c>
      <c r="G524" t="s">
        <v>2100</v>
      </c>
      <c r="H524" t="s">
        <v>16</v>
      </c>
      <c r="I524" t="s">
        <v>348</v>
      </c>
      <c r="J524" s="91">
        <v>-378108.08</v>
      </c>
      <c r="K524" s="91">
        <v>-378108.08</v>
      </c>
      <c r="L524" s="91">
        <v>-378108.08</v>
      </c>
      <c r="M524" t="s">
        <v>278</v>
      </c>
      <c r="N524" t="s">
        <v>278</v>
      </c>
      <c r="O524" t="s">
        <v>2101</v>
      </c>
      <c r="P524" t="s">
        <v>280</v>
      </c>
      <c r="Q524" t="s">
        <v>281</v>
      </c>
      <c r="R524" t="s">
        <v>282</v>
      </c>
      <c r="S524" t="s">
        <v>294</v>
      </c>
      <c r="T524" t="s">
        <v>295</v>
      </c>
      <c r="U524" t="s">
        <v>474</v>
      </c>
      <c r="V524">
        <v>101</v>
      </c>
      <c r="W524">
        <v>13006</v>
      </c>
      <c r="X524">
        <v>245011</v>
      </c>
      <c r="Y524">
        <v>9999</v>
      </c>
      <c r="Z524">
        <v>999</v>
      </c>
      <c r="AA524">
        <v>999</v>
      </c>
      <c r="AB524">
        <v>9999</v>
      </c>
      <c r="AC524">
        <v>9999</v>
      </c>
      <c r="AD524" t="s">
        <v>1</v>
      </c>
      <c r="AE524" t="s">
        <v>227</v>
      </c>
      <c r="AF524" t="s">
        <v>227</v>
      </c>
      <c r="AG524" t="s">
        <v>286</v>
      </c>
      <c r="AI524" t="s">
        <v>227</v>
      </c>
      <c r="AJ524">
        <v>45961</v>
      </c>
      <c r="AK524" t="s">
        <v>287</v>
      </c>
      <c r="AL524" t="s">
        <v>288</v>
      </c>
    </row>
    <row r="525" spans="1:38" x14ac:dyDescent="0.2">
      <c r="E525" t="s">
        <v>30</v>
      </c>
      <c r="F525" t="s">
        <v>2083</v>
      </c>
      <c r="G525" t="s">
        <v>2084</v>
      </c>
      <c r="H525" t="s">
        <v>21</v>
      </c>
      <c r="I525" t="s">
        <v>348</v>
      </c>
      <c r="J525" s="91">
        <v>-83112.62</v>
      </c>
      <c r="K525" s="91">
        <v>-83112.62</v>
      </c>
      <c r="L525" s="91">
        <v>-83112.62</v>
      </c>
      <c r="M525" t="s">
        <v>278</v>
      </c>
      <c r="N525" t="s">
        <v>278</v>
      </c>
      <c r="O525" t="s">
        <v>2085</v>
      </c>
      <c r="P525" t="s">
        <v>280</v>
      </c>
      <c r="Q525" t="s">
        <v>281</v>
      </c>
      <c r="R525" t="s">
        <v>282</v>
      </c>
      <c r="S525" t="s">
        <v>294</v>
      </c>
      <c r="T525" t="s">
        <v>295</v>
      </c>
      <c r="U525" t="s">
        <v>387</v>
      </c>
      <c r="V525">
        <v>101</v>
      </c>
      <c r="W525">
        <v>13018</v>
      </c>
      <c r="X525">
        <v>245011</v>
      </c>
      <c r="Y525">
        <v>9999</v>
      </c>
      <c r="Z525">
        <v>999</v>
      </c>
      <c r="AA525">
        <v>999</v>
      </c>
      <c r="AB525">
        <v>9999</v>
      </c>
      <c r="AC525">
        <v>9999</v>
      </c>
      <c r="AD525" t="s">
        <v>1</v>
      </c>
      <c r="AE525" t="s">
        <v>227</v>
      </c>
      <c r="AF525" t="s">
        <v>227</v>
      </c>
      <c r="AG525" t="s">
        <v>286</v>
      </c>
      <c r="AI525" t="s">
        <v>227</v>
      </c>
      <c r="AJ525">
        <v>45961</v>
      </c>
      <c r="AK525" t="s">
        <v>382</v>
      </c>
      <c r="AL525" t="s">
        <v>288</v>
      </c>
    </row>
    <row r="526" spans="1:38" x14ac:dyDescent="0.2">
      <c r="E526" t="s">
        <v>30</v>
      </c>
      <c r="F526" t="s">
        <v>2086</v>
      </c>
      <c r="G526" t="s">
        <v>2087</v>
      </c>
      <c r="H526" t="s">
        <v>21</v>
      </c>
      <c r="I526" t="s">
        <v>348</v>
      </c>
      <c r="J526" s="91">
        <v>83112.62</v>
      </c>
      <c r="K526" s="91">
        <v>83112.62</v>
      </c>
      <c r="L526" s="91">
        <v>83112.62</v>
      </c>
      <c r="M526" t="s">
        <v>278</v>
      </c>
      <c r="N526" t="s">
        <v>278</v>
      </c>
      <c r="O526" t="s">
        <v>2088</v>
      </c>
      <c r="P526" t="s">
        <v>280</v>
      </c>
      <c r="Q526" t="s">
        <v>281</v>
      </c>
      <c r="R526" t="s">
        <v>282</v>
      </c>
      <c r="S526" t="s">
        <v>294</v>
      </c>
      <c r="T526" t="s">
        <v>295</v>
      </c>
      <c r="U526" t="s">
        <v>387</v>
      </c>
      <c r="V526">
        <v>101</v>
      </c>
      <c r="W526">
        <v>13018</v>
      </c>
      <c r="X526">
        <v>245011</v>
      </c>
      <c r="Y526">
        <v>9999</v>
      </c>
      <c r="Z526">
        <v>999</v>
      </c>
      <c r="AA526">
        <v>999</v>
      </c>
      <c r="AB526">
        <v>9999</v>
      </c>
      <c r="AC526">
        <v>9999</v>
      </c>
      <c r="AD526" t="s">
        <v>1</v>
      </c>
      <c r="AE526" t="s">
        <v>227</v>
      </c>
      <c r="AF526" t="s">
        <v>227</v>
      </c>
      <c r="AG526" t="s">
        <v>286</v>
      </c>
      <c r="AI526" t="s">
        <v>227</v>
      </c>
      <c r="AJ526">
        <v>45961</v>
      </c>
      <c r="AK526" t="s">
        <v>382</v>
      </c>
      <c r="AL526" t="s">
        <v>288</v>
      </c>
    </row>
    <row r="527" spans="1:38" x14ac:dyDescent="0.2">
      <c r="A527">
        <v>258</v>
      </c>
      <c r="B527" t="s">
        <v>51</v>
      </c>
      <c r="D527" t="s">
        <v>2102</v>
      </c>
      <c r="E527" t="s">
        <v>8</v>
      </c>
      <c r="F527" t="s">
        <v>2103</v>
      </c>
      <c r="G527" t="s">
        <v>2103</v>
      </c>
      <c r="H527" t="s">
        <v>26</v>
      </c>
      <c r="I527" t="s">
        <v>1772</v>
      </c>
      <c r="J527" s="91">
        <v>-38054.5</v>
      </c>
      <c r="K527" s="91">
        <v>-38054.5</v>
      </c>
      <c r="L527" s="91">
        <v>-38054.5</v>
      </c>
      <c r="M527" t="s">
        <v>278</v>
      </c>
      <c r="N527" t="s">
        <v>278</v>
      </c>
      <c r="O527" t="s">
        <v>1656</v>
      </c>
      <c r="P527" t="s">
        <v>2104</v>
      </c>
      <c r="Q527" t="s">
        <v>281</v>
      </c>
      <c r="R527" t="s">
        <v>282</v>
      </c>
      <c r="S527" t="s">
        <v>294</v>
      </c>
      <c r="T527" t="s">
        <v>295</v>
      </c>
      <c r="U527" t="s">
        <v>296</v>
      </c>
      <c r="V527">
        <v>101</v>
      </c>
      <c r="W527">
        <v>13008</v>
      </c>
      <c r="X527">
        <v>245011</v>
      </c>
      <c r="Y527">
        <v>9999</v>
      </c>
      <c r="Z527">
        <v>999</v>
      </c>
      <c r="AA527">
        <v>999</v>
      </c>
      <c r="AB527">
        <v>9999</v>
      </c>
      <c r="AC527">
        <v>9999</v>
      </c>
      <c r="AD527" t="s">
        <v>1</v>
      </c>
      <c r="AE527" t="s">
        <v>227</v>
      </c>
      <c r="AF527" t="s">
        <v>227</v>
      </c>
      <c r="AG527" t="s">
        <v>286</v>
      </c>
      <c r="AI527" t="s">
        <v>227</v>
      </c>
      <c r="AJ527">
        <v>45716</v>
      </c>
      <c r="AK527" t="s">
        <v>1728</v>
      </c>
      <c r="AL527" t="s">
        <v>288</v>
      </c>
    </row>
    <row r="528" spans="1:38" x14ac:dyDescent="0.2">
      <c r="E528" t="s">
        <v>8</v>
      </c>
      <c r="F528" t="s">
        <v>2105</v>
      </c>
      <c r="G528" t="s">
        <v>2106</v>
      </c>
      <c r="H528" t="s">
        <v>227</v>
      </c>
      <c r="I528" t="s">
        <v>348</v>
      </c>
      <c r="J528" s="91">
        <v>38054.5</v>
      </c>
      <c r="K528" s="91">
        <v>38054.5</v>
      </c>
      <c r="L528" s="91">
        <v>38054.5</v>
      </c>
      <c r="M528" t="s">
        <v>278</v>
      </c>
      <c r="N528" t="s">
        <v>278</v>
      </c>
      <c r="O528" t="s">
        <v>2107</v>
      </c>
      <c r="P528" t="s">
        <v>2104</v>
      </c>
      <c r="Q528" t="s">
        <v>281</v>
      </c>
      <c r="R528" t="s">
        <v>282</v>
      </c>
      <c r="S528" t="s">
        <v>294</v>
      </c>
      <c r="T528" t="s">
        <v>295</v>
      </c>
      <c r="U528" t="s">
        <v>296</v>
      </c>
      <c r="V528">
        <v>101</v>
      </c>
      <c r="W528">
        <v>13008</v>
      </c>
      <c r="X528">
        <v>245011</v>
      </c>
      <c r="Y528">
        <v>9999</v>
      </c>
      <c r="Z528">
        <v>999</v>
      </c>
      <c r="AA528">
        <v>999</v>
      </c>
      <c r="AB528">
        <v>9999</v>
      </c>
      <c r="AC528">
        <v>9999</v>
      </c>
      <c r="AD528" t="s">
        <v>1</v>
      </c>
      <c r="AE528" t="s">
        <v>227</v>
      </c>
      <c r="AF528" t="s">
        <v>227</v>
      </c>
      <c r="AG528" t="s">
        <v>286</v>
      </c>
      <c r="AI528" t="s">
        <v>227</v>
      </c>
      <c r="AJ528">
        <v>45961</v>
      </c>
      <c r="AK528" t="s">
        <v>1728</v>
      </c>
      <c r="AL528" t="s">
        <v>288</v>
      </c>
    </row>
    <row r="529" spans="1:38" x14ac:dyDescent="0.2">
      <c r="E529" t="s">
        <v>2108</v>
      </c>
      <c r="F529" t="s">
        <v>2083</v>
      </c>
      <c r="G529" t="s">
        <v>2084</v>
      </c>
      <c r="H529" t="s">
        <v>21</v>
      </c>
      <c r="I529" t="s">
        <v>348</v>
      </c>
      <c r="J529" s="91">
        <v>-0.54</v>
      </c>
      <c r="K529" s="91">
        <v>-0.54</v>
      </c>
      <c r="L529" s="91">
        <v>-0.54</v>
      </c>
      <c r="M529" t="s">
        <v>278</v>
      </c>
      <c r="N529" t="s">
        <v>278</v>
      </c>
      <c r="O529" t="s">
        <v>2085</v>
      </c>
      <c r="P529" t="s">
        <v>280</v>
      </c>
      <c r="Q529" t="s">
        <v>281</v>
      </c>
      <c r="R529" t="s">
        <v>282</v>
      </c>
      <c r="S529" t="s">
        <v>294</v>
      </c>
      <c r="T529" t="s">
        <v>295</v>
      </c>
      <c r="U529" t="s">
        <v>2109</v>
      </c>
      <c r="V529">
        <v>101</v>
      </c>
      <c r="W529">
        <v>13013</v>
      </c>
      <c r="X529">
        <v>245011</v>
      </c>
      <c r="Y529">
        <v>9999</v>
      </c>
      <c r="Z529">
        <v>999</v>
      </c>
      <c r="AA529">
        <v>999</v>
      </c>
      <c r="AB529">
        <v>9999</v>
      </c>
      <c r="AC529">
        <v>9999</v>
      </c>
      <c r="AD529" t="s">
        <v>1</v>
      </c>
      <c r="AE529" t="s">
        <v>227</v>
      </c>
      <c r="AF529" t="s">
        <v>227</v>
      </c>
      <c r="AG529" t="s">
        <v>286</v>
      </c>
      <c r="AI529" t="s">
        <v>227</v>
      </c>
      <c r="AJ529">
        <v>45961</v>
      </c>
      <c r="AK529" t="s">
        <v>382</v>
      </c>
      <c r="AL529" t="s">
        <v>288</v>
      </c>
    </row>
    <row r="530" spans="1:38" x14ac:dyDescent="0.2">
      <c r="E530" t="s">
        <v>2108</v>
      </c>
      <c r="F530" t="s">
        <v>2086</v>
      </c>
      <c r="G530" t="s">
        <v>2087</v>
      </c>
      <c r="H530" t="s">
        <v>21</v>
      </c>
      <c r="I530" t="s">
        <v>348</v>
      </c>
      <c r="J530" s="91">
        <v>0.54</v>
      </c>
      <c r="K530" s="91">
        <v>0.54</v>
      </c>
      <c r="L530" s="91">
        <v>0.54</v>
      </c>
      <c r="M530" t="s">
        <v>278</v>
      </c>
      <c r="N530" t="s">
        <v>278</v>
      </c>
      <c r="O530" t="s">
        <v>2088</v>
      </c>
      <c r="P530" t="s">
        <v>280</v>
      </c>
      <c r="Q530" t="s">
        <v>281</v>
      </c>
      <c r="R530" t="s">
        <v>282</v>
      </c>
      <c r="S530" t="s">
        <v>294</v>
      </c>
      <c r="T530" t="s">
        <v>295</v>
      </c>
      <c r="U530" t="s">
        <v>2109</v>
      </c>
      <c r="V530">
        <v>101</v>
      </c>
      <c r="W530">
        <v>13013</v>
      </c>
      <c r="X530">
        <v>245011</v>
      </c>
      <c r="Y530">
        <v>9999</v>
      </c>
      <c r="Z530">
        <v>999</v>
      </c>
      <c r="AA530">
        <v>999</v>
      </c>
      <c r="AB530">
        <v>9999</v>
      </c>
      <c r="AC530">
        <v>9999</v>
      </c>
      <c r="AD530" t="s">
        <v>1</v>
      </c>
      <c r="AE530" t="s">
        <v>227</v>
      </c>
      <c r="AF530" t="s">
        <v>227</v>
      </c>
      <c r="AG530" t="s">
        <v>286</v>
      </c>
      <c r="AI530" t="s">
        <v>227</v>
      </c>
      <c r="AJ530">
        <v>45961</v>
      </c>
      <c r="AK530" t="s">
        <v>382</v>
      </c>
      <c r="AL530" t="s">
        <v>288</v>
      </c>
    </row>
    <row r="531" spans="1:38" x14ac:dyDescent="0.2">
      <c r="A531">
        <v>42</v>
      </c>
      <c r="B531" t="s">
        <v>47</v>
      </c>
      <c r="D531" t="s">
        <v>2110</v>
      </c>
      <c r="E531" t="s">
        <v>23</v>
      </c>
      <c r="F531" t="s">
        <v>2111</v>
      </c>
      <c r="G531" t="s">
        <v>2112</v>
      </c>
      <c r="H531" t="s">
        <v>21</v>
      </c>
      <c r="I531" t="s">
        <v>348</v>
      </c>
      <c r="J531" s="91">
        <v>-431018.11</v>
      </c>
      <c r="K531" s="91">
        <v>-431018.11</v>
      </c>
      <c r="L531" s="91">
        <v>-431018.11</v>
      </c>
      <c r="M531" t="s">
        <v>278</v>
      </c>
      <c r="N531" t="s">
        <v>278</v>
      </c>
      <c r="O531" t="s">
        <v>2113</v>
      </c>
      <c r="P531" t="s">
        <v>2113</v>
      </c>
      <c r="Q531" t="s">
        <v>281</v>
      </c>
      <c r="R531" t="s">
        <v>282</v>
      </c>
      <c r="S531" t="s">
        <v>283</v>
      </c>
      <c r="T531" t="s">
        <v>313</v>
      </c>
      <c r="U531" t="s">
        <v>415</v>
      </c>
      <c r="V531">
        <v>101</v>
      </c>
      <c r="W531">
        <v>11003</v>
      </c>
      <c r="X531">
        <v>245011</v>
      </c>
      <c r="Y531">
        <v>9999</v>
      </c>
      <c r="Z531">
        <v>999</v>
      </c>
      <c r="AA531">
        <v>999</v>
      </c>
      <c r="AB531">
        <v>9999</v>
      </c>
      <c r="AC531">
        <v>9999</v>
      </c>
      <c r="AD531" t="s">
        <v>1</v>
      </c>
      <c r="AE531" t="s">
        <v>227</v>
      </c>
      <c r="AF531" t="s">
        <v>227</v>
      </c>
      <c r="AG531" t="s">
        <v>286</v>
      </c>
      <c r="AI531" t="s">
        <v>227</v>
      </c>
      <c r="AJ531">
        <v>45961</v>
      </c>
      <c r="AK531" t="s">
        <v>315</v>
      </c>
      <c r="AL531" t="s">
        <v>288</v>
      </c>
    </row>
    <row r="532" spans="1:38" x14ac:dyDescent="0.2">
      <c r="A532">
        <v>42</v>
      </c>
      <c r="B532" t="s">
        <v>47</v>
      </c>
      <c r="D532" t="s">
        <v>2110</v>
      </c>
      <c r="E532" t="s">
        <v>23</v>
      </c>
      <c r="F532" t="s">
        <v>2114</v>
      </c>
      <c r="G532" t="s">
        <v>2115</v>
      </c>
      <c r="H532" t="s">
        <v>21</v>
      </c>
      <c r="I532" t="s">
        <v>348</v>
      </c>
      <c r="J532" s="91">
        <v>27286.83</v>
      </c>
      <c r="K532" s="91">
        <v>27286.83</v>
      </c>
      <c r="L532" s="91">
        <v>27286.83</v>
      </c>
      <c r="M532" t="s">
        <v>278</v>
      </c>
      <c r="N532" t="s">
        <v>278</v>
      </c>
      <c r="O532" t="s">
        <v>2088</v>
      </c>
      <c r="P532" t="s">
        <v>280</v>
      </c>
      <c r="Q532" t="s">
        <v>281</v>
      </c>
      <c r="R532" t="s">
        <v>282</v>
      </c>
      <c r="S532" t="s">
        <v>283</v>
      </c>
      <c r="T532" t="s">
        <v>313</v>
      </c>
      <c r="U532" t="s">
        <v>415</v>
      </c>
      <c r="V532">
        <v>101</v>
      </c>
      <c r="W532">
        <v>11003</v>
      </c>
      <c r="X532">
        <v>245011</v>
      </c>
      <c r="Y532">
        <v>9999</v>
      </c>
      <c r="Z532">
        <v>999</v>
      </c>
      <c r="AA532">
        <v>999</v>
      </c>
      <c r="AB532">
        <v>9999</v>
      </c>
      <c r="AC532">
        <v>9999</v>
      </c>
      <c r="AD532" t="s">
        <v>1</v>
      </c>
      <c r="AE532" t="s">
        <v>227</v>
      </c>
      <c r="AF532" t="s">
        <v>227</v>
      </c>
      <c r="AG532" t="s">
        <v>286</v>
      </c>
      <c r="AI532" t="s">
        <v>227</v>
      </c>
      <c r="AJ532">
        <v>45961</v>
      </c>
      <c r="AK532" t="s">
        <v>382</v>
      </c>
      <c r="AL532" t="s">
        <v>288</v>
      </c>
    </row>
    <row r="533" spans="1:38" x14ac:dyDescent="0.2">
      <c r="E533" t="s">
        <v>23</v>
      </c>
      <c r="F533" t="s">
        <v>2116</v>
      </c>
      <c r="G533" t="s">
        <v>2117</v>
      </c>
      <c r="H533" t="s">
        <v>21</v>
      </c>
      <c r="I533" t="s">
        <v>351</v>
      </c>
      <c r="J533" s="91">
        <v>403731.28</v>
      </c>
      <c r="K533" s="91">
        <v>403731.28</v>
      </c>
      <c r="L533" s="91">
        <v>403731.28</v>
      </c>
      <c r="M533" t="s">
        <v>278</v>
      </c>
      <c r="N533" t="s">
        <v>278</v>
      </c>
      <c r="O533" t="s">
        <v>2118</v>
      </c>
      <c r="P533" t="s">
        <v>2118</v>
      </c>
      <c r="Q533" t="s">
        <v>281</v>
      </c>
      <c r="R533" t="s">
        <v>282</v>
      </c>
      <c r="S533" t="s">
        <v>283</v>
      </c>
      <c r="T533" t="s">
        <v>313</v>
      </c>
      <c r="U533" t="s">
        <v>415</v>
      </c>
      <c r="V533">
        <v>101</v>
      </c>
      <c r="W533">
        <v>11003</v>
      </c>
      <c r="X533">
        <v>245011</v>
      </c>
      <c r="Y533">
        <v>9999</v>
      </c>
      <c r="Z533">
        <v>999</v>
      </c>
      <c r="AA533">
        <v>999</v>
      </c>
      <c r="AB533">
        <v>9999</v>
      </c>
      <c r="AC533">
        <v>9999</v>
      </c>
      <c r="AD533" t="s">
        <v>1</v>
      </c>
      <c r="AE533" t="s">
        <v>227</v>
      </c>
      <c r="AF533" t="s">
        <v>227</v>
      </c>
      <c r="AG533" t="s">
        <v>286</v>
      </c>
      <c r="AI533" t="s">
        <v>227</v>
      </c>
      <c r="AJ533">
        <v>45979</v>
      </c>
      <c r="AK533" t="s">
        <v>315</v>
      </c>
      <c r="AL533" t="s">
        <v>288</v>
      </c>
    </row>
    <row r="534" spans="1:38" x14ac:dyDescent="0.2">
      <c r="A534">
        <v>407</v>
      </c>
      <c r="B534" t="s">
        <v>54</v>
      </c>
      <c r="D534" t="s">
        <v>2119</v>
      </c>
      <c r="E534" t="s">
        <v>38</v>
      </c>
      <c r="F534" t="s">
        <v>2120</v>
      </c>
      <c r="G534" t="s">
        <v>2121</v>
      </c>
      <c r="H534" t="s">
        <v>19</v>
      </c>
      <c r="I534" t="s">
        <v>277</v>
      </c>
      <c r="J534" s="91">
        <v>-23176</v>
      </c>
      <c r="K534" s="91">
        <v>-23176</v>
      </c>
      <c r="L534" s="91">
        <v>-23176</v>
      </c>
      <c r="M534" t="s">
        <v>278</v>
      </c>
      <c r="N534" t="s">
        <v>278</v>
      </c>
      <c r="O534" t="s">
        <v>2122</v>
      </c>
      <c r="P534" t="s">
        <v>280</v>
      </c>
      <c r="Q534" t="s">
        <v>281</v>
      </c>
      <c r="R534" t="s">
        <v>282</v>
      </c>
      <c r="S534" t="s">
        <v>283</v>
      </c>
      <c r="T534" t="s">
        <v>313</v>
      </c>
      <c r="U534" t="s">
        <v>1905</v>
      </c>
      <c r="V534">
        <v>101</v>
      </c>
      <c r="W534">
        <v>11023</v>
      </c>
      <c r="X534">
        <v>245011</v>
      </c>
      <c r="Y534">
        <v>9999</v>
      </c>
      <c r="Z534">
        <v>204</v>
      </c>
      <c r="AA534">
        <v>999</v>
      </c>
      <c r="AB534">
        <v>9999</v>
      </c>
      <c r="AC534">
        <v>9999</v>
      </c>
      <c r="AD534" t="s">
        <v>1</v>
      </c>
      <c r="AE534" t="s">
        <v>2123</v>
      </c>
      <c r="AF534" t="s">
        <v>227</v>
      </c>
      <c r="AG534" t="s">
        <v>286</v>
      </c>
      <c r="AI534" t="s">
        <v>227</v>
      </c>
      <c r="AJ534">
        <v>45596</v>
      </c>
      <c r="AK534" t="s">
        <v>315</v>
      </c>
      <c r="AL534" t="s">
        <v>288</v>
      </c>
    </row>
    <row r="535" spans="1:38" x14ac:dyDescent="0.2">
      <c r="A535">
        <v>407</v>
      </c>
      <c r="B535" t="s">
        <v>54</v>
      </c>
      <c r="D535" t="s">
        <v>2119</v>
      </c>
      <c r="E535" t="s">
        <v>38</v>
      </c>
      <c r="F535" t="s">
        <v>2124</v>
      </c>
      <c r="G535" t="s">
        <v>2125</v>
      </c>
      <c r="H535" t="s">
        <v>19</v>
      </c>
      <c r="I535" t="s">
        <v>277</v>
      </c>
      <c r="J535" s="91">
        <v>-268934.19</v>
      </c>
      <c r="K535" s="91">
        <v>-268934.19</v>
      </c>
      <c r="L535" s="91">
        <v>-268934.19</v>
      </c>
      <c r="M535" t="s">
        <v>278</v>
      </c>
      <c r="N535" t="s">
        <v>278</v>
      </c>
      <c r="O535" t="s">
        <v>2122</v>
      </c>
      <c r="P535" t="s">
        <v>280</v>
      </c>
      <c r="Q535" t="s">
        <v>281</v>
      </c>
      <c r="R535" t="s">
        <v>282</v>
      </c>
      <c r="S535" t="s">
        <v>283</v>
      </c>
      <c r="T535" t="s">
        <v>313</v>
      </c>
      <c r="U535" t="s">
        <v>1905</v>
      </c>
      <c r="V535">
        <v>101</v>
      </c>
      <c r="W535">
        <v>11023</v>
      </c>
      <c r="X535">
        <v>245011</v>
      </c>
      <c r="Y535">
        <v>9999</v>
      </c>
      <c r="Z535">
        <v>204</v>
      </c>
      <c r="AA535">
        <v>999</v>
      </c>
      <c r="AB535">
        <v>9999</v>
      </c>
      <c r="AC535">
        <v>9999</v>
      </c>
      <c r="AD535" t="s">
        <v>1</v>
      </c>
      <c r="AE535" t="s">
        <v>2123</v>
      </c>
      <c r="AF535" t="s">
        <v>227</v>
      </c>
      <c r="AG535" t="s">
        <v>286</v>
      </c>
      <c r="AI535" t="s">
        <v>227</v>
      </c>
      <c r="AJ535">
        <v>45596</v>
      </c>
      <c r="AK535" t="s">
        <v>315</v>
      </c>
      <c r="AL535" t="s">
        <v>288</v>
      </c>
    </row>
    <row r="536" spans="1:38" x14ac:dyDescent="0.2">
      <c r="E536" t="s">
        <v>38</v>
      </c>
      <c r="F536" t="s">
        <v>2126</v>
      </c>
      <c r="G536" t="s">
        <v>2127</v>
      </c>
      <c r="H536" t="s">
        <v>19</v>
      </c>
      <c r="I536" t="s">
        <v>351</v>
      </c>
      <c r="J536" s="91">
        <v>23176</v>
      </c>
      <c r="K536" s="91">
        <v>23176</v>
      </c>
      <c r="L536" s="91">
        <v>23176</v>
      </c>
      <c r="M536" t="s">
        <v>278</v>
      </c>
      <c r="N536" t="s">
        <v>278</v>
      </c>
      <c r="O536" t="s">
        <v>2128</v>
      </c>
      <c r="P536" t="s">
        <v>280</v>
      </c>
      <c r="Q536" t="s">
        <v>281</v>
      </c>
      <c r="R536" t="s">
        <v>282</v>
      </c>
      <c r="S536" t="s">
        <v>283</v>
      </c>
      <c r="T536" t="s">
        <v>313</v>
      </c>
      <c r="U536" t="s">
        <v>1905</v>
      </c>
      <c r="V536">
        <v>101</v>
      </c>
      <c r="W536">
        <v>11023</v>
      </c>
      <c r="X536">
        <v>245011</v>
      </c>
      <c r="Y536">
        <v>9999</v>
      </c>
      <c r="Z536">
        <v>204</v>
      </c>
      <c r="AA536">
        <v>999</v>
      </c>
      <c r="AB536">
        <v>9999</v>
      </c>
      <c r="AC536">
        <v>9999</v>
      </c>
      <c r="AD536" t="s">
        <v>1</v>
      </c>
      <c r="AE536" t="s">
        <v>2123</v>
      </c>
      <c r="AF536" t="s">
        <v>227</v>
      </c>
      <c r="AG536" t="s">
        <v>286</v>
      </c>
      <c r="AI536" t="s">
        <v>227</v>
      </c>
      <c r="AJ536">
        <v>45981</v>
      </c>
      <c r="AK536" t="s">
        <v>315</v>
      </c>
      <c r="AL536" t="s">
        <v>288</v>
      </c>
    </row>
    <row r="537" spans="1:38" x14ac:dyDescent="0.2">
      <c r="E537" t="s">
        <v>38</v>
      </c>
      <c r="F537" t="s">
        <v>2129</v>
      </c>
      <c r="G537" t="s">
        <v>2130</v>
      </c>
      <c r="H537" t="s">
        <v>19</v>
      </c>
      <c r="I537" t="s">
        <v>351</v>
      </c>
      <c r="J537" s="91">
        <v>268934.19</v>
      </c>
      <c r="K537" s="91">
        <v>268934.19</v>
      </c>
      <c r="L537" s="91">
        <v>268934.19</v>
      </c>
      <c r="M537" t="s">
        <v>278</v>
      </c>
      <c r="N537" t="s">
        <v>278</v>
      </c>
      <c r="O537" t="s">
        <v>2131</v>
      </c>
      <c r="P537" t="s">
        <v>280</v>
      </c>
      <c r="Q537" t="s">
        <v>281</v>
      </c>
      <c r="R537" t="s">
        <v>282</v>
      </c>
      <c r="S537" t="s">
        <v>283</v>
      </c>
      <c r="T537" t="s">
        <v>313</v>
      </c>
      <c r="U537" t="s">
        <v>1905</v>
      </c>
      <c r="V537">
        <v>101</v>
      </c>
      <c r="W537">
        <v>11023</v>
      </c>
      <c r="X537">
        <v>245011</v>
      </c>
      <c r="Y537">
        <v>9999</v>
      </c>
      <c r="Z537">
        <v>204</v>
      </c>
      <c r="AA537">
        <v>999</v>
      </c>
      <c r="AB537">
        <v>9999</v>
      </c>
      <c r="AC537">
        <v>9999</v>
      </c>
      <c r="AD537" t="s">
        <v>1</v>
      </c>
      <c r="AE537" t="s">
        <v>2123</v>
      </c>
      <c r="AF537" t="s">
        <v>227</v>
      </c>
      <c r="AG537" t="s">
        <v>286</v>
      </c>
      <c r="AI537" t="s">
        <v>227</v>
      </c>
      <c r="AJ537">
        <v>45981</v>
      </c>
      <c r="AK537" t="s">
        <v>315</v>
      </c>
      <c r="AL537" t="s">
        <v>288</v>
      </c>
    </row>
    <row r="538" spans="1:38" x14ac:dyDescent="0.2">
      <c r="A538">
        <v>195</v>
      </c>
      <c r="B538" t="s">
        <v>51</v>
      </c>
      <c r="D538" t="s">
        <v>2132</v>
      </c>
      <c r="E538" t="s">
        <v>73</v>
      </c>
      <c r="F538" t="s">
        <v>2133</v>
      </c>
      <c r="G538" t="s">
        <v>2134</v>
      </c>
      <c r="H538" t="s">
        <v>17</v>
      </c>
      <c r="I538" t="s">
        <v>324</v>
      </c>
      <c r="J538" s="91">
        <v>1124650.92</v>
      </c>
      <c r="K538" s="91">
        <v>1124650.92</v>
      </c>
      <c r="L538" s="91">
        <v>1124650.92</v>
      </c>
      <c r="M538" t="s">
        <v>278</v>
      </c>
      <c r="N538" t="s">
        <v>278</v>
      </c>
      <c r="O538" t="s">
        <v>2135</v>
      </c>
      <c r="P538" t="s">
        <v>280</v>
      </c>
      <c r="Q538" t="s">
        <v>281</v>
      </c>
      <c r="R538" t="s">
        <v>282</v>
      </c>
      <c r="S538" t="s">
        <v>283</v>
      </c>
      <c r="T538" t="s">
        <v>366</v>
      </c>
      <c r="U538" t="s">
        <v>602</v>
      </c>
      <c r="V538">
        <v>101</v>
      </c>
      <c r="W538">
        <v>12021</v>
      </c>
      <c r="X538">
        <v>245011</v>
      </c>
      <c r="Y538">
        <v>9999</v>
      </c>
      <c r="Z538">
        <v>999</v>
      </c>
      <c r="AA538">
        <v>999</v>
      </c>
      <c r="AB538">
        <v>9999</v>
      </c>
      <c r="AC538">
        <v>9999</v>
      </c>
      <c r="AD538" t="s">
        <v>1</v>
      </c>
      <c r="AE538" t="s">
        <v>227</v>
      </c>
      <c r="AF538" t="s">
        <v>227</v>
      </c>
      <c r="AG538" t="s">
        <v>286</v>
      </c>
      <c r="AI538" t="s">
        <v>227</v>
      </c>
      <c r="AJ538">
        <v>45808</v>
      </c>
      <c r="AK538" t="s">
        <v>287</v>
      </c>
      <c r="AL538" t="s">
        <v>288</v>
      </c>
    </row>
    <row r="539" spans="1:38" x14ac:dyDescent="0.2">
      <c r="E539" t="s">
        <v>73</v>
      </c>
      <c r="F539" t="s">
        <v>2136</v>
      </c>
      <c r="G539" t="s">
        <v>2137</v>
      </c>
      <c r="H539" t="s">
        <v>17</v>
      </c>
      <c r="I539" t="s">
        <v>351</v>
      </c>
      <c r="J539" s="91">
        <v>-1124650.92</v>
      </c>
      <c r="K539" s="91">
        <v>-1124650.92</v>
      </c>
      <c r="L539" s="91">
        <v>-1124650.92</v>
      </c>
      <c r="M539" t="s">
        <v>278</v>
      </c>
      <c r="N539" t="s">
        <v>278</v>
      </c>
      <c r="O539" t="s">
        <v>2138</v>
      </c>
      <c r="P539" t="s">
        <v>280</v>
      </c>
      <c r="Q539" t="s">
        <v>281</v>
      </c>
      <c r="R539" t="s">
        <v>282</v>
      </c>
      <c r="S539" t="s">
        <v>283</v>
      </c>
      <c r="T539" t="s">
        <v>366</v>
      </c>
      <c r="U539" t="s">
        <v>602</v>
      </c>
      <c r="V539">
        <v>101</v>
      </c>
      <c r="W539">
        <v>12021</v>
      </c>
      <c r="X539">
        <v>245011</v>
      </c>
      <c r="Y539">
        <v>9999</v>
      </c>
      <c r="Z539">
        <v>999</v>
      </c>
      <c r="AA539">
        <v>999</v>
      </c>
      <c r="AB539">
        <v>9999</v>
      </c>
      <c r="AC539">
        <v>9999</v>
      </c>
      <c r="AD539" t="s">
        <v>1</v>
      </c>
      <c r="AE539" t="s">
        <v>227</v>
      </c>
      <c r="AF539" t="s">
        <v>227</v>
      </c>
      <c r="AG539" t="s">
        <v>286</v>
      </c>
      <c r="AI539" t="s">
        <v>227</v>
      </c>
      <c r="AJ539">
        <v>45980</v>
      </c>
      <c r="AK539" t="s">
        <v>287</v>
      </c>
      <c r="AL539" t="s">
        <v>288</v>
      </c>
    </row>
    <row r="540" spans="1:38" x14ac:dyDescent="0.2">
      <c r="A540">
        <v>103</v>
      </c>
      <c r="B540" t="s">
        <v>49</v>
      </c>
      <c r="D540" t="s">
        <v>2139</v>
      </c>
      <c r="E540" t="s">
        <v>14</v>
      </c>
      <c r="F540" t="s">
        <v>2140</v>
      </c>
      <c r="G540" t="s">
        <v>2141</v>
      </c>
      <c r="H540" t="s">
        <v>19</v>
      </c>
      <c r="I540" t="s">
        <v>332</v>
      </c>
      <c r="J540" s="91">
        <v>155196</v>
      </c>
      <c r="K540" s="91">
        <v>155196</v>
      </c>
      <c r="L540" s="91">
        <v>155196</v>
      </c>
      <c r="M540" t="s">
        <v>278</v>
      </c>
      <c r="N540" t="s">
        <v>278</v>
      </c>
      <c r="O540" t="s">
        <v>2142</v>
      </c>
      <c r="P540" t="s">
        <v>280</v>
      </c>
      <c r="Q540" t="s">
        <v>281</v>
      </c>
      <c r="R540" t="s">
        <v>282</v>
      </c>
      <c r="S540" t="s">
        <v>294</v>
      </c>
      <c r="T540" t="s">
        <v>305</v>
      </c>
      <c r="U540" t="s">
        <v>306</v>
      </c>
      <c r="V540">
        <v>101</v>
      </c>
      <c r="W540">
        <v>13016</v>
      </c>
      <c r="X540">
        <v>245011</v>
      </c>
      <c r="Y540">
        <v>9999</v>
      </c>
      <c r="Z540">
        <v>999</v>
      </c>
      <c r="AA540">
        <v>999</v>
      </c>
      <c r="AB540">
        <v>9999</v>
      </c>
      <c r="AC540">
        <v>9999</v>
      </c>
      <c r="AD540" t="s">
        <v>1</v>
      </c>
      <c r="AE540" t="s">
        <v>227</v>
      </c>
      <c r="AF540" t="s">
        <v>227</v>
      </c>
      <c r="AG540" t="s">
        <v>286</v>
      </c>
      <c r="AI540" t="s">
        <v>227</v>
      </c>
      <c r="AJ540">
        <v>45900</v>
      </c>
      <c r="AK540" t="s">
        <v>287</v>
      </c>
      <c r="AL540" t="s">
        <v>288</v>
      </c>
    </row>
    <row r="541" spans="1:38" x14ac:dyDescent="0.2">
      <c r="A541">
        <v>103</v>
      </c>
      <c r="B541" t="s">
        <v>49</v>
      </c>
      <c r="D541" t="s">
        <v>2143</v>
      </c>
      <c r="E541" t="s">
        <v>14</v>
      </c>
      <c r="F541" t="s">
        <v>2144</v>
      </c>
      <c r="G541" t="s">
        <v>2145</v>
      </c>
      <c r="H541" t="s">
        <v>17</v>
      </c>
      <c r="I541" t="s">
        <v>332</v>
      </c>
      <c r="J541" s="91">
        <v>156545.18</v>
      </c>
      <c r="K541" s="91">
        <v>156545.18</v>
      </c>
      <c r="L541" s="91">
        <v>156545.18</v>
      </c>
      <c r="M541" t="s">
        <v>278</v>
      </c>
      <c r="N541" t="s">
        <v>278</v>
      </c>
      <c r="O541" t="s">
        <v>2146</v>
      </c>
      <c r="P541" t="s">
        <v>280</v>
      </c>
      <c r="Q541" t="s">
        <v>281</v>
      </c>
      <c r="R541" t="s">
        <v>282</v>
      </c>
      <c r="S541" t="s">
        <v>294</v>
      </c>
      <c r="T541" t="s">
        <v>305</v>
      </c>
      <c r="U541" t="s">
        <v>306</v>
      </c>
      <c r="V541">
        <v>101</v>
      </c>
      <c r="W541">
        <v>13016</v>
      </c>
      <c r="X541">
        <v>245011</v>
      </c>
      <c r="Y541">
        <v>9999</v>
      </c>
      <c r="Z541">
        <v>999</v>
      </c>
      <c r="AA541">
        <v>999</v>
      </c>
      <c r="AB541">
        <v>9999</v>
      </c>
      <c r="AC541">
        <v>9999</v>
      </c>
      <c r="AD541" t="s">
        <v>1</v>
      </c>
      <c r="AE541" t="s">
        <v>227</v>
      </c>
      <c r="AF541" t="s">
        <v>227</v>
      </c>
      <c r="AG541" t="s">
        <v>286</v>
      </c>
      <c r="AI541" t="s">
        <v>227</v>
      </c>
      <c r="AJ541">
        <v>45900</v>
      </c>
      <c r="AK541" t="s">
        <v>287</v>
      </c>
      <c r="AL541" t="s">
        <v>288</v>
      </c>
    </row>
    <row r="542" spans="1:38" x14ac:dyDescent="0.2">
      <c r="A542">
        <v>103</v>
      </c>
      <c r="B542" t="s">
        <v>49</v>
      </c>
      <c r="D542" t="s">
        <v>2147</v>
      </c>
      <c r="E542" t="s">
        <v>14</v>
      </c>
      <c r="F542" t="s">
        <v>2148</v>
      </c>
      <c r="G542" t="s">
        <v>2149</v>
      </c>
      <c r="H542" t="s">
        <v>16</v>
      </c>
      <c r="I542" t="s">
        <v>332</v>
      </c>
      <c r="J542" s="91">
        <v>-1520424.23</v>
      </c>
      <c r="K542" s="91">
        <v>-1520424.23</v>
      </c>
      <c r="L542" s="91">
        <v>-1520424.23</v>
      </c>
      <c r="M542" t="s">
        <v>278</v>
      </c>
      <c r="N542" t="s">
        <v>278</v>
      </c>
      <c r="O542" t="s">
        <v>2150</v>
      </c>
      <c r="P542" t="s">
        <v>280</v>
      </c>
      <c r="Q542" t="s">
        <v>281</v>
      </c>
      <c r="R542" t="s">
        <v>282</v>
      </c>
      <c r="S542" t="s">
        <v>294</v>
      </c>
      <c r="T542" t="s">
        <v>305</v>
      </c>
      <c r="U542" t="s">
        <v>2151</v>
      </c>
      <c r="V542">
        <v>101</v>
      </c>
      <c r="W542">
        <v>13016</v>
      </c>
      <c r="X542">
        <v>245011</v>
      </c>
      <c r="Y542">
        <v>9999</v>
      </c>
      <c r="Z542">
        <v>204</v>
      </c>
      <c r="AA542">
        <v>999</v>
      </c>
      <c r="AB542">
        <v>9999</v>
      </c>
      <c r="AC542">
        <v>9999</v>
      </c>
      <c r="AD542" t="s">
        <v>1</v>
      </c>
      <c r="AE542" t="s">
        <v>2152</v>
      </c>
      <c r="AF542" t="s">
        <v>227</v>
      </c>
      <c r="AG542" t="s">
        <v>286</v>
      </c>
      <c r="AI542" t="s">
        <v>227</v>
      </c>
      <c r="AJ542">
        <v>45900</v>
      </c>
      <c r="AK542" t="s">
        <v>315</v>
      </c>
      <c r="AL542" t="s">
        <v>288</v>
      </c>
    </row>
    <row r="543" spans="1:38" x14ac:dyDescent="0.2">
      <c r="A543">
        <v>42</v>
      </c>
      <c r="B543" t="s">
        <v>47</v>
      </c>
      <c r="D543" t="s">
        <v>2147</v>
      </c>
      <c r="E543" t="s">
        <v>14</v>
      </c>
      <c r="F543" t="s">
        <v>2153</v>
      </c>
      <c r="G543" t="s">
        <v>2154</v>
      </c>
      <c r="H543" t="s">
        <v>19</v>
      </c>
      <c r="I543" t="s">
        <v>348</v>
      </c>
      <c r="J543" s="91">
        <v>-693396.02</v>
      </c>
      <c r="K543" s="91">
        <v>-693396.02</v>
      </c>
      <c r="L543" s="91">
        <v>-693396.02</v>
      </c>
      <c r="M543" t="s">
        <v>278</v>
      </c>
      <c r="N543" t="s">
        <v>278</v>
      </c>
      <c r="O543" t="s">
        <v>2155</v>
      </c>
      <c r="P543" t="s">
        <v>280</v>
      </c>
      <c r="Q543" t="s">
        <v>281</v>
      </c>
      <c r="R543" t="s">
        <v>282</v>
      </c>
      <c r="S543" t="s">
        <v>294</v>
      </c>
      <c r="T543" t="s">
        <v>305</v>
      </c>
      <c r="U543" t="s">
        <v>2151</v>
      </c>
      <c r="V543">
        <v>101</v>
      </c>
      <c r="W543">
        <v>13016</v>
      </c>
      <c r="X543">
        <v>245011</v>
      </c>
      <c r="Y543">
        <v>9999</v>
      </c>
      <c r="Z543">
        <v>204</v>
      </c>
      <c r="AA543">
        <v>999</v>
      </c>
      <c r="AB543">
        <v>9999</v>
      </c>
      <c r="AC543">
        <v>9999</v>
      </c>
      <c r="AD543" t="s">
        <v>1</v>
      </c>
      <c r="AE543" t="s">
        <v>227</v>
      </c>
      <c r="AF543" t="s">
        <v>227</v>
      </c>
      <c r="AG543" t="s">
        <v>286</v>
      </c>
      <c r="AI543" t="s">
        <v>227</v>
      </c>
      <c r="AJ543">
        <v>45961</v>
      </c>
      <c r="AK543" t="s">
        <v>315</v>
      </c>
      <c r="AL543" t="s">
        <v>288</v>
      </c>
    </row>
    <row r="544" spans="1:38" x14ac:dyDescent="0.2">
      <c r="E544" t="s">
        <v>14</v>
      </c>
      <c r="F544" t="s">
        <v>2156</v>
      </c>
      <c r="G544" t="s">
        <v>2157</v>
      </c>
      <c r="H544" t="s">
        <v>19</v>
      </c>
      <c r="I544" t="s">
        <v>351</v>
      </c>
      <c r="J544" s="91">
        <v>-155196</v>
      </c>
      <c r="K544" s="91">
        <v>-155196</v>
      </c>
      <c r="L544" s="91">
        <v>-155196</v>
      </c>
      <c r="M544" t="s">
        <v>278</v>
      </c>
      <c r="N544" t="s">
        <v>278</v>
      </c>
      <c r="O544" t="s">
        <v>2158</v>
      </c>
      <c r="P544" t="s">
        <v>280</v>
      </c>
      <c r="Q544" t="s">
        <v>281</v>
      </c>
      <c r="R544" t="s">
        <v>282</v>
      </c>
      <c r="S544" t="s">
        <v>294</v>
      </c>
      <c r="T544" t="s">
        <v>305</v>
      </c>
      <c r="U544" t="s">
        <v>306</v>
      </c>
      <c r="V544">
        <v>101</v>
      </c>
      <c r="W544">
        <v>13016</v>
      </c>
      <c r="X544">
        <v>245011</v>
      </c>
      <c r="Y544">
        <v>9999</v>
      </c>
      <c r="Z544">
        <v>999</v>
      </c>
      <c r="AA544">
        <v>999</v>
      </c>
      <c r="AB544">
        <v>9999</v>
      </c>
      <c r="AC544">
        <v>9999</v>
      </c>
      <c r="AD544" t="s">
        <v>1</v>
      </c>
      <c r="AE544" t="s">
        <v>227</v>
      </c>
      <c r="AF544" t="s">
        <v>227</v>
      </c>
      <c r="AG544" t="s">
        <v>286</v>
      </c>
      <c r="AI544" t="s">
        <v>227</v>
      </c>
      <c r="AJ544">
        <v>45991</v>
      </c>
      <c r="AK544" t="s">
        <v>287</v>
      </c>
      <c r="AL544" t="s">
        <v>288</v>
      </c>
    </row>
    <row r="545" spans="1:38" x14ac:dyDescent="0.2">
      <c r="E545" t="s">
        <v>14</v>
      </c>
      <c r="F545" t="s">
        <v>2159</v>
      </c>
      <c r="G545" t="s">
        <v>2160</v>
      </c>
      <c r="H545" t="s">
        <v>223</v>
      </c>
      <c r="I545" t="s">
        <v>351</v>
      </c>
      <c r="J545" s="91">
        <v>2213820.25</v>
      </c>
      <c r="K545" s="91">
        <v>2213820.25</v>
      </c>
      <c r="L545" s="91">
        <v>2213820.25</v>
      </c>
      <c r="M545" t="s">
        <v>278</v>
      </c>
      <c r="N545" t="s">
        <v>278</v>
      </c>
      <c r="O545" t="s">
        <v>2161</v>
      </c>
      <c r="P545" t="s">
        <v>280</v>
      </c>
      <c r="Q545" t="s">
        <v>281</v>
      </c>
      <c r="R545" t="s">
        <v>282</v>
      </c>
      <c r="S545" t="s">
        <v>294</v>
      </c>
      <c r="T545" t="s">
        <v>305</v>
      </c>
      <c r="U545" t="s">
        <v>306</v>
      </c>
      <c r="V545">
        <v>101</v>
      </c>
      <c r="W545">
        <v>13016</v>
      </c>
      <c r="X545">
        <v>245011</v>
      </c>
      <c r="Y545">
        <v>9999</v>
      </c>
      <c r="Z545">
        <v>999</v>
      </c>
      <c r="AA545">
        <v>999</v>
      </c>
      <c r="AB545">
        <v>9999</v>
      </c>
      <c r="AC545">
        <v>9999</v>
      </c>
      <c r="AD545" t="s">
        <v>1</v>
      </c>
      <c r="AE545" t="s">
        <v>227</v>
      </c>
      <c r="AF545" t="s">
        <v>227</v>
      </c>
      <c r="AG545" t="s">
        <v>286</v>
      </c>
      <c r="AI545" t="s">
        <v>227</v>
      </c>
      <c r="AJ545">
        <v>45986</v>
      </c>
      <c r="AK545" t="s">
        <v>287</v>
      </c>
      <c r="AL545" t="s">
        <v>288</v>
      </c>
    </row>
    <row r="546" spans="1:38" x14ac:dyDescent="0.2">
      <c r="E546" t="s">
        <v>14</v>
      </c>
      <c r="F546" t="s">
        <v>2162</v>
      </c>
      <c r="G546" t="s">
        <v>2163</v>
      </c>
      <c r="H546" t="s">
        <v>17</v>
      </c>
      <c r="I546" t="s">
        <v>351</v>
      </c>
      <c r="J546" s="91">
        <v>-156545.18</v>
      </c>
      <c r="K546" s="91">
        <v>-156545.18</v>
      </c>
      <c r="L546" s="91">
        <v>-156545.18</v>
      </c>
      <c r="M546" t="s">
        <v>278</v>
      </c>
      <c r="N546" t="s">
        <v>278</v>
      </c>
      <c r="O546" t="s">
        <v>2164</v>
      </c>
      <c r="P546" t="s">
        <v>280</v>
      </c>
      <c r="Q546" t="s">
        <v>281</v>
      </c>
      <c r="R546" t="s">
        <v>282</v>
      </c>
      <c r="S546" t="s">
        <v>294</v>
      </c>
      <c r="T546" t="s">
        <v>305</v>
      </c>
      <c r="U546" t="s">
        <v>306</v>
      </c>
      <c r="V546">
        <v>101</v>
      </c>
      <c r="W546">
        <v>13016</v>
      </c>
      <c r="X546">
        <v>245011</v>
      </c>
      <c r="Y546">
        <v>9999</v>
      </c>
      <c r="Z546">
        <v>999</v>
      </c>
      <c r="AA546">
        <v>999</v>
      </c>
      <c r="AB546">
        <v>9999</v>
      </c>
      <c r="AC546">
        <v>9999</v>
      </c>
      <c r="AD546" t="s">
        <v>1</v>
      </c>
      <c r="AE546" t="s">
        <v>227</v>
      </c>
      <c r="AF546" t="s">
        <v>227</v>
      </c>
      <c r="AG546" t="s">
        <v>286</v>
      </c>
      <c r="AI546" t="s">
        <v>227</v>
      </c>
      <c r="AJ546">
        <v>45982</v>
      </c>
      <c r="AK546" t="s">
        <v>287</v>
      </c>
      <c r="AL546" t="s">
        <v>288</v>
      </c>
    </row>
    <row r="547" spans="1:38" x14ac:dyDescent="0.2">
      <c r="A547">
        <v>42</v>
      </c>
      <c r="B547" t="s">
        <v>47</v>
      </c>
      <c r="D547" t="s">
        <v>2165</v>
      </c>
      <c r="E547" t="s">
        <v>37</v>
      </c>
      <c r="F547" t="s">
        <v>2166</v>
      </c>
      <c r="G547" t="s">
        <v>2167</v>
      </c>
      <c r="H547" t="s">
        <v>16</v>
      </c>
      <c r="I547" t="s">
        <v>348</v>
      </c>
      <c r="J547" s="91">
        <v>-36330.239999999998</v>
      </c>
      <c r="K547" s="91">
        <v>-36330.239999999998</v>
      </c>
      <c r="L547" s="91">
        <v>-36330.239999999998</v>
      </c>
      <c r="M547" t="s">
        <v>278</v>
      </c>
      <c r="N547" t="s">
        <v>278</v>
      </c>
      <c r="O547" t="s">
        <v>2168</v>
      </c>
      <c r="P547" t="s">
        <v>280</v>
      </c>
      <c r="Q547" t="s">
        <v>281</v>
      </c>
      <c r="R547" t="s">
        <v>282</v>
      </c>
      <c r="S547" t="s">
        <v>294</v>
      </c>
      <c r="T547" t="s">
        <v>305</v>
      </c>
      <c r="U547" t="s">
        <v>438</v>
      </c>
      <c r="V547">
        <v>101</v>
      </c>
      <c r="W547">
        <v>13001</v>
      </c>
      <c r="X547">
        <v>245011</v>
      </c>
      <c r="Y547">
        <v>9999</v>
      </c>
      <c r="Z547">
        <v>999</v>
      </c>
      <c r="AA547">
        <v>999</v>
      </c>
      <c r="AB547">
        <v>9999</v>
      </c>
      <c r="AC547">
        <v>9999</v>
      </c>
      <c r="AD547" t="s">
        <v>1</v>
      </c>
      <c r="AE547" t="s">
        <v>227</v>
      </c>
      <c r="AF547" t="s">
        <v>227</v>
      </c>
      <c r="AG547" t="s">
        <v>286</v>
      </c>
      <c r="AI547" t="s">
        <v>227</v>
      </c>
      <c r="AJ547">
        <v>45961</v>
      </c>
      <c r="AK547" t="s">
        <v>315</v>
      </c>
      <c r="AL547" t="s">
        <v>288</v>
      </c>
    </row>
    <row r="548" spans="1:38" x14ac:dyDescent="0.2">
      <c r="E548" t="s">
        <v>37</v>
      </c>
      <c r="F548" t="s">
        <v>2169</v>
      </c>
      <c r="G548" t="s">
        <v>2170</v>
      </c>
      <c r="H548" t="s">
        <v>16</v>
      </c>
      <c r="I548" t="s">
        <v>351</v>
      </c>
      <c r="J548" s="91">
        <v>36330.239999999998</v>
      </c>
      <c r="K548" s="91">
        <v>36330.239999999998</v>
      </c>
      <c r="L548" s="91">
        <v>36330.239999999998</v>
      </c>
      <c r="M548" t="s">
        <v>278</v>
      </c>
      <c r="N548" t="s">
        <v>278</v>
      </c>
      <c r="O548" t="s">
        <v>2171</v>
      </c>
      <c r="P548" t="s">
        <v>280</v>
      </c>
      <c r="Q548" t="s">
        <v>281</v>
      </c>
      <c r="R548" t="s">
        <v>282</v>
      </c>
      <c r="S548" t="s">
        <v>294</v>
      </c>
      <c r="T548" t="s">
        <v>305</v>
      </c>
      <c r="U548" t="s">
        <v>438</v>
      </c>
      <c r="V548">
        <v>101</v>
      </c>
      <c r="W548">
        <v>13001</v>
      </c>
      <c r="X548">
        <v>245011</v>
      </c>
      <c r="Y548">
        <v>9999</v>
      </c>
      <c r="Z548">
        <v>999</v>
      </c>
      <c r="AA548">
        <v>999</v>
      </c>
      <c r="AB548">
        <v>9999</v>
      </c>
      <c r="AC548">
        <v>9999</v>
      </c>
      <c r="AD548" t="s">
        <v>1</v>
      </c>
      <c r="AE548" t="s">
        <v>227</v>
      </c>
      <c r="AF548" t="s">
        <v>227</v>
      </c>
      <c r="AG548" t="s">
        <v>286</v>
      </c>
      <c r="AI548" t="s">
        <v>227</v>
      </c>
      <c r="AJ548">
        <v>45982</v>
      </c>
      <c r="AK548" t="s">
        <v>315</v>
      </c>
      <c r="AL548" t="s">
        <v>288</v>
      </c>
    </row>
    <row r="549" spans="1:38" x14ac:dyDescent="0.2">
      <c r="A549">
        <v>42</v>
      </c>
      <c r="B549" t="s">
        <v>47</v>
      </c>
      <c r="D549" t="s">
        <v>2172</v>
      </c>
      <c r="E549" t="s">
        <v>25</v>
      </c>
      <c r="F549" t="s">
        <v>2173</v>
      </c>
      <c r="G549" t="s">
        <v>2174</v>
      </c>
      <c r="H549" t="s">
        <v>16</v>
      </c>
      <c r="I549" t="s">
        <v>348</v>
      </c>
      <c r="J549" s="91">
        <v>378108.08</v>
      </c>
      <c r="K549" s="91">
        <v>378108.08</v>
      </c>
      <c r="L549" s="91">
        <v>378108.08</v>
      </c>
      <c r="M549" t="s">
        <v>278</v>
      </c>
      <c r="N549" t="s">
        <v>278</v>
      </c>
      <c r="O549" t="s">
        <v>2101</v>
      </c>
      <c r="P549" t="s">
        <v>280</v>
      </c>
      <c r="Q549" t="s">
        <v>281</v>
      </c>
      <c r="R549" t="s">
        <v>282</v>
      </c>
      <c r="S549" t="s">
        <v>294</v>
      </c>
      <c r="T549" t="s">
        <v>295</v>
      </c>
      <c r="U549" t="s">
        <v>474</v>
      </c>
      <c r="V549">
        <v>101</v>
      </c>
      <c r="W549">
        <v>13006</v>
      </c>
      <c r="X549">
        <v>245011</v>
      </c>
      <c r="Y549">
        <v>9999</v>
      </c>
      <c r="Z549">
        <v>999</v>
      </c>
      <c r="AA549">
        <v>999</v>
      </c>
      <c r="AB549">
        <v>9999</v>
      </c>
      <c r="AC549">
        <v>9999</v>
      </c>
      <c r="AD549" t="s">
        <v>1</v>
      </c>
      <c r="AE549" t="s">
        <v>227</v>
      </c>
      <c r="AF549" t="s">
        <v>227</v>
      </c>
      <c r="AG549" t="s">
        <v>286</v>
      </c>
      <c r="AI549" t="s">
        <v>227</v>
      </c>
      <c r="AJ549">
        <v>45961</v>
      </c>
      <c r="AK549" t="s">
        <v>287</v>
      </c>
      <c r="AL549" t="s">
        <v>288</v>
      </c>
    </row>
    <row r="550" spans="1:38" x14ac:dyDescent="0.2">
      <c r="E550" t="s">
        <v>25</v>
      </c>
      <c r="F550" t="s">
        <v>2175</v>
      </c>
      <c r="G550" t="s">
        <v>2176</v>
      </c>
      <c r="H550" t="s">
        <v>16</v>
      </c>
      <c r="I550" t="s">
        <v>351</v>
      </c>
      <c r="J550" s="91">
        <v>-378108.08</v>
      </c>
      <c r="K550" s="91">
        <v>-378108.08</v>
      </c>
      <c r="L550" s="91">
        <v>-378108.08</v>
      </c>
      <c r="M550" t="s">
        <v>278</v>
      </c>
      <c r="N550" t="s">
        <v>278</v>
      </c>
      <c r="O550" t="s">
        <v>2177</v>
      </c>
      <c r="P550" t="s">
        <v>280</v>
      </c>
      <c r="Q550" t="s">
        <v>281</v>
      </c>
      <c r="R550" t="s">
        <v>282</v>
      </c>
      <c r="S550" t="s">
        <v>294</v>
      </c>
      <c r="T550" t="s">
        <v>295</v>
      </c>
      <c r="U550" t="s">
        <v>474</v>
      </c>
      <c r="V550">
        <v>101</v>
      </c>
      <c r="W550">
        <v>13006</v>
      </c>
      <c r="X550">
        <v>245011</v>
      </c>
      <c r="Y550">
        <v>9999</v>
      </c>
      <c r="Z550">
        <v>999</v>
      </c>
      <c r="AA550">
        <v>999</v>
      </c>
      <c r="AB550">
        <v>9999</v>
      </c>
      <c r="AC550">
        <v>9999</v>
      </c>
      <c r="AD550" t="s">
        <v>1</v>
      </c>
      <c r="AE550" t="s">
        <v>227</v>
      </c>
      <c r="AF550" t="s">
        <v>227</v>
      </c>
      <c r="AG550" t="s">
        <v>286</v>
      </c>
      <c r="AI550" t="s">
        <v>227</v>
      </c>
      <c r="AJ550">
        <v>45967</v>
      </c>
      <c r="AK550" t="s">
        <v>287</v>
      </c>
      <c r="AL550" t="s">
        <v>288</v>
      </c>
    </row>
    <row r="551" spans="1:38" x14ac:dyDescent="0.2">
      <c r="A551">
        <v>42</v>
      </c>
      <c r="B551" t="s">
        <v>47</v>
      </c>
      <c r="D551" t="s">
        <v>2110</v>
      </c>
      <c r="E551" t="s">
        <v>30</v>
      </c>
      <c r="F551" t="s">
        <v>2111</v>
      </c>
      <c r="G551" t="s">
        <v>2112</v>
      </c>
      <c r="H551" t="s">
        <v>21</v>
      </c>
      <c r="I551" t="s">
        <v>348</v>
      </c>
      <c r="J551" s="91">
        <v>-138271.28</v>
      </c>
      <c r="K551" s="91">
        <v>-138271.28</v>
      </c>
      <c r="L551" s="91">
        <v>-138271.28</v>
      </c>
      <c r="M551" t="s">
        <v>278</v>
      </c>
      <c r="N551" t="s">
        <v>278</v>
      </c>
      <c r="O551" t="s">
        <v>2113</v>
      </c>
      <c r="P551" t="s">
        <v>2113</v>
      </c>
      <c r="Q551" t="s">
        <v>281</v>
      </c>
      <c r="R551" t="s">
        <v>282</v>
      </c>
      <c r="S551" t="s">
        <v>294</v>
      </c>
      <c r="T551" t="s">
        <v>295</v>
      </c>
      <c r="U551" t="s">
        <v>387</v>
      </c>
      <c r="V551">
        <v>101</v>
      </c>
      <c r="W551">
        <v>13018</v>
      </c>
      <c r="X551">
        <v>245011</v>
      </c>
      <c r="Y551">
        <v>9999</v>
      </c>
      <c r="Z551">
        <v>999</v>
      </c>
      <c r="AA551">
        <v>999</v>
      </c>
      <c r="AB551">
        <v>9999</v>
      </c>
      <c r="AC551">
        <v>9999</v>
      </c>
      <c r="AD551" t="s">
        <v>1</v>
      </c>
      <c r="AE551" t="s">
        <v>227</v>
      </c>
      <c r="AF551" t="s">
        <v>227</v>
      </c>
      <c r="AG551" t="s">
        <v>286</v>
      </c>
      <c r="AI551" t="s">
        <v>227</v>
      </c>
      <c r="AJ551">
        <v>45961</v>
      </c>
      <c r="AK551" t="s">
        <v>315</v>
      </c>
      <c r="AL551" t="s">
        <v>288</v>
      </c>
    </row>
    <row r="552" spans="1:38" x14ac:dyDescent="0.2">
      <c r="A552">
        <v>42</v>
      </c>
      <c r="B552" t="s">
        <v>47</v>
      </c>
      <c r="D552" t="s">
        <v>2110</v>
      </c>
      <c r="E552" t="s">
        <v>30</v>
      </c>
      <c r="F552" t="s">
        <v>2114</v>
      </c>
      <c r="G552" t="s">
        <v>2115</v>
      </c>
      <c r="H552" t="s">
        <v>21</v>
      </c>
      <c r="I552" t="s">
        <v>348</v>
      </c>
      <c r="J552" s="91">
        <v>-83112.62</v>
      </c>
      <c r="K552" s="91">
        <v>-83112.62</v>
      </c>
      <c r="L552" s="91">
        <v>-83112.62</v>
      </c>
      <c r="M552" t="s">
        <v>278</v>
      </c>
      <c r="N552" t="s">
        <v>278</v>
      </c>
      <c r="O552" t="s">
        <v>2088</v>
      </c>
      <c r="P552" t="s">
        <v>280</v>
      </c>
      <c r="Q552" t="s">
        <v>281</v>
      </c>
      <c r="R552" t="s">
        <v>282</v>
      </c>
      <c r="S552" t="s">
        <v>294</v>
      </c>
      <c r="T552" t="s">
        <v>295</v>
      </c>
      <c r="U552" t="s">
        <v>387</v>
      </c>
      <c r="V552">
        <v>101</v>
      </c>
      <c r="W552">
        <v>13018</v>
      </c>
      <c r="X552">
        <v>245011</v>
      </c>
      <c r="Y552">
        <v>9999</v>
      </c>
      <c r="Z552">
        <v>999</v>
      </c>
      <c r="AA552">
        <v>999</v>
      </c>
      <c r="AB552">
        <v>9999</v>
      </c>
      <c r="AC552">
        <v>9999</v>
      </c>
      <c r="AD552" t="s">
        <v>1</v>
      </c>
      <c r="AE552" t="s">
        <v>227</v>
      </c>
      <c r="AF552" t="s">
        <v>227</v>
      </c>
      <c r="AG552" t="s">
        <v>286</v>
      </c>
      <c r="AI552" t="s">
        <v>227</v>
      </c>
      <c r="AJ552">
        <v>45961</v>
      </c>
      <c r="AK552" t="s">
        <v>382</v>
      </c>
      <c r="AL552" t="s">
        <v>288</v>
      </c>
    </row>
    <row r="553" spans="1:38" x14ac:dyDescent="0.2">
      <c r="E553" t="s">
        <v>30</v>
      </c>
      <c r="F553" t="s">
        <v>2116</v>
      </c>
      <c r="G553" t="s">
        <v>2117</v>
      </c>
      <c r="H553" t="s">
        <v>21</v>
      </c>
      <c r="I553" t="s">
        <v>351</v>
      </c>
      <c r="J553" s="91">
        <v>221383.9</v>
      </c>
      <c r="K553" s="91">
        <v>221383.9</v>
      </c>
      <c r="L553" s="91">
        <v>221383.9</v>
      </c>
      <c r="M553" t="s">
        <v>278</v>
      </c>
      <c r="N553" t="s">
        <v>278</v>
      </c>
      <c r="O553" t="s">
        <v>2118</v>
      </c>
      <c r="P553" t="s">
        <v>2118</v>
      </c>
      <c r="Q553" t="s">
        <v>281</v>
      </c>
      <c r="R553" t="s">
        <v>282</v>
      </c>
      <c r="S553" t="s">
        <v>294</v>
      </c>
      <c r="T553" t="s">
        <v>295</v>
      </c>
      <c r="U553" t="s">
        <v>387</v>
      </c>
      <c r="V553">
        <v>101</v>
      </c>
      <c r="W553">
        <v>13018</v>
      </c>
      <c r="X553">
        <v>245011</v>
      </c>
      <c r="Y553">
        <v>9999</v>
      </c>
      <c r="Z553">
        <v>999</v>
      </c>
      <c r="AA553">
        <v>999</v>
      </c>
      <c r="AB553">
        <v>9999</v>
      </c>
      <c r="AC553">
        <v>9999</v>
      </c>
      <c r="AD553" t="s">
        <v>1</v>
      </c>
      <c r="AE553" t="s">
        <v>227</v>
      </c>
      <c r="AF553" t="s">
        <v>227</v>
      </c>
      <c r="AG553" t="s">
        <v>286</v>
      </c>
      <c r="AI553" t="s">
        <v>227</v>
      </c>
      <c r="AJ553">
        <v>45979</v>
      </c>
      <c r="AK553" t="s">
        <v>315</v>
      </c>
      <c r="AL553" t="s">
        <v>288</v>
      </c>
    </row>
    <row r="554" spans="1:38" x14ac:dyDescent="0.2">
      <c r="A554">
        <v>103</v>
      </c>
      <c r="B554" t="s">
        <v>49</v>
      </c>
      <c r="D554" t="s">
        <v>2178</v>
      </c>
      <c r="E554" t="s">
        <v>2108</v>
      </c>
      <c r="F554" t="s">
        <v>2179</v>
      </c>
      <c r="G554" t="s">
        <v>2180</v>
      </c>
      <c r="H554" t="s">
        <v>12</v>
      </c>
      <c r="I554" t="s">
        <v>332</v>
      </c>
      <c r="J554" s="91">
        <v>-236051.89</v>
      </c>
      <c r="K554" s="91">
        <v>-236051.89</v>
      </c>
      <c r="L554" s="91">
        <v>-236051.89</v>
      </c>
      <c r="M554" t="s">
        <v>278</v>
      </c>
      <c r="N554" t="s">
        <v>278</v>
      </c>
      <c r="O554" t="s">
        <v>2181</v>
      </c>
      <c r="P554" t="s">
        <v>280</v>
      </c>
      <c r="Q554" t="s">
        <v>281</v>
      </c>
      <c r="R554" t="s">
        <v>282</v>
      </c>
      <c r="S554" t="s">
        <v>294</v>
      </c>
      <c r="T554" t="s">
        <v>295</v>
      </c>
      <c r="U554" t="s">
        <v>2182</v>
      </c>
      <c r="V554">
        <v>101</v>
      </c>
      <c r="W554">
        <v>13013</v>
      </c>
      <c r="X554">
        <v>245011</v>
      </c>
      <c r="Y554">
        <v>9999</v>
      </c>
      <c r="Z554">
        <v>207</v>
      </c>
      <c r="AA554">
        <v>999</v>
      </c>
      <c r="AB554">
        <v>9999</v>
      </c>
      <c r="AC554">
        <v>9999</v>
      </c>
      <c r="AD554" t="s">
        <v>1</v>
      </c>
      <c r="AE554" t="s">
        <v>2183</v>
      </c>
      <c r="AF554" t="s">
        <v>227</v>
      </c>
      <c r="AG554" t="s">
        <v>286</v>
      </c>
      <c r="AI554" t="s">
        <v>227</v>
      </c>
      <c r="AJ554">
        <v>45900</v>
      </c>
      <c r="AK554" t="s">
        <v>315</v>
      </c>
      <c r="AL554" t="s">
        <v>288</v>
      </c>
    </row>
    <row r="555" spans="1:38" x14ac:dyDescent="0.2">
      <c r="A555">
        <v>42</v>
      </c>
      <c r="B555" t="s">
        <v>47</v>
      </c>
      <c r="D555" t="s">
        <v>2110</v>
      </c>
      <c r="E555" t="s">
        <v>2108</v>
      </c>
      <c r="F555" t="s">
        <v>2114</v>
      </c>
      <c r="G555" t="s">
        <v>2115</v>
      </c>
      <c r="H555" t="s">
        <v>21</v>
      </c>
      <c r="I555" t="s">
        <v>348</v>
      </c>
      <c r="J555" s="91">
        <v>-0.54</v>
      </c>
      <c r="K555" s="91">
        <v>-0.54</v>
      </c>
      <c r="L555" s="91">
        <v>-0.54</v>
      </c>
      <c r="M555" t="s">
        <v>278</v>
      </c>
      <c r="N555" t="s">
        <v>278</v>
      </c>
      <c r="O555" t="s">
        <v>2088</v>
      </c>
      <c r="P555" t="s">
        <v>280</v>
      </c>
      <c r="Q555" t="s">
        <v>281</v>
      </c>
      <c r="R555" t="s">
        <v>282</v>
      </c>
      <c r="S555" t="s">
        <v>294</v>
      </c>
      <c r="T555" t="s">
        <v>295</v>
      </c>
      <c r="U555" t="s">
        <v>2109</v>
      </c>
      <c r="V555">
        <v>101</v>
      </c>
      <c r="W555">
        <v>13013</v>
      </c>
      <c r="X555">
        <v>245011</v>
      </c>
      <c r="Y555">
        <v>9999</v>
      </c>
      <c r="Z555">
        <v>999</v>
      </c>
      <c r="AA555">
        <v>999</v>
      </c>
      <c r="AB555">
        <v>9999</v>
      </c>
      <c r="AC555">
        <v>9999</v>
      </c>
      <c r="AD555" t="s">
        <v>1</v>
      </c>
      <c r="AE555" t="s">
        <v>227</v>
      </c>
      <c r="AF555" t="s">
        <v>227</v>
      </c>
      <c r="AG555" t="s">
        <v>286</v>
      </c>
      <c r="AI555" t="s">
        <v>227</v>
      </c>
      <c r="AJ555">
        <v>45961</v>
      </c>
      <c r="AK555" t="s">
        <v>382</v>
      </c>
      <c r="AL555" t="s">
        <v>288</v>
      </c>
    </row>
    <row r="556" spans="1:38" x14ac:dyDescent="0.2">
      <c r="E556" t="s">
        <v>2108</v>
      </c>
      <c r="F556" t="s">
        <v>2184</v>
      </c>
      <c r="G556" t="s">
        <v>2185</v>
      </c>
      <c r="H556" t="s">
        <v>12</v>
      </c>
      <c r="I556" t="s">
        <v>351</v>
      </c>
      <c r="J556" s="91">
        <v>236051.89</v>
      </c>
      <c r="K556" s="91">
        <v>236051.89</v>
      </c>
      <c r="L556" s="91">
        <v>236051.89</v>
      </c>
      <c r="M556" t="s">
        <v>278</v>
      </c>
      <c r="N556" t="s">
        <v>278</v>
      </c>
      <c r="O556" t="s">
        <v>2186</v>
      </c>
      <c r="P556" t="s">
        <v>280</v>
      </c>
      <c r="Q556" t="s">
        <v>281</v>
      </c>
      <c r="R556" t="s">
        <v>282</v>
      </c>
      <c r="S556" t="s">
        <v>294</v>
      </c>
      <c r="T556" t="s">
        <v>295</v>
      </c>
      <c r="U556" t="s">
        <v>2182</v>
      </c>
      <c r="V556">
        <v>101</v>
      </c>
      <c r="W556">
        <v>13013</v>
      </c>
      <c r="X556">
        <v>245011</v>
      </c>
      <c r="Y556">
        <v>9999</v>
      </c>
      <c r="Z556">
        <v>207</v>
      </c>
      <c r="AA556">
        <v>999</v>
      </c>
      <c r="AB556">
        <v>9999</v>
      </c>
      <c r="AC556">
        <v>9999</v>
      </c>
      <c r="AD556" t="s">
        <v>1</v>
      </c>
      <c r="AE556" t="s">
        <v>2183</v>
      </c>
      <c r="AF556" t="s">
        <v>227</v>
      </c>
      <c r="AG556" t="s">
        <v>286</v>
      </c>
      <c r="AI556" t="s">
        <v>227</v>
      </c>
      <c r="AJ556">
        <v>45991</v>
      </c>
      <c r="AK556" t="s">
        <v>315</v>
      </c>
      <c r="AL556" t="s">
        <v>288</v>
      </c>
    </row>
    <row r="557" spans="1:38" x14ac:dyDescent="0.2">
      <c r="E557" t="s">
        <v>2108</v>
      </c>
      <c r="F557" t="s">
        <v>2116</v>
      </c>
      <c r="G557" t="s">
        <v>2117</v>
      </c>
      <c r="H557" t="s">
        <v>21</v>
      </c>
      <c r="I557" t="s">
        <v>351</v>
      </c>
      <c r="J557" s="91">
        <v>0.54</v>
      </c>
      <c r="K557" s="91">
        <v>0.54</v>
      </c>
      <c r="L557" s="91">
        <v>0.54</v>
      </c>
      <c r="M557" t="s">
        <v>278</v>
      </c>
      <c r="N557" t="s">
        <v>278</v>
      </c>
      <c r="O557" t="s">
        <v>2118</v>
      </c>
      <c r="P557" t="s">
        <v>2118</v>
      </c>
      <c r="Q557" t="s">
        <v>281</v>
      </c>
      <c r="R557" t="s">
        <v>282</v>
      </c>
      <c r="S557" t="s">
        <v>294</v>
      </c>
      <c r="T557" t="s">
        <v>295</v>
      </c>
      <c r="U557" t="s">
        <v>2109</v>
      </c>
      <c r="V557">
        <v>101</v>
      </c>
      <c r="W557">
        <v>13013</v>
      </c>
      <c r="X557">
        <v>245011</v>
      </c>
      <c r="Y557">
        <v>9999</v>
      </c>
      <c r="Z557">
        <v>999</v>
      </c>
      <c r="AA557">
        <v>999</v>
      </c>
      <c r="AB557">
        <v>9999</v>
      </c>
      <c r="AC557">
        <v>9999</v>
      </c>
      <c r="AD557" t="s">
        <v>1</v>
      </c>
      <c r="AE557" t="s">
        <v>227</v>
      </c>
      <c r="AF557" t="s">
        <v>227</v>
      </c>
      <c r="AG557" t="s">
        <v>286</v>
      </c>
      <c r="AI557" t="s">
        <v>227</v>
      </c>
      <c r="AJ557">
        <v>45979</v>
      </c>
      <c r="AK557" t="s">
        <v>315</v>
      </c>
      <c r="AL557" t="s">
        <v>288</v>
      </c>
    </row>
    <row r="558" spans="1:38" x14ac:dyDescent="0.2">
      <c r="A558">
        <v>44</v>
      </c>
      <c r="B558" t="s">
        <v>47</v>
      </c>
      <c r="D558" t="s">
        <v>2187</v>
      </c>
      <c r="E558" t="s">
        <v>23</v>
      </c>
      <c r="F558" t="s">
        <v>2188</v>
      </c>
      <c r="G558" t="s">
        <v>2189</v>
      </c>
      <c r="H558" t="s">
        <v>16</v>
      </c>
      <c r="I558" t="s">
        <v>351</v>
      </c>
      <c r="J558" s="91">
        <v>3858625.44</v>
      </c>
      <c r="K558" s="91">
        <v>3858625.44</v>
      </c>
      <c r="L558" s="91">
        <v>3858625.44</v>
      </c>
      <c r="M558" t="s">
        <v>278</v>
      </c>
      <c r="N558" t="s">
        <v>278</v>
      </c>
      <c r="O558" t="s">
        <v>2190</v>
      </c>
      <c r="P558" t="s">
        <v>280</v>
      </c>
      <c r="Q558" t="s">
        <v>281</v>
      </c>
      <c r="R558" t="s">
        <v>282</v>
      </c>
      <c r="S558" t="s">
        <v>283</v>
      </c>
      <c r="T558" t="s">
        <v>313</v>
      </c>
      <c r="U558" t="s">
        <v>415</v>
      </c>
      <c r="V558">
        <v>101</v>
      </c>
      <c r="W558">
        <v>11003</v>
      </c>
      <c r="X558">
        <v>245011</v>
      </c>
      <c r="Y558">
        <v>9999</v>
      </c>
      <c r="Z558">
        <v>999</v>
      </c>
      <c r="AA558">
        <v>999</v>
      </c>
      <c r="AB558">
        <v>9999</v>
      </c>
      <c r="AC558">
        <v>9999</v>
      </c>
      <c r="AD558" t="s">
        <v>1</v>
      </c>
      <c r="AE558" t="s">
        <v>227</v>
      </c>
      <c r="AF558" t="s">
        <v>227</v>
      </c>
      <c r="AG558" t="s">
        <v>286</v>
      </c>
      <c r="AI558" t="s">
        <v>227</v>
      </c>
      <c r="AJ558">
        <v>45991</v>
      </c>
      <c r="AK558" t="s">
        <v>287</v>
      </c>
      <c r="AL558" t="s">
        <v>288</v>
      </c>
    </row>
    <row r="559" spans="1:38" x14ac:dyDescent="0.2">
      <c r="E559" t="s">
        <v>23</v>
      </c>
      <c r="F559" t="s">
        <v>2191</v>
      </c>
      <c r="G559" t="s">
        <v>2192</v>
      </c>
      <c r="H559" t="s">
        <v>16</v>
      </c>
      <c r="I559" t="s">
        <v>2193</v>
      </c>
      <c r="J559" s="91">
        <v>-3858625.44</v>
      </c>
      <c r="K559" s="91">
        <v>-3858625.44</v>
      </c>
      <c r="L559" s="91">
        <v>-3858625.44</v>
      </c>
      <c r="M559" t="s">
        <v>278</v>
      </c>
      <c r="N559" t="s">
        <v>278</v>
      </c>
      <c r="O559" t="s">
        <v>2194</v>
      </c>
      <c r="P559" t="s">
        <v>280</v>
      </c>
      <c r="Q559" t="s">
        <v>281</v>
      </c>
      <c r="R559" t="s">
        <v>282</v>
      </c>
      <c r="S559" t="s">
        <v>283</v>
      </c>
      <c r="T559" t="s">
        <v>313</v>
      </c>
      <c r="U559" t="s">
        <v>415</v>
      </c>
      <c r="V559">
        <v>101</v>
      </c>
      <c r="W559">
        <v>11003</v>
      </c>
      <c r="X559">
        <v>245011</v>
      </c>
      <c r="Y559">
        <v>9999</v>
      </c>
      <c r="Z559">
        <v>999</v>
      </c>
      <c r="AA559">
        <v>999</v>
      </c>
      <c r="AB559">
        <v>9999</v>
      </c>
      <c r="AC559">
        <v>9999</v>
      </c>
      <c r="AD559" t="s">
        <v>1</v>
      </c>
      <c r="AE559" t="s">
        <v>227</v>
      </c>
      <c r="AF559" t="s">
        <v>227</v>
      </c>
      <c r="AG559" t="s">
        <v>286</v>
      </c>
      <c r="AI559" t="s">
        <v>227</v>
      </c>
      <c r="AJ559">
        <v>45994</v>
      </c>
      <c r="AK559" t="s">
        <v>287</v>
      </c>
      <c r="AL559" t="s">
        <v>288</v>
      </c>
    </row>
    <row r="560" spans="1:38" x14ac:dyDescent="0.2">
      <c r="A560">
        <v>135</v>
      </c>
      <c r="B560" t="s">
        <v>50</v>
      </c>
      <c r="D560" t="s">
        <v>2195</v>
      </c>
      <c r="E560" t="s">
        <v>32</v>
      </c>
      <c r="F560" t="s">
        <v>2196</v>
      </c>
      <c r="G560" t="s">
        <v>2197</v>
      </c>
      <c r="H560" t="s">
        <v>16</v>
      </c>
      <c r="I560" t="s">
        <v>332</v>
      </c>
      <c r="J560" s="91">
        <v>-456733.33</v>
      </c>
      <c r="K560" s="91">
        <v>-456733.33</v>
      </c>
      <c r="L560" s="91">
        <v>-456733.33</v>
      </c>
      <c r="M560" t="s">
        <v>278</v>
      </c>
      <c r="N560" t="s">
        <v>278</v>
      </c>
      <c r="O560" t="s">
        <v>2198</v>
      </c>
      <c r="P560" t="s">
        <v>280</v>
      </c>
      <c r="Q560" t="s">
        <v>281</v>
      </c>
      <c r="R560" t="s">
        <v>282</v>
      </c>
      <c r="S560" t="s">
        <v>283</v>
      </c>
      <c r="T560" t="s">
        <v>313</v>
      </c>
      <c r="U560" t="s">
        <v>381</v>
      </c>
      <c r="V560">
        <v>101</v>
      </c>
      <c r="W560">
        <v>12015</v>
      </c>
      <c r="X560">
        <v>245011</v>
      </c>
      <c r="Y560">
        <v>9999</v>
      </c>
      <c r="Z560">
        <v>999</v>
      </c>
      <c r="AA560">
        <v>999</v>
      </c>
      <c r="AB560">
        <v>9999</v>
      </c>
      <c r="AC560">
        <v>9999</v>
      </c>
      <c r="AD560" t="s">
        <v>1</v>
      </c>
      <c r="AE560" t="s">
        <v>2199</v>
      </c>
      <c r="AF560" t="s">
        <v>227</v>
      </c>
      <c r="AG560" t="s">
        <v>286</v>
      </c>
      <c r="AI560" t="s">
        <v>227</v>
      </c>
      <c r="AJ560">
        <v>45900</v>
      </c>
      <c r="AK560" t="s">
        <v>315</v>
      </c>
      <c r="AL560" t="s">
        <v>288</v>
      </c>
    </row>
    <row r="561" spans="1:38" x14ac:dyDescent="0.2">
      <c r="A561">
        <v>44</v>
      </c>
      <c r="B561" t="s">
        <v>47</v>
      </c>
      <c r="D561" t="s">
        <v>2200</v>
      </c>
      <c r="E561" t="s">
        <v>32</v>
      </c>
      <c r="F561" t="s">
        <v>2201</v>
      </c>
      <c r="G561" t="s">
        <v>2202</v>
      </c>
      <c r="H561" t="s">
        <v>12</v>
      </c>
      <c r="I561" t="s">
        <v>351</v>
      </c>
      <c r="J561" s="91">
        <v>-53727.360000000001</v>
      </c>
      <c r="K561" s="91">
        <v>-53727.360000000001</v>
      </c>
      <c r="L561" s="91">
        <v>-53727.360000000001</v>
      </c>
      <c r="M561" t="s">
        <v>278</v>
      </c>
      <c r="N561" t="s">
        <v>278</v>
      </c>
      <c r="O561" t="s">
        <v>2200</v>
      </c>
      <c r="P561" t="s">
        <v>280</v>
      </c>
      <c r="Q561" t="s">
        <v>281</v>
      </c>
      <c r="R561" t="s">
        <v>282</v>
      </c>
      <c r="S561" t="s">
        <v>283</v>
      </c>
      <c r="T561" t="s">
        <v>313</v>
      </c>
      <c r="U561" t="s">
        <v>1086</v>
      </c>
      <c r="V561">
        <v>101</v>
      </c>
      <c r="W561">
        <v>12015</v>
      </c>
      <c r="X561">
        <v>245011</v>
      </c>
      <c r="Y561">
        <v>9999</v>
      </c>
      <c r="Z561">
        <v>950</v>
      </c>
      <c r="AA561">
        <v>999</v>
      </c>
      <c r="AB561">
        <v>9999</v>
      </c>
      <c r="AC561">
        <v>9999</v>
      </c>
      <c r="AD561" t="s">
        <v>1</v>
      </c>
      <c r="AE561" t="s">
        <v>2203</v>
      </c>
      <c r="AF561" t="s">
        <v>227</v>
      </c>
      <c r="AG561" t="s">
        <v>286</v>
      </c>
      <c r="AI561" t="s">
        <v>227</v>
      </c>
      <c r="AJ561">
        <v>45991</v>
      </c>
      <c r="AK561" t="s">
        <v>315</v>
      </c>
      <c r="AL561" t="s">
        <v>288</v>
      </c>
    </row>
    <row r="562" spans="1:38" x14ac:dyDescent="0.2">
      <c r="E562" t="s">
        <v>32</v>
      </c>
      <c r="F562" t="s">
        <v>2204</v>
      </c>
      <c r="G562" t="s">
        <v>2205</v>
      </c>
      <c r="H562" t="s">
        <v>12</v>
      </c>
      <c r="I562" t="s">
        <v>2193</v>
      </c>
      <c r="J562" s="91">
        <v>53727.360000000001</v>
      </c>
      <c r="K562" s="91">
        <v>53727.360000000001</v>
      </c>
      <c r="L562" s="91">
        <v>53727.360000000001</v>
      </c>
      <c r="M562" t="s">
        <v>278</v>
      </c>
      <c r="N562" t="s">
        <v>278</v>
      </c>
      <c r="O562" t="s">
        <v>2206</v>
      </c>
      <c r="P562" t="s">
        <v>280</v>
      </c>
      <c r="Q562" t="s">
        <v>281</v>
      </c>
      <c r="R562" t="s">
        <v>282</v>
      </c>
      <c r="S562" t="s">
        <v>283</v>
      </c>
      <c r="T562" t="s">
        <v>313</v>
      </c>
      <c r="U562" t="s">
        <v>1086</v>
      </c>
      <c r="V562">
        <v>101</v>
      </c>
      <c r="W562">
        <v>12015</v>
      </c>
      <c r="X562">
        <v>245011</v>
      </c>
      <c r="Y562">
        <v>9999</v>
      </c>
      <c r="Z562">
        <v>950</v>
      </c>
      <c r="AA562">
        <v>999</v>
      </c>
      <c r="AB562">
        <v>9999</v>
      </c>
      <c r="AC562">
        <v>9999</v>
      </c>
      <c r="AD562" t="s">
        <v>1</v>
      </c>
      <c r="AE562" t="s">
        <v>2203</v>
      </c>
      <c r="AF562" t="s">
        <v>227</v>
      </c>
      <c r="AG562" t="s">
        <v>286</v>
      </c>
      <c r="AI562" t="s">
        <v>227</v>
      </c>
      <c r="AJ562">
        <v>46022</v>
      </c>
      <c r="AK562" t="s">
        <v>315</v>
      </c>
      <c r="AL562" t="s">
        <v>288</v>
      </c>
    </row>
    <row r="563" spans="1:38" x14ac:dyDescent="0.2">
      <c r="E563" t="s">
        <v>32</v>
      </c>
      <c r="F563" t="s">
        <v>2207</v>
      </c>
      <c r="G563" t="s">
        <v>2208</v>
      </c>
      <c r="H563" t="s">
        <v>16</v>
      </c>
      <c r="I563" t="s">
        <v>2193</v>
      </c>
      <c r="J563" s="91">
        <v>456733.33</v>
      </c>
      <c r="K563" s="91">
        <v>456733.33</v>
      </c>
      <c r="L563" s="91">
        <v>456733.33</v>
      </c>
      <c r="M563" t="s">
        <v>278</v>
      </c>
      <c r="N563" t="s">
        <v>278</v>
      </c>
      <c r="O563" t="s">
        <v>2209</v>
      </c>
      <c r="P563" t="s">
        <v>280</v>
      </c>
      <c r="Q563" t="s">
        <v>281</v>
      </c>
      <c r="R563" t="s">
        <v>282</v>
      </c>
      <c r="S563" t="s">
        <v>283</v>
      </c>
      <c r="T563" t="s">
        <v>313</v>
      </c>
      <c r="U563" t="s">
        <v>381</v>
      </c>
      <c r="V563">
        <v>101</v>
      </c>
      <c r="W563">
        <v>12015</v>
      </c>
      <c r="X563">
        <v>245011</v>
      </c>
      <c r="Y563">
        <v>9999</v>
      </c>
      <c r="Z563">
        <v>999</v>
      </c>
      <c r="AA563">
        <v>999</v>
      </c>
      <c r="AB563">
        <v>9999</v>
      </c>
      <c r="AC563">
        <v>9999</v>
      </c>
      <c r="AD563" t="s">
        <v>1</v>
      </c>
      <c r="AE563" t="s">
        <v>2199</v>
      </c>
      <c r="AF563" t="s">
        <v>227</v>
      </c>
      <c r="AG563" t="s">
        <v>286</v>
      </c>
      <c r="AI563" t="s">
        <v>227</v>
      </c>
      <c r="AJ563">
        <v>46009</v>
      </c>
      <c r="AK563" t="s">
        <v>315</v>
      </c>
      <c r="AL563" t="s">
        <v>288</v>
      </c>
    </row>
    <row r="564" spans="1:38" x14ac:dyDescent="0.2">
      <c r="A564">
        <v>197</v>
      </c>
      <c r="B564" t="s">
        <v>51</v>
      </c>
      <c r="D564" t="s">
        <v>2210</v>
      </c>
      <c r="E564" t="s">
        <v>228</v>
      </c>
      <c r="F564" t="s">
        <v>2211</v>
      </c>
      <c r="G564" t="s">
        <v>2212</v>
      </c>
      <c r="H564" t="s">
        <v>12</v>
      </c>
      <c r="I564" t="s">
        <v>1990</v>
      </c>
      <c r="J564" s="91">
        <v>873613.93</v>
      </c>
      <c r="K564" s="91">
        <v>873613.93</v>
      </c>
      <c r="L564" s="91">
        <v>873613.93</v>
      </c>
      <c r="M564" t="s">
        <v>278</v>
      </c>
      <c r="N564" t="s">
        <v>278</v>
      </c>
      <c r="O564" t="s">
        <v>2213</v>
      </c>
      <c r="P564" t="s">
        <v>280</v>
      </c>
      <c r="Q564" t="s">
        <v>281</v>
      </c>
      <c r="R564" t="s">
        <v>282</v>
      </c>
      <c r="S564" t="s">
        <v>283</v>
      </c>
      <c r="T564" t="s">
        <v>313</v>
      </c>
      <c r="U564" t="s">
        <v>1287</v>
      </c>
      <c r="V564">
        <v>101</v>
      </c>
      <c r="W564">
        <v>12011</v>
      </c>
      <c r="X564">
        <v>245011</v>
      </c>
      <c r="Y564">
        <v>9999</v>
      </c>
      <c r="Z564">
        <v>999</v>
      </c>
      <c r="AA564">
        <v>999</v>
      </c>
      <c r="AB564">
        <v>9999</v>
      </c>
      <c r="AC564">
        <v>9999</v>
      </c>
      <c r="AD564" t="s">
        <v>1</v>
      </c>
      <c r="AE564" t="s">
        <v>227</v>
      </c>
      <c r="AF564" t="s">
        <v>227</v>
      </c>
      <c r="AG564" t="s">
        <v>286</v>
      </c>
      <c r="AI564" t="s">
        <v>227</v>
      </c>
      <c r="AJ564">
        <v>45838</v>
      </c>
      <c r="AK564" t="s">
        <v>287</v>
      </c>
      <c r="AL564" t="s">
        <v>288</v>
      </c>
    </row>
    <row r="565" spans="1:38" x14ac:dyDescent="0.2">
      <c r="A565">
        <v>197</v>
      </c>
      <c r="B565" t="s">
        <v>51</v>
      </c>
      <c r="D565" t="s">
        <v>2210</v>
      </c>
      <c r="E565" t="s">
        <v>228</v>
      </c>
      <c r="F565" t="s">
        <v>2211</v>
      </c>
      <c r="G565" t="s">
        <v>2212</v>
      </c>
      <c r="H565" t="s">
        <v>12</v>
      </c>
      <c r="I565" t="s">
        <v>1990</v>
      </c>
      <c r="J565" s="91">
        <v>-875729.85</v>
      </c>
      <c r="K565" s="91">
        <v>-875729.85</v>
      </c>
      <c r="L565" s="91">
        <v>-875729.85</v>
      </c>
      <c r="M565" t="s">
        <v>278</v>
      </c>
      <c r="N565" t="s">
        <v>278</v>
      </c>
      <c r="O565" t="s">
        <v>2213</v>
      </c>
      <c r="P565" t="s">
        <v>280</v>
      </c>
      <c r="Q565" t="s">
        <v>281</v>
      </c>
      <c r="R565" t="s">
        <v>282</v>
      </c>
      <c r="S565" t="s">
        <v>283</v>
      </c>
      <c r="T565" t="s">
        <v>313</v>
      </c>
      <c r="U565" t="s">
        <v>1287</v>
      </c>
      <c r="V565">
        <v>101</v>
      </c>
      <c r="W565">
        <v>12011</v>
      </c>
      <c r="X565">
        <v>245011</v>
      </c>
      <c r="Y565">
        <v>9999</v>
      </c>
      <c r="Z565">
        <v>999</v>
      </c>
      <c r="AA565">
        <v>999</v>
      </c>
      <c r="AB565">
        <v>9999</v>
      </c>
      <c r="AC565">
        <v>9999</v>
      </c>
      <c r="AD565" t="s">
        <v>1</v>
      </c>
      <c r="AE565" t="s">
        <v>227</v>
      </c>
      <c r="AF565" t="s">
        <v>227</v>
      </c>
      <c r="AG565" t="s">
        <v>286</v>
      </c>
      <c r="AI565" t="s">
        <v>227</v>
      </c>
      <c r="AJ565">
        <v>45838</v>
      </c>
      <c r="AK565" t="s">
        <v>287</v>
      </c>
      <c r="AL565" t="s">
        <v>288</v>
      </c>
    </row>
    <row r="566" spans="1:38" x14ac:dyDescent="0.2">
      <c r="E566" t="s">
        <v>228</v>
      </c>
      <c r="F566" t="s">
        <v>2214</v>
      </c>
      <c r="G566" t="s">
        <v>2215</v>
      </c>
      <c r="H566" t="s">
        <v>12</v>
      </c>
      <c r="I566" t="s">
        <v>2193</v>
      </c>
      <c r="J566" s="91">
        <v>875729.85</v>
      </c>
      <c r="K566" s="91">
        <v>875729.85</v>
      </c>
      <c r="L566" s="91">
        <v>875729.85</v>
      </c>
      <c r="M566" t="s">
        <v>278</v>
      </c>
      <c r="N566" t="s">
        <v>278</v>
      </c>
      <c r="O566" t="s">
        <v>2216</v>
      </c>
      <c r="P566" t="s">
        <v>280</v>
      </c>
      <c r="Q566" t="s">
        <v>281</v>
      </c>
      <c r="R566" t="s">
        <v>282</v>
      </c>
      <c r="S566" t="s">
        <v>283</v>
      </c>
      <c r="T566" t="s">
        <v>313</v>
      </c>
      <c r="U566" t="s">
        <v>1287</v>
      </c>
      <c r="V566">
        <v>101</v>
      </c>
      <c r="W566">
        <v>12011</v>
      </c>
      <c r="X566">
        <v>245011</v>
      </c>
      <c r="Y566">
        <v>9999</v>
      </c>
      <c r="Z566">
        <v>999</v>
      </c>
      <c r="AA566">
        <v>999</v>
      </c>
      <c r="AB566">
        <v>9999</v>
      </c>
      <c r="AC566">
        <v>9999</v>
      </c>
      <c r="AD566" t="s">
        <v>1</v>
      </c>
      <c r="AE566" t="s">
        <v>227</v>
      </c>
      <c r="AF566" t="s">
        <v>227</v>
      </c>
      <c r="AG566" t="s">
        <v>286</v>
      </c>
      <c r="AI566" t="s">
        <v>227</v>
      </c>
      <c r="AJ566">
        <v>46022</v>
      </c>
      <c r="AK566" t="s">
        <v>287</v>
      </c>
      <c r="AL566" t="s">
        <v>288</v>
      </c>
    </row>
    <row r="567" spans="1:38" x14ac:dyDescent="0.2">
      <c r="E567" t="s">
        <v>228</v>
      </c>
      <c r="F567" t="s">
        <v>2214</v>
      </c>
      <c r="G567" t="s">
        <v>2215</v>
      </c>
      <c r="H567" t="s">
        <v>12</v>
      </c>
      <c r="I567" t="s">
        <v>2193</v>
      </c>
      <c r="J567" s="91">
        <v>-873613.93</v>
      </c>
      <c r="K567" s="91">
        <v>-873613.93</v>
      </c>
      <c r="L567" s="91">
        <v>-873613.93</v>
      </c>
      <c r="M567" t="s">
        <v>278</v>
      </c>
      <c r="N567" t="s">
        <v>278</v>
      </c>
      <c r="O567" t="s">
        <v>2216</v>
      </c>
      <c r="P567" t="s">
        <v>280</v>
      </c>
      <c r="Q567" t="s">
        <v>281</v>
      </c>
      <c r="R567" t="s">
        <v>282</v>
      </c>
      <c r="S567" t="s">
        <v>283</v>
      </c>
      <c r="T567" t="s">
        <v>313</v>
      </c>
      <c r="U567" t="s">
        <v>1287</v>
      </c>
      <c r="V567">
        <v>101</v>
      </c>
      <c r="W567">
        <v>12011</v>
      </c>
      <c r="X567">
        <v>245011</v>
      </c>
      <c r="Y567">
        <v>9999</v>
      </c>
      <c r="Z567">
        <v>999</v>
      </c>
      <c r="AA567">
        <v>999</v>
      </c>
      <c r="AB567">
        <v>9999</v>
      </c>
      <c r="AC567">
        <v>9999</v>
      </c>
      <c r="AD567" t="s">
        <v>1</v>
      </c>
      <c r="AE567" t="s">
        <v>227</v>
      </c>
      <c r="AF567" t="s">
        <v>227</v>
      </c>
      <c r="AG567" t="s">
        <v>286</v>
      </c>
      <c r="AI567" t="s">
        <v>227</v>
      </c>
      <c r="AJ567">
        <v>46022</v>
      </c>
      <c r="AK567" t="s">
        <v>287</v>
      </c>
      <c r="AL567" t="s">
        <v>288</v>
      </c>
    </row>
    <row r="568" spans="1:38" x14ac:dyDescent="0.2">
      <c r="A568">
        <v>623</v>
      </c>
      <c r="B568" t="s">
        <v>54</v>
      </c>
      <c r="D568" t="s">
        <v>2217</v>
      </c>
      <c r="E568" t="s">
        <v>38</v>
      </c>
      <c r="F568" t="s">
        <v>2218</v>
      </c>
      <c r="G568" t="s">
        <v>2219</v>
      </c>
      <c r="H568" t="s">
        <v>26</v>
      </c>
      <c r="I568" t="s">
        <v>1102</v>
      </c>
      <c r="J568" s="91">
        <v>97752</v>
      </c>
      <c r="K568" s="91">
        <v>97752</v>
      </c>
      <c r="L568" s="91">
        <v>97752</v>
      </c>
      <c r="M568" t="s">
        <v>278</v>
      </c>
      <c r="N568" t="s">
        <v>278</v>
      </c>
      <c r="O568" t="s">
        <v>2220</v>
      </c>
      <c r="P568" t="s">
        <v>280</v>
      </c>
      <c r="Q568" t="s">
        <v>281</v>
      </c>
      <c r="R568" t="s">
        <v>282</v>
      </c>
      <c r="S568" t="s">
        <v>283</v>
      </c>
      <c r="T568" t="s">
        <v>313</v>
      </c>
      <c r="U568" t="s">
        <v>443</v>
      </c>
      <c r="V568">
        <v>101</v>
      </c>
      <c r="W568">
        <v>11023</v>
      </c>
      <c r="X568">
        <v>245011</v>
      </c>
      <c r="Y568">
        <v>9999</v>
      </c>
      <c r="Z568">
        <v>999</v>
      </c>
      <c r="AA568">
        <v>999</v>
      </c>
      <c r="AB568">
        <v>9999</v>
      </c>
      <c r="AC568">
        <v>9999</v>
      </c>
      <c r="AD568" t="s">
        <v>1</v>
      </c>
      <c r="AE568" t="s">
        <v>227</v>
      </c>
      <c r="AF568" t="s">
        <v>227</v>
      </c>
      <c r="AG568" t="s">
        <v>286</v>
      </c>
      <c r="AI568" t="s">
        <v>227</v>
      </c>
      <c r="AJ568">
        <v>45412</v>
      </c>
      <c r="AK568" t="s">
        <v>315</v>
      </c>
      <c r="AL568" t="s">
        <v>288</v>
      </c>
    </row>
    <row r="569" spans="1:38" x14ac:dyDescent="0.2">
      <c r="A569">
        <v>378</v>
      </c>
      <c r="B569" t="s">
        <v>54</v>
      </c>
      <c r="D569" t="s">
        <v>2217</v>
      </c>
      <c r="E569" t="s">
        <v>38</v>
      </c>
      <c r="F569" t="s">
        <v>2221</v>
      </c>
      <c r="G569" t="s">
        <v>2221</v>
      </c>
      <c r="H569" t="s">
        <v>26</v>
      </c>
      <c r="I569" t="s">
        <v>303</v>
      </c>
      <c r="J569" s="91">
        <v>-33084</v>
      </c>
      <c r="K569" s="91">
        <v>-33084</v>
      </c>
      <c r="L569" s="91">
        <v>-33084</v>
      </c>
      <c r="M569" t="s">
        <v>278</v>
      </c>
      <c r="N569" t="s">
        <v>278</v>
      </c>
      <c r="O569" t="s">
        <v>2220</v>
      </c>
      <c r="P569" t="s">
        <v>280</v>
      </c>
      <c r="Q569" t="s">
        <v>281</v>
      </c>
      <c r="R569" t="s">
        <v>282</v>
      </c>
      <c r="S569" t="s">
        <v>283</v>
      </c>
      <c r="T569" t="s">
        <v>313</v>
      </c>
      <c r="U569" t="s">
        <v>443</v>
      </c>
      <c r="V569">
        <v>101</v>
      </c>
      <c r="W569">
        <v>11023</v>
      </c>
      <c r="X569">
        <v>245011</v>
      </c>
      <c r="Y569">
        <v>9999</v>
      </c>
      <c r="Z569">
        <v>999</v>
      </c>
      <c r="AA569">
        <v>999</v>
      </c>
      <c r="AB569">
        <v>9999</v>
      </c>
      <c r="AC569">
        <v>9999</v>
      </c>
      <c r="AD569" t="s">
        <v>1</v>
      </c>
      <c r="AE569" t="s">
        <v>227</v>
      </c>
      <c r="AF569" t="s">
        <v>227</v>
      </c>
      <c r="AG569" t="s">
        <v>286</v>
      </c>
      <c r="AI569" t="s">
        <v>227</v>
      </c>
      <c r="AJ569">
        <v>45657</v>
      </c>
      <c r="AK569" t="s">
        <v>1728</v>
      </c>
      <c r="AL569" t="s">
        <v>288</v>
      </c>
    </row>
    <row r="570" spans="1:38" x14ac:dyDescent="0.2">
      <c r="E570" t="s">
        <v>38</v>
      </c>
      <c r="F570" t="s">
        <v>2222</v>
      </c>
      <c r="G570" t="s">
        <v>2223</v>
      </c>
      <c r="H570" t="s">
        <v>16</v>
      </c>
      <c r="I570" t="s">
        <v>2193</v>
      </c>
      <c r="J570" s="91">
        <v>-97752</v>
      </c>
      <c r="K570" s="91">
        <v>-97752</v>
      </c>
      <c r="L570" s="91">
        <v>-97752</v>
      </c>
      <c r="M570" t="s">
        <v>278</v>
      </c>
      <c r="N570" t="s">
        <v>278</v>
      </c>
      <c r="O570" t="s">
        <v>2224</v>
      </c>
      <c r="P570" t="s">
        <v>280</v>
      </c>
      <c r="Q570" t="s">
        <v>281</v>
      </c>
      <c r="R570" t="s">
        <v>282</v>
      </c>
      <c r="S570" t="s">
        <v>283</v>
      </c>
      <c r="T570" t="s">
        <v>313</v>
      </c>
      <c r="U570" t="s">
        <v>443</v>
      </c>
      <c r="V570">
        <v>101</v>
      </c>
      <c r="W570">
        <v>11023</v>
      </c>
      <c r="X570">
        <v>245011</v>
      </c>
      <c r="Y570">
        <v>9999</v>
      </c>
      <c r="Z570">
        <v>999</v>
      </c>
      <c r="AA570">
        <v>999</v>
      </c>
      <c r="AB570">
        <v>9999</v>
      </c>
      <c r="AC570">
        <v>9999</v>
      </c>
      <c r="AD570" t="s">
        <v>1</v>
      </c>
      <c r="AE570" t="s">
        <v>227</v>
      </c>
      <c r="AF570" t="s">
        <v>227</v>
      </c>
      <c r="AG570" t="s">
        <v>286</v>
      </c>
      <c r="AI570" t="s">
        <v>227</v>
      </c>
      <c r="AJ570">
        <v>46022</v>
      </c>
      <c r="AK570" t="s">
        <v>315</v>
      </c>
      <c r="AL570" t="s">
        <v>288</v>
      </c>
    </row>
    <row r="571" spans="1:38" x14ac:dyDescent="0.2">
      <c r="E571" t="s">
        <v>38</v>
      </c>
      <c r="F571" t="s">
        <v>2225</v>
      </c>
      <c r="G571" t="s">
        <v>2226</v>
      </c>
      <c r="H571" t="s">
        <v>16</v>
      </c>
      <c r="I571" t="s">
        <v>2193</v>
      </c>
      <c r="J571" s="91">
        <v>33084</v>
      </c>
      <c r="K571" s="91">
        <v>33084</v>
      </c>
      <c r="L571" s="91">
        <v>33084</v>
      </c>
      <c r="M571" t="s">
        <v>278</v>
      </c>
      <c r="N571" t="s">
        <v>278</v>
      </c>
      <c r="O571" t="s">
        <v>2227</v>
      </c>
      <c r="P571" t="s">
        <v>280</v>
      </c>
      <c r="Q571" t="s">
        <v>281</v>
      </c>
      <c r="R571" t="s">
        <v>282</v>
      </c>
      <c r="S571" t="s">
        <v>283</v>
      </c>
      <c r="T571" t="s">
        <v>313</v>
      </c>
      <c r="U571" t="s">
        <v>443</v>
      </c>
      <c r="V571">
        <v>101</v>
      </c>
      <c r="W571">
        <v>11023</v>
      </c>
      <c r="X571">
        <v>245011</v>
      </c>
      <c r="Y571">
        <v>9999</v>
      </c>
      <c r="Z571">
        <v>999</v>
      </c>
      <c r="AA571">
        <v>999</v>
      </c>
      <c r="AB571">
        <v>9999</v>
      </c>
      <c r="AC571">
        <v>9999</v>
      </c>
      <c r="AD571" t="s">
        <v>1</v>
      </c>
      <c r="AE571" t="s">
        <v>227</v>
      </c>
      <c r="AF571" t="s">
        <v>227</v>
      </c>
      <c r="AG571" t="s">
        <v>286</v>
      </c>
      <c r="AI571" t="s">
        <v>227</v>
      </c>
      <c r="AJ571">
        <v>46022</v>
      </c>
      <c r="AK571" t="s">
        <v>1728</v>
      </c>
      <c r="AL571" t="s">
        <v>288</v>
      </c>
    </row>
    <row r="572" spans="1:38" x14ac:dyDescent="0.2">
      <c r="A572">
        <v>44</v>
      </c>
      <c r="B572" t="s">
        <v>47</v>
      </c>
      <c r="D572" t="s">
        <v>2228</v>
      </c>
      <c r="E572" t="s">
        <v>35</v>
      </c>
      <c r="F572" t="s">
        <v>2229</v>
      </c>
      <c r="G572" t="s">
        <v>2230</v>
      </c>
      <c r="H572" t="s">
        <v>19</v>
      </c>
      <c r="I572" t="s">
        <v>351</v>
      </c>
      <c r="J572" s="91">
        <v>1824046.0800000001</v>
      </c>
      <c r="K572" s="91">
        <v>1824046.0800000001</v>
      </c>
      <c r="L572" s="91">
        <v>1824046.0800000001</v>
      </c>
      <c r="M572" t="s">
        <v>278</v>
      </c>
      <c r="N572" t="s">
        <v>278</v>
      </c>
      <c r="O572" t="s">
        <v>2231</v>
      </c>
      <c r="P572" t="s">
        <v>280</v>
      </c>
      <c r="Q572" t="s">
        <v>281</v>
      </c>
      <c r="R572" t="s">
        <v>282</v>
      </c>
      <c r="S572" t="s">
        <v>283</v>
      </c>
      <c r="T572" t="s">
        <v>366</v>
      </c>
      <c r="U572" t="s">
        <v>490</v>
      </c>
      <c r="V572">
        <v>101</v>
      </c>
      <c r="W572">
        <v>11010</v>
      </c>
      <c r="X572">
        <v>245011</v>
      </c>
      <c r="Y572">
        <v>9999</v>
      </c>
      <c r="Z572">
        <v>999</v>
      </c>
      <c r="AA572">
        <v>999</v>
      </c>
      <c r="AB572">
        <v>9999</v>
      </c>
      <c r="AC572">
        <v>9999</v>
      </c>
      <c r="AD572" t="s">
        <v>1</v>
      </c>
      <c r="AE572" t="s">
        <v>227</v>
      </c>
      <c r="AF572" t="s">
        <v>227</v>
      </c>
      <c r="AG572" t="s">
        <v>286</v>
      </c>
      <c r="AI572" t="s">
        <v>227</v>
      </c>
      <c r="AJ572">
        <v>45991</v>
      </c>
      <c r="AK572" t="s">
        <v>315</v>
      </c>
      <c r="AL572" t="s">
        <v>288</v>
      </c>
    </row>
    <row r="573" spans="1:38" x14ac:dyDescent="0.2">
      <c r="E573" t="s">
        <v>35</v>
      </c>
      <c r="F573" t="s">
        <v>2232</v>
      </c>
      <c r="G573" t="s">
        <v>2233</v>
      </c>
      <c r="H573" t="s">
        <v>19</v>
      </c>
      <c r="I573" t="s">
        <v>2193</v>
      </c>
      <c r="J573" s="91">
        <v>-1824046.0800000001</v>
      </c>
      <c r="K573" s="91">
        <v>-1824046.0800000001</v>
      </c>
      <c r="L573" s="91">
        <v>-1824046.0800000001</v>
      </c>
      <c r="M573" t="s">
        <v>278</v>
      </c>
      <c r="N573" t="s">
        <v>278</v>
      </c>
      <c r="O573" t="s">
        <v>2234</v>
      </c>
      <c r="P573" t="s">
        <v>280</v>
      </c>
      <c r="Q573" t="s">
        <v>281</v>
      </c>
      <c r="R573" t="s">
        <v>282</v>
      </c>
      <c r="S573" t="s">
        <v>283</v>
      </c>
      <c r="T573" t="s">
        <v>366</v>
      </c>
      <c r="U573" t="s">
        <v>490</v>
      </c>
      <c r="V573">
        <v>101</v>
      </c>
      <c r="W573">
        <v>11010</v>
      </c>
      <c r="X573">
        <v>245011</v>
      </c>
      <c r="Y573">
        <v>9999</v>
      </c>
      <c r="Z573">
        <v>999</v>
      </c>
      <c r="AA573">
        <v>999</v>
      </c>
      <c r="AB573">
        <v>9999</v>
      </c>
      <c r="AC573">
        <v>9999</v>
      </c>
      <c r="AD573" t="s">
        <v>1</v>
      </c>
      <c r="AE573" t="s">
        <v>227</v>
      </c>
      <c r="AF573" t="s">
        <v>227</v>
      </c>
      <c r="AG573" t="s">
        <v>286</v>
      </c>
      <c r="AI573" t="s">
        <v>227</v>
      </c>
      <c r="AJ573">
        <v>46022</v>
      </c>
      <c r="AK573" t="s">
        <v>287</v>
      </c>
      <c r="AL573" t="s">
        <v>288</v>
      </c>
    </row>
    <row r="574" spans="1:38" x14ac:dyDescent="0.2">
      <c r="A574">
        <v>44</v>
      </c>
      <c r="B574" t="s">
        <v>47</v>
      </c>
      <c r="D574" t="s">
        <v>2235</v>
      </c>
      <c r="E574" t="s">
        <v>11</v>
      </c>
      <c r="F574" t="s">
        <v>2236</v>
      </c>
      <c r="G574" t="s">
        <v>2237</v>
      </c>
      <c r="H574" t="s">
        <v>26</v>
      </c>
      <c r="I574" t="s">
        <v>351</v>
      </c>
      <c r="J574" s="91">
        <v>-2486060</v>
      </c>
      <c r="K574" s="91">
        <v>-2486060</v>
      </c>
      <c r="L574" s="91">
        <v>-2486060</v>
      </c>
      <c r="M574" t="s">
        <v>278</v>
      </c>
      <c r="N574" t="s">
        <v>278</v>
      </c>
      <c r="O574" t="s">
        <v>2238</v>
      </c>
      <c r="P574" t="s">
        <v>280</v>
      </c>
      <c r="Q574" t="s">
        <v>281</v>
      </c>
      <c r="R574" t="s">
        <v>282</v>
      </c>
      <c r="S574" t="s">
        <v>283</v>
      </c>
      <c r="T574" t="s">
        <v>284</v>
      </c>
      <c r="U574" t="s">
        <v>285</v>
      </c>
      <c r="V574">
        <v>101</v>
      </c>
      <c r="W574">
        <v>12012</v>
      </c>
      <c r="X574">
        <v>245011</v>
      </c>
      <c r="Y574">
        <v>9999</v>
      </c>
      <c r="Z574">
        <v>999</v>
      </c>
      <c r="AA574">
        <v>999</v>
      </c>
      <c r="AB574">
        <v>9999</v>
      </c>
      <c r="AC574">
        <v>9999</v>
      </c>
      <c r="AD574" t="s">
        <v>1</v>
      </c>
      <c r="AE574" t="s">
        <v>227</v>
      </c>
      <c r="AF574" t="s">
        <v>227</v>
      </c>
      <c r="AG574" t="s">
        <v>286</v>
      </c>
      <c r="AI574" t="s">
        <v>227</v>
      </c>
      <c r="AJ574">
        <v>45991</v>
      </c>
      <c r="AK574" t="s">
        <v>315</v>
      </c>
      <c r="AL574" t="s">
        <v>288</v>
      </c>
    </row>
    <row r="575" spans="1:38" x14ac:dyDescent="0.2">
      <c r="E575" t="s">
        <v>11</v>
      </c>
      <c r="F575" t="s">
        <v>2239</v>
      </c>
      <c r="G575" t="s">
        <v>2240</v>
      </c>
      <c r="H575" t="s">
        <v>26</v>
      </c>
      <c r="I575" t="s">
        <v>2193</v>
      </c>
      <c r="J575" s="91">
        <v>2486060</v>
      </c>
      <c r="K575" s="91">
        <v>2486060</v>
      </c>
      <c r="L575" s="91">
        <v>2486060</v>
      </c>
      <c r="M575" t="s">
        <v>278</v>
      </c>
      <c r="N575" t="s">
        <v>278</v>
      </c>
      <c r="O575" t="s">
        <v>2241</v>
      </c>
      <c r="P575" t="s">
        <v>280</v>
      </c>
      <c r="Q575" t="s">
        <v>281</v>
      </c>
      <c r="R575" t="s">
        <v>282</v>
      </c>
      <c r="S575" t="s">
        <v>283</v>
      </c>
      <c r="T575" t="s">
        <v>284</v>
      </c>
      <c r="U575" t="s">
        <v>285</v>
      </c>
      <c r="V575">
        <v>101</v>
      </c>
      <c r="W575">
        <v>12012</v>
      </c>
      <c r="X575">
        <v>245011</v>
      </c>
      <c r="Y575">
        <v>9999</v>
      </c>
      <c r="Z575">
        <v>999</v>
      </c>
      <c r="AA575">
        <v>999</v>
      </c>
      <c r="AB575">
        <v>9999</v>
      </c>
      <c r="AC575">
        <v>9999</v>
      </c>
      <c r="AD575" t="s">
        <v>1</v>
      </c>
      <c r="AE575" t="s">
        <v>227</v>
      </c>
      <c r="AF575" t="s">
        <v>227</v>
      </c>
      <c r="AG575" t="s">
        <v>286</v>
      </c>
      <c r="AI575" t="s">
        <v>227</v>
      </c>
      <c r="AJ575">
        <v>46007</v>
      </c>
      <c r="AK575" t="s">
        <v>315</v>
      </c>
      <c r="AL575" t="s">
        <v>288</v>
      </c>
    </row>
    <row r="576" spans="1:38" x14ac:dyDescent="0.2">
      <c r="A576">
        <v>44</v>
      </c>
      <c r="B576" t="s">
        <v>47</v>
      </c>
      <c r="D576" t="s">
        <v>2235</v>
      </c>
      <c r="E576" t="s">
        <v>68</v>
      </c>
      <c r="F576" t="s">
        <v>2242</v>
      </c>
      <c r="G576" t="s">
        <v>2243</v>
      </c>
      <c r="H576" t="s">
        <v>2244</v>
      </c>
      <c r="I576" t="s">
        <v>351</v>
      </c>
      <c r="J576" s="91">
        <v>-561097.82000000007</v>
      </c>
      <c r="K576" s="91">
        <v>-561097.82000000007</v>
      </c>
      <c r="L576" s="91">
        <v>-561097.82000000007</v>
      </c>
      <c r="M576" t="s">
        <v>278</v>
      </c>
      <c r="N576" t="s">
        <v>278</v>
      </c>
      <c r="O576" t="s">
        <v>2245</v>
      </c>
      <c r="P576" t="s">
        <v>280</v>
      </c>
      <c r="Q576" t="s">
        <v>281</v>
      </c>
      <c r="R576" t="s">
        <v>282</v>
      </c>
      <c r="S576" t="s">
        <v>283</v>
      </c>
      <c r="T576" t="s">
        <v>284</v>
      </c>
      <c r="U576" t="s">
        <v>547</v>
      </c>
      <c r="V576">
        <v>101</v>
      </c>
      <c r="W576">
        <v>12022</v>
      </c>
      <c r="X576">
        <v>245011</v>
      </c>
      <c r="Y576">
        <v>9999</v>
      </c>
      <c r="Z576">
        <v>999</v>
      </c>
      <c r="AA576">
        <v>999</v>
      </c>
      <c r="AB576">
        <v>9999</v>
      </c>
      <c r="AC576">
        <v>9999</v>
      </c>
      <c r="AD576" t="s">
        <v>1</v>
      </c>
      <c r="AE576" t="s">
        <v>227</v>
      </c>
      <c r="AF576" t="s">
        <v>227</v>
      </c>
      <c r="AG576" t="s">
        <v>286</v>
      </c>
      <c r="AI576" t="s">
        <v>227</v>
      </c>
      <c r="AJ576">
        <v>45991</v>
      </c>
      <c r="AK576" t="s">
        <v>287</v>
      </c>
      <c r="AL576" t="s">
        <v>288</v>
      </c>
    </row>
    <row r="577" spans="1:38" x14ac:dyDescent="0.2">
      <c r="E577" t="s">
        <v>68</v>
      </c>
      <c r="F577" t="s">
        <v>2246</v>
      </c>
      <c r="G577" t="s">
        <v>2247</v>
      </c>
      <c r="H577" t="s">
        <v>2244</v>
      </c>
      <c r="I577" t="s">
        <v>2193</v>
      </c>
      <c r="J577" s="91">
        <v>561097.82000000007</v>
      </c>
      <c r="K577" s="91">
        <v>561097.82000000007</v>
      </c>
      <c r="L577" s="91">
        <v>561097.82000000007</v>
      </c>
      <c r="M577" t="s">
        <v>278</v>
      </c>
      <c r="N577" t="s">
        <v>278</v>
      </c>
      <c r="O577" t="s">
        <v>2248</v>
      </c>
      <c r="P577" t="s">
        <v>280</v>
      </c>
      <c r="Q577" t="s">
        <v>281</v>
      </c>
      <c r="R577" t="s">
        <v>282</v>
      </c>
      <c r="S577" t="s">
        <v>283</v>
      </c>
      <c r="T577" t="s">
        <v>284</v>
      </c>
      <c r="U577" t="s">
        <v>547</v>
      </c>
      <c r="V577">
        <v>101</v>
      </c>
      <c r="W577">
        <v>12022</v>
      </c>
      <c r="X577">
        <v>245011</v>
      </c>
      <c r="Y577">
        <v>9999</v>
      </c>
      <c r="Z577">
        <v>999</v>
      </c>
      <c r="AA577">
        <v>999</v>
      </c>
      <c r="AB577">
        <v>9999</v>
      </c>
      <c r="AC577">
        <v>9999</v>
      </c>
      <c r="AD577" t="s">
        <v>1</v>
      </c>
      <c r="AE577" t="s">
        <v>227</v>
      </c>
      <c r="AF577" t="s">
        <v>227</v>
      </c>
      <c r="AG577" t="s">
        <v>286</v>
      </c>
      <c r="AI577" t="s">
        <v>227</v>
      </c>
      <c r="AJ577">
        <v>45995</v>
      </c>
      <c r="AK577" t="s">
        <v>287</v>
      </c>
      <c r="AL577" t="s">
        <v>288</v>
      </c>
    </row>
    <row r="578" spans="1:38" x14ac:dyDescent="0.2">
      <c r="E578" t="s">
        <v>68</v>
      </c>
      <c r="F578" t="s">
        <v>2249</v>
      </c>
      <c r="G578" t="s">
        <v>2250</v>
      </c>
      <c r="H578" t="s">
        <v>16</v>
      </c>
      <c r="I578" t="s">
        <v>2193</v>
      </c>
      <c r="J578" s="91">
        <v>556260.69000000006</v>
      </c>
      <c r="K578" s="91">
        <v>556260.69000000006</v>
      </c>
      <c r="L578" s="91">
        <v>556260.69000000006</v>
      </c>
      <c r="M578" t="s">
        <v>278</v>
      </c>
      <c r="N578" t="s">
        <v>278</v>
      </c>
      <c r="O578" t="s">
        <v>2251</v>
      </c>
      <c r="P578" t="s">
        <v>280</v>
      </c>
      <c r="Q578" t="s">
        <v>281</v>
      </c>
      <c r="R578" t="s">
        <v>282</v>
      </c>
      <c r="S578" t="s">
        <v>283</v>
      </c>
      <c r="T578" t="s">
        <v>284</v>
      </c>
      <c r="U578" t="s">
        <v>547</v>
      </c>
      <c r="V578">
        <v>101</v>
      </c>
      <c r="W578">
        <v>12022</v>
      </c>
      <c r="X578">
        <v>245011</v>
      </c>
      <c r="Y578">
        <v>9999</v>
      </c>
      <c r="Z578">
        <v>999</v>
      </c>
      <c r="AA578">
        <v>999</v>
      </c>
      <c r="AB578">
        <v>9999</v>
      </c>
      <c r="AC578">
        <v>9999</v>
      </c>
      <c r="AD578" t="s">
        <v>1</v>
      </c>
      <c r="AE578" t="s">
        <v>227</v>
      </c>
      <c r="AF578" t="s">
        <v>227</v>
      </c>
      <c r="AG578" t="s">
        <v>286</v>
      </c>
      <c r="AI578" t="s">
        <v>227</v>
      </c>
      <c r="AJ578">
        <v>46022</v>
      </c>
      <c r="AK578" t="s">
        <v>287</v>
      </c>
      <c r="AL578" t="s">
        <v>288</v>
      </c>
    </row>
    <row r="579" spans="1:38" x14ac:dyDescent="0.2">
      <c r="E579" t="s">
        <v>68</v>
      </c>
      <c r="F579" t="s">
        <v>2252</v>
      </c>
      <c r="G579" t="s">
        <v>2253</v>
      </c>
      <c r="H579" t="s">
        <v>16</v>
      </c>
      <c r="I579" t="s">
        <v>2193</v>
      </c>
      <c r="J579" s="91">
        <v>-556260.69000000006</v>
      </c>
      <c r="K579" s="91">
        <v>-556260.69000000006</v>
      </c>
      <c r="L579" s="91">
        <v>-556260.69000000006</v>
      </c>
      <c r="M579" t="s">
        <v>278</v>
      </c>
      <c r="N579" t="s">
        <v>278</v>
      </c>
      <c r="O579" t="s">
        <v>2254</v>
      </c>
      <c r="P579" t="s">
        <v>280</v>
      </c>
      <c r="Q579" t="s">
        <v>281</v>
      </c>
      <c r="R579" t="s">
        <v>282</v>
      </c>
      <c r="S579" t="s">
        <v>283</v>
      </c>
      <c r="T579" t="s">
        <v>284</v>
      </c>
      <c r="U579" t="s">
        <v>547</v>
      </c>
      <c r="V579">
        <v>101</v>
      </c>
      <c r="W579">
        <v>12022</v>
      </c>
      <c r="X579">
        <v>245011</v>
      </c>
      <c r="Y579">
        <v>9999</v>
      </c>
      <c r="Z579">
        <v>999</v>
      </c>
      <c r="AA579">
        <v>999</v>
      </c>
      <c r="AB579">
        <v>9999</v>
      </c>
      <c r="AC579">
        <v>9999</v>
      </c>
      <c r="AD579" t="s">
        <v>1</v>
      </c>
      <c r="AE579" t="s">
        <v>227</v>
      </c>
      <c r="AF579" t="s">
        <v>227</v>
      </c>
      <c r="AG579" t="s">
        <v>286</v>
      </c>
      <c r="AI579" t="s">
        <v>227</v>
      </c>
      <c r="AJ579">
        <v>46022</v>
      </c>
      <c r="AK579" t="s">
        <v>287</v>
      </c>
      <c r="AL579" t="s">
        <v>288</v>
      </c>
    </row>
    <row r="580" spans="1:38" x14ac:dyDescent="0.2">
      <c r="A580">
        <v>44</v>
      </c>
      <c r="B580" t="s">
        <v>47</v>
      </c>
      <c r="D580" t="s">
        <v>2255</v>
      </c>
      <c r="E580" t="s">
        <v>2256</v>
      </c>
      <c r="F580" t="s">
        <v>2257</v>
      </c>
      <c r="G580" t="s">
        <v>2258</v>
      </c>
      <c r="H580" t="s">
        <v>19</v>
      </c>
      <c r="I580" t="s">
        <v>351</v>
      </c>
      <c r="J580" s="91">
        <v>3122192.7</v>
      </c>
      <c r="K580" s="91">
        <v>3122192.7</v>
      </c>
      <c r="L580" s="91">
        <v>3122192.7</v>
      </c>
      <c r="M580" t="s">
        <v>278</v>
      </c>
      <c r="N580" t="s">
        <v>278</v>
      </c>
      <c r="O580" t="s">
        <v>2259</v>
      </c>
      <c r="P580" t="s">
        <v>280</v>
      </c>
      <c r="Q580" t="s">
        <v>281</v>
      </c>
      <c r="R580" t="s">
        <v>282</v>
      </c>
      <c r="S580" t="s">
        <v>294</v>
      </c>
      <c r="T580" t="s">
        <v>295</v>
      </c>
      <c r="U580" t="s">
        <v>2260</v>
      </c>
      <c r="V580">
        <v>101</v>
      </c>
      <c r="W580">
        <v>13019</v>
      </c>
      <c r="X580">
        <v>245011</v>
      </c>
      <c r="Y580">
        <v>9999</v>
      </c>
      <c r="Z580">
        <v>999</v>
      </c>
      <c r="AA580">
        <v>999</v>
      </c>
      <c r="AB580">
        <v>9999</v>
      </c>
      <c r="AC580">
        <v>9999</v>
      </c>
      <c r="AD580" t="s">
        <v>1</v>
      </c>
      <c r="AE580" t="s">
        <v>227</v>
      </c>
      <c r="AF580" t="s">
        <v>227</v>
      </c>
      <c r="AG580" t="s">
        <v>286</v>
      </c>
      <c r="AI580" t="s">
        <v>227</v>
      </c>
      <c r="AJ580">
        <v>45991</v>
      </c>
      <c r="AK580" t="s">
        <v>287</v>
      </c>
      <c r="AL580" t="s">
        <v>288</v>
      </c>
    </row>
    <row r="581" spans="1:38" x14ac:dyDescent="0.2">
      <c r="A581">
        <v>44</v>
      </c>
      <c r="B581" t="s">
        <v>47</v>
      </c>
      <c r="D581" t="s">
        <v>2187</v>
      </c>
      <c r="E581" t="s">
        <v>2256</v>
      </c>
      <c r="F581" t="s">
        <v>2261</v>
      </c>
      <c r="G581" t="s">
        <v>2262</v>
      </c>
      <c r="H581" t="s">
        <v>19</v>
      </c>
      <c r="I581" t="s">
        <v>351</v>
      </c>
      <c r="J581" s="91">
        <v>135660</v>
      </c>
      <c r="K581" s="91">
        <v>135660</v>
      </c>
      <c r="L581" s="91">
        <v>135660</v>
      </c>
      <c r="M581" t="s">
        <v>278</v>
      </c>
      <c r="N581" t="s">
        <v>278</v>
      </c>
      <c r="O581" t="s">
        <v>2263</v>
      </c>
      <c r="P581" t="s">
        <v>280</v>
      </c>
      <c r="Q581" t="s">
        <v>281</v>
      </c>
      <c r="R581" t="s">
        <v>282</v>
      </c>
      <c r="S581" t="s">
        <v>294</v>
      </c>
      <c r="T581" t="s">
        <v>295</v>
      </c>
      <c r="U581" t="s">
        <v>2260</v>
      </c>
      <c r="V581">
        <v>101</v>
      </c>
      <c r="W581">
        <v>13019</v>
      </c>
      <c r="X581">
        <v>245011</v>
      </c>
      <c r="Y581">
        <v>9999</v>
      </c>
      <c r="Z581">
        <v>999</v>
      </c>
      <c r="AA581">
        <v>999</v>
      </c>
      <c r="AB581">
        <v>9999</v>
      </c>
      <c r="AC581">
        <v>9999</v>
      </c>
      <c r="AD581" t="s">
        <v>1</v>
      </c>
      <c r="AE581" t="s">
        <v>227</v>
      </c>
      <c r="AF581" t="s">
        <v>227</v>
      </c>
      <c r="AG581" t="s">
        <v>286</v>
      </c>
      <c r="AI581" t="s">
        <v>227</v>
      </c>
      <c r="AJ581">
        <v>45991</v>
      </c>
      <c r="AK581" t="s">
        <v>287</v>
      </c>
      <c r="AL581" t="s">
        <v>288</v>
      </c>
    </row>
    <row r="582" spans="1:38" x14ac:dyDescent="0.2">
      <c r="A582">
        <v>44</v>
      </c>
      <c r="B582" t="s">
        <v>47</v>
      </c>
      <c r="D582" t="s">
        <v>2187</v>
      </c>
      <c r="E582" t="s">
        <v>2256</v>
      </c>
      <c r="F582" t="s">
        <v>2264</v>
      </c>
      <c r="G582" t="s">
        <v>2265</v>
      </c>
      <c r="H582" t="s">
        <v>19</v>
      </c>
      <c r="I582" t="s">
        <v>351</v>
      </c>
      <c r="J582" s="91">
        <v>1628981.04</v>
      </c>
      <c r="K582" s="91">
        <v>1628981.04</v>
      </c>
      <c r="L582" s="91">
        <v>1628981.04</v>
      </c>
      <c r="M582" t="s">
        <v>278</v>
      </c>
      <c r="N582" t="s">
        <v>278</v>
      </c>
      <c r="O582" t="s">
        <v>2266</v>
      </c>
      <c r="P582" t="s">
        <v>280</v>
      </c>
      <c r="Q582" t="s">
        <v>281</v>
      </c>
      <c r="R582" t="s">
        <v>282</v>
      </c>
      <c r="S582" t="s">
        <v>294</v>
      </c>
      <c r="T582" t="s">
        <v>295</v>
      </c>
      <c r="U582" t="s">
        <v>2260</v>
      </c>
      <c r="V582">
        <v>101</v>
      </c>
      <c r="W582">
        <v>13019</v>
      </c>
      <c r="X582">
        <v>245011</v>
      </c>
      <c r="Y582">
        <v>9999</v>
      </c>
      <c r="Z582">
        <v>999</v>
      </c>
      <c r="AA582">
        <v>999</v>
      </c>
      <c r="AB582">
        <v>9999</v>
      </c>
      <c r="AC582">
        <v>9999</v>
      </c>
      <c r="AD582" t="s">
        <v>1</v>
      </c>
      <c r="AE582" t="s">
        <v>227</v>
      </c>
      <c r="AF582" t="s">
        <v>227</v>
      </c>
      <c r="AG582" t="s">
        <v>286</v>
      </c>
      <c r="AI582" t="s">
        <v>227</v>
      </c>
      <c r="AJ582">
        <v>45991</v>
      </c>
      <c r="AK582" t="s">
        <v>287</v>
      </c>
      <c r="AL582" t="s">
        <v>288</v>
      </c>
    </row>
    <row r="583" spans="1:38" x14ac:dyDescent="0.2">
      <c r="E583" t="s">
        <v>2256</v>
      </c>
      <c r="F583" t="s">
        <v>2267</v>
      </c>
      <c r="G583" t="s">
        <v>2268</v>
      </c>
      <c r="H583" t="s">
        <v>19</v>
      </c>
      <c r="I583" t="s">
        <v>2193</v>
      </c>
      <c r="J583" s="91">
        <v>-135660</v>
      </c>
      <c r="K583" s="91">
        <v>-135660</v>
      </c>
      <c r="L583" s="91">
        <v>-135660</v>
      </c>
      <c r="M583" t="s">
        <v>278</v>
      </c>
      <c r="N583" t="s">
        <v>278</v>
      </c>
      <c r="O583" t="s">
        <v>2269</v>
      </c>
      <c r="P583" t="s">
        <v>280</v>
      </c>
      <c r="Q583" t="s">
        <v>281</v>
      </c>
      <c r="R583" t="s">
        <v>282</v>
      </c>
      <c r="S583" t="s">
        <v>294</v>
      </c>
      <c r="T583" t="s">
        <v>295</v>
      </c>
      <c r="U583" t="s">
        <v>2260</v>
      </c>
      <c r="V583">
        <v>101</v>
      </c>
      <c r="W583">
        <v>13019</v>
      </c>
      <c r="X583">
        <v>245011</v>
      </c>
      <c r="Y583">
        <v>9999</v>
      </c>
      <c r="Z583">
        <v>999</v>
      </c>
      <c r="AA583">
        <v>999</v>
      </c>
      <c r="AB583">
        <v>9999</v>
      </c>
      <c r="AC583">
        <v>9999</v>
      </c>
      <c r="AD583" t="s">
        <v>1</v>
      </c>
      <c r="AE583" t="s">
        <v>227</v>
      </c>
      <c r="AF583" t="s">
        <v>227</v>
      </c>
      <c r="AG583" t="s">
        <v>286</v>
      </c>
      <c r="AI583" t="s">
        <v>227</v>
      </c>
      <c r="AJ583">
        <v>45995</v>
      </c>
      <c r="AK583" t="s">
        <v>287</v>
      </c>
      <c r="AL583" t="s">
        <v>288</v>
      </c>
    </row>
    <row r="584" spans="1:38" x14ac:dyDescent="0.2">
      <c r="E584" t="s">
        <v>2256</v>
      </c>
      <c r="F584" t="s">
        <v>2270</v>
      </c>
      <c r="G584" t="s">
        <v>2271</v>
      </c>
      <c r="H584" t="s">
        <v>19</v>
      </c>
      <c r="I584" t="s">
        <v>2193</v>
      </c>
      <c r="J584" s="91">
        <v>-3122192.7</v>
      </c>
      <c r="K584" s="91">
        <v>-3122192.7</v>
      </c>
      <c r="L584" s="91">
        <v>-3122192.7</v>
      </c>
      <c r="M584" t="s">
        <v>278</v>
      </c>
      <c r="N584" t="s">
        <v>278</v>
      </c>
      <c r="O584" t="s">
        <v>2272</v>
      </c>
      <c r="P584" t="s">
        <v>280</v>
      </c>
      <c r="Q584" t="s">
        <v>281</v>
      </c>
      <c r="R584" t="s">
        <v>282</v>
      </c>
      <c r="S584" t="s">
        <v>294</v>
      </c>
      <c r="T584" t="s">
        <v>295</v>
      </c>
      <c r="U584" t="s">
        <v>2260</v>
      </c>
      <c r="V584">
        <v>101</v>
      </c>
      <c r="W584">
        <v>13019</v>
      </c>
      <c r="X584">
        <v>245011</v>
      </c>
      <c r="Y584">
        <v>9999</v>
      </c>
      <c r="Z584">
        <v>999</v>
      </c>
      <c r="AA584">
        <v>999</v>
      </c>
      <c r="AB584">
        <v>9999</v>
      </c>
      <c r="AC584">
        <v>9999</v>
      </c>
      <c r="AD584" t="s">
        <v>1</v>
      </c>
      <c r="AE584" t="s">
        <v>227</v>
      </c>
      <c r="AF584" t="s">
        <v>227</v>
      </c>
      <c r="AG584" t="s">
        <v>286</v>
      </c>
      <c r="AI584" t="s">
        <v>227</v>
      </c>
      <c r="AJ584">
        <v>45995</v>
      </c>
      <c r="AK584" t="s">
        <v>287</v>
      </c>
      <c r="AL584" t="s">
        <v>288</v>
      </c>
    </row>
    <row r="585" spans="1:38" x14ac:dyDescent="0.2">
      <c r="E585" t="s">
        <v>2256</v>
      </c>
      <c r="F585" t="s">
        <v>2273</v>
      </c>
      <c r="G585" t="s">
        <v>2274</v>
      </c>
      <c r="H585" t="s">
        <v>19</v>
      </c>
      <c r="I585" t="s">
        <v>2193</v>
      </c>
      <c r="J585" s="91">
        <v>-1628981.04</v>
      </c>
      <c r="K585" s="91">
        <v>-1628981.04</v>
      </c>
      <c r="L585" s="91">
        <v>-1628981.04</v>
      </c>
      <c r="M585" t="s">
        <v>278</v>
      </c>
      <c r="N585" t="s">
        <v>278</v>
      </c>
      <c r="O585" t="s">
        <v>2275</v>
      </c>
      <c r="P585" t="s">
        <v>280</v>
      </c>
      <c r="Q585" t="s">
        <v>281</v>
      </c>
      <c r="R585" t="s">
        <v>282</v>
      </c>
      <c r="S585" t="s">
        <v>294</v>
      </c>
      <c r="T585" t="s">
        <v>295</v>
      </c>
      <c r="U585" t="s">
        <v>2260</v>
      </c>
      <c r="V585">
        <v>101</v>
      </c>
      <c r="W585">
        <v>13019</v>
      </c>
      <c r="X585">
        <v>245011</v>
      </c>
      <c r="Y585">
        <v>9999</v>
      </c>
      <c r="Z585">
        <v>999</v>
      </c>
      <c r="AA585">
        <v>999</v>
      </c>
      <c r="AB585">
        <v>9999</v>
      </c>
      <c r="AC585">
        <v>9999</v>
      </c>
      <c r="AD585" t="s">
        <v>1</v>
      </c>
      <c r="AE585" t="s">
        <v>227</v>
      </c>
      <c r="AF585" t="s">
        <v>227</v>
      </c>
      <c r="AG585" t="s">
        <v>286</v>
      </c>
      <c r="AI585" t="s">
        <v>227</v>
      </c>
      <c r="AJ585">
        <v>45995</v>
      </c>
      <c r="AK585" t="s">
        <v>287</v>
      </c>
      <c r="AL585" t="s">
        <v>288</v>
      </c>
    </row>
    <row r="586" spans="1:38" x14ac:dyDescent="0.2">
      <c r="A586">
        <v>135</v>
      </c>
      <c r="B586" t="s">
        <v>50</v>
      </c>
      <c r="D586" t="s">
        <v>2276</v>
      </c>
      <c r="E586" t="s">
        <v>37</v>
      </c>
      <c r="F586" t="s">
        <v>2277</v>
      </c>
      <c r="G586" t="s">
        <v>2278</v>
      </c>
      <c r="H586" t="s">
        <v>16</v>
      </c>
      <c r="I586" t="s">
        <v>332</v>
      </c>
      <c r="J586" s="91">
        <v>-260551.98</v>
      </c>
      <c r="K586" s="91">
        <v>-260551.98</v>
      </c>
      <c r="L586" s="91">
        <v>-260551.98</v>
      </c>
      <c r="M586" t="s">
        <v>278</v>
      </c>
      <c r="N586" t="s">
        <v>278</v>
      </c>
      <c r="O586" t="s">
        <v>2279</v>
      </c>
      <c r="P586" t="s">
        <v>280</v>
      </c>
      <c r="Q586" t="s">
        <v>281</v>
      </c>
      <c r="R586" t="s">
        <v>282</v>
      </c>
      <c r="S586" t="s">
        <v>294</v>
      </c>
      <c r="T586" t="s">
        <v>305</v>
      </c>
      <c r="U586" t="s">
        <v>438</v>
      </c>
      <c r="V586">
        <v>101</v>
      </c>
      <c r="W586">
        <v>13001</v>
      </c>
      <c r="X586">
        <v>245011</v>
      </c>
      <c r="Y586">
        <v>9999</v>
      </c>
      <c r="Z586">
        <v>999</v>
      </c>
      <c r="AA586">
        <v>999</v>
      </c>
      <c r="AB586">
        <v>9999</v>
      </c>
      <c r="AC586">
        <v>9999</v>
      </c>
      <c r="AD586" t="s">
        <v>1</v>
      </c>
      <c r="AE586" t="s">
        <v>227</v>
      </c>
      <c r="AF586" t="s">
        <v>227</v>
      </c>
      <c r="AG586" t="s">
        <v>286</v>
      </c>
      <c r="AI586" t="s">
        <v>227</v>
      </c>
      <c r="AJ586">
        <v>45900</v>
      </c>
      <c r="AK586" t="s">
        <v>287</v>
      </c>
      <c r="AL586" t="s">
        <v>288</v>
      </c>
    </row>
    <row r="587" spans="1:38" x14ac:dyDescent="0.2">
      <c r="E587" t="s">
        <v>37</v>
      </c>
      <c r="F587" t="s">
        <v>2280</v>
      </c>
      <c r="G587" t="s">
        <v>2281</v>
      </c>
      <c r="H587" t="s">
        <v>16</v>
      </c>
      <c r="I587" t="s">
        <v>2193</v>
      </c>
      <c r="J587" s="91">
        <v>260551.98</v>
      </c>
      <c r="K587" s="91">
        <v>260551.98</v>
      </c>
      <c r="L587" s="91">
        <v>260551.98</v>
      </c>
      <c r="M587" t="s">
        <v>278</v>
      </c>
      <c r="N587" t="s">
        <v>278</v>
      </c>
      <c r="O587" t="s">
        <v>2282</v>
      </c>
      <c r="P587" t="s">
        <v>280</v>
      </c>
      <c r="Q587" t="s">
        <v>281</v>
      </c>
      <c r="R587" t="s">
        <v>282</v>
      </c>
      <c r="S587" t="s">
        <v>294</v>
      </c>
      <c r="T587" t="s">
        <v>305</v>
      </c>
      <c r="U587" t="s">
        <v>438</v>
      </c>
      <c r="V587">
        <v>101</v>
      </c>
      <c r="W587">
        <v>13001</v>
      </c>
      <c r="X587">
        <v>245011</v>
      </c>
      <c r="Y587">
        <v>9999</v>
      </c>
      <c r="Z587">
        <v>999</v>
      </c>
      <c r="AA587">
        <v>999</v>
      </c>
      <c r="AB587">
        <v>9999</v>
      </c>
      <c r="AC587">
        <v>9999</v>
      </c>
      <c r="AD587" t="s">
        <v>1</v>
      </c>
      <c r="AE587" t="s">
        <v>227</v>
      </c>
      <c r="AF587" t="s">
        <v>227</v>
      </c>
      <c r="AG587" t="s">
        <v>286</v>
      </c>
      <c r="AI587" t="s">
        <v>227</v>
      </c>
      <c r="AJ587">
        <v>46001</v>
      </c>
      <c r="AK587" t="s">
        <v>287</v>
      </c>
      <c r="AL587" t="s">
        <v>288</v>
      </c>
    </row>
    <row r="588" spans="1:38" x14ac:dyDescent="0.2">
      <c r="A588">
        <v>44</v>
      </c>
      <c r="B588" t="s">
        <v>47</v>
      </c>
      <c r="D588" t="s">
        <v>2283</v>
      </c>
      <c r="E588" t="s">
        <v>23</v>
      </c>
      <c r="F588" t="s">
        <v>2284</v>
      </c>
      <c r="G588" t="s">
        <v>2285</v>
      </c>
      <c r="H588" t="s">
        <v>16</v>
      </c>
      <c r="I588" t="s">
        <v>2193</v>
      </c>
      <c r="J588" s="91">
        <v>36252845.689999998</v>
      </c>
      <c r="K588" s="91">
        <v>36252845.689999998</v>
      </c>
      <c r="L588" s="91">
        <v>36252845.689999998</v>
      </c>
      <c r="M588" t="s">
        <v>278</v>
      </c>
      <c r="N588" t="s">
        <v>278</v>
      </c>
      <c r="O588" t="s">
        <v>2286</v>
      </c>
      <c r="P588" t="s">
        <v>280</v>
      </c>
      <c r="Q588" t="s">
        <v>281</v>
      </c>
      <c r="R588" t="s">
        <v>282</v>
      </c>
      <c r="S588" t="s">
        <v>283</v>
      </c>
      <c r="T588" t="s">
        <v>313</v>
      </c>
      <c r="U588" t="s">
        <v>345</v>
      </c>
      <c r="V588">
        <v>101</v>
      </c>
      <c r="W588">
        <v>11003</v>
      </c>
      <c r="X588">
        <v>245011</v>
      </c>
      <c r="Y588">
        <v>9999</v>
      </c>
      <c r="Z588">
        <v>950</v>
      </c>
      <c r="AA588">
        <v>999</v>
      </c>
      <c r="AB588">
        <v>9999</v>
      </c>
      <c r="AC588">
        <v>9999</v>
      </c>
      <c r="AD588" t="s">
        <v>1</v>
      </c>
      <c r="AE588" t="s">
        <v>2287</v>
      </c>
      <c r="AF588" t="s">
        <v>227</v>
      </c>
      <c r="AG588" t="s">
        <v>286</v>
      </c>
      <c r="AI588" t="s">
        <v>227</v>
      </c>
      <c r="AJ588">
        <v>46022</v>
      </c>
      <c r="AK588" t="s">
        <v>315</v>
      </c>
      <c r="AL588" t="s">
        <v>288</v>
      </c>
    </row>
    <row r="589" spans="1:38" x14ac:dyDescent="0.2">
      <c r="E589" t="s">
        <v>23</v>
      </c>
      <c r="F589" t="s">
        <v>2288</v>
      </c>
      <c r="G589" t="s">
        <v>2289</v>
      </c>
      <c r="H589" t="s">
        <v>16</v>
      </c>
      <c r="I589" t="s">
        <v>355</v>
      </c>
      <c r="J589" s="91">
        <v>-36252845.689999998</v>
      </c>
      <c r="K589" s="91">
        <v>-36252845.689999998</v>
      </c>
      <c r="L589" s="91">
        <v>-36252845.689999998</v>
      </c>
      <c r="M589" t="s">
        <v>278</v>
      </c>
      <c r="N589" t="s">
        <v>278</v>
      </c>
      <c r="O589" t="s">
        <v>2290</v>
      </c>
      <c r="P589" t="s">
        <v>280</v>
      </c>
      <c r="Q589" t="s">
        <v>281</v>
      </c>
      <c r="R589" t="s">
        <v>282</v>
      </c>
      <c r="S589" t="s">
        <v>283</v>
      </c>
      <c r="T589" t="s">
        <v>313</v>
      </c>
      <c r="U589" t="s">
        <v>345</v>
      </c>
      <c r="V589">
        <v>101</v>
      </c>
      <c r="W589">
        <v>11003</v>
      </c>
      <c r="X589">
        <v>245011</v>
      </c>
      <c r="Y589">
        <v>9999</v>
      </c>
      <c r="Z589">
        <v>950</v>
      </c>
      <c r="AA589">
        <v>999</v>
      </c>
      <c r="AB589">
        <v>9999</v>
      </c>
      <c r="AC589">
        <v>9999</v>
      </c>
      <c r="AD589" t="s">
        <v>1</v>
      </c>
      <c r="AE589" t="s">
        <v>2287</v>
      </c>
      <c r="AF589" t="s">
        <v>227</v>
      </c>
      <c r="AG589" t="s">
        <v>286</v>
      </c>
      <c r="AI589" t="s">
        <v>227</v>
      </c>
      <c r="AJ589">
        <v>46037</v>
      </c>
      <c r="AK589" t="s">
        <v>315</v>
      </c>
      <c r="AL589" t="s">
        <v>288</v>
      </c>
    </row>
    <row r="590" spans="1:38" x14ac:dyDescent="0.2">
      <c r="A590">
        <v>197</v>
      </c>
      <c r="B590" t="s">
        <v>51</v>
      </c>
      <c r="D590" t="s">
        <v>2291</v>
      </c>
      <c r="E590" t="s">
        <v>11</v>
      </c>
      <c r="F590" t="s">
        <v>2292</v>
      </c>
      <c r="G590" t="s">
        <v>2293</v>
      </c>
      <c r="H590" t="s">
        <v>12</v>
      </c>
      <c r="I590" t="s">
        <v>2010</v>
      </c>
      <c r="J590" s="91">
        <v>779202.88</v>
      </c>
      <c r="K590" s="91">
        <v>779202.88</v>
      </c>
      <c r="L590" s="91">
        <v>779202.88</v>
      </c>
      <c r="M590" t="s">
        <v>278</v>
      </c>
      <c r="N590" t="s">
        <v>278</v>
      </c>
      <c r="O590" t="s">
        <v>2294</v>
      </c>
      <c r="P590" t="s">
        <v>280</v>
      </c>
      <c r="Q590" t="s">
        <v>281</v>
      </c>
      <c r="R590" t="s">
        <v>282</v>
      </c>
      <c r="S590" t="s">
        <v>283</v>
      </c>
      <c r="T590" t="s">
        <v>284</v>
      </c>
      <c r="U590" t="s">
        <v>334</v>
      </c>
      <c r="V590">
        <v>101</v>
      </c>
      <c r="W590">
        <v>12012</v>
      </c>
      <c r="X590">
        <v>245011</v>
      </c>
      <c r="Y590">
        <v>9999</v>
      </c>
      <c r="Z590">
        <v>950</v>
      </c>
      <c r="AA590">
        <v>999</v>
      </c>
      <c r="AB590">
        <v>9999</v>
      </c>
      <c r="AC590">
        <v>9999</v>
      </c>
      <c r="AD590" t="s">
        <v>1</v>
      </c>
      <c r="AE590" t="s">
        <v>2295</v>
      </c>
      <c r="AF590" t="s">
        <v>227</v>
      </c>
      <c r="AG590" t="s">
        <v>286</v>
      </c>
      <c r="AI590" t="s">
        <v>227</v>
      </c>
      <c r="AJ590">
        <v>45869</v>
      </c>
      <c r="AK590" t="s">
        <v>315</v>
      </c>
      <c r="AL590" t="s">
        <v>288</v>
      </c>
    </row>
    <row r="591" spans="1:38" x14ac:dyDescent="0.2">
      <c r="A591">
        <v>105</v>
      </c>
      <c r="B591" t="s">
        <v>49</v>
      </c>
      <c r="D591" t="s">
        <v>2296</v>
      </c>
      <c r="E591" t="s">
        <v>11</v>
      </c>
      <c r="F591" t="s">
        <v>2297</v>
      </c>
      <c r="G591" t="s">
        <v>2298</v>
      </c>
      <c r="H591" t="s">
        <v>12</v>
      </c>
      <c r="I591" t="s">
        <v>348</v>
      </c>
      <c r="J591" s="91">
        <v>3230.34</v>
      </c>
      <c r="K591" s="91">
        <v>3230.34</v>
      </c>
      <c r="L591" s="91">
        <v>3230.34</v>
      </c>
      <c r="M591" t="s">
        <v>278</v>
      </c>
      <c r="N591" t="s">
        <v>278</v>
      </c>
      <c r="O591" t="s">
        <v>2299</v>
      </c>
      <c r="P591" t="s">
        <v>280</v>
      </c>
      <c r="Q591" t="s">
        <v>281</v>
      </c>
      <c r="R591" t="s">
        <v>282</v>
      </c>
      <c r="S591" t="s">
        <v>283</v>
      </c>
      <c r="T591" t="s">
        <v>284</v>
      </c>
      <c r="U591" t="s">
        <v>334</v>
      </c>
      <c r="V591">
        <v>101</v>
      </c>
      <c r="W591">
        <v>12012</v>
      </c>
      <c r="X591">
        <v>245011</v>
      </c>
      <c r="Y591">
        <v>9999</v>
      </c>
      <c r="Z591">
        <v>950</v>
      </c>
      <c r="AA591">
        <v>999</v>
      </c>
      <c r="AB591">
        <v>9999</v>
      </c>
      <c r="AC591">
        <v>9999</v>
      </c>
      <c r="AD591" t="s">
        <v>1</v>
      </c>
      <c r="AE591" t="s">
        <v>2300</v>
      </c>
      <c r="AF591" t="s">
        <v>227</v>
      </c>
      <c r="AG591" t="s">
        <v>286</v>
      </c>
      <c r="AI591" t="s">
        <v>227</v>
      </c>
      <c r="AJ591">
        <v>45961</v>
      </c>
      <c r="AK591" t="s">
        <v>315</v>
      </c>
      <c r="AL591" t="s">
        <v>288</v>
      </c>
    </row>
    <row r="592" spans="1:38" x14ac:dyDescent="0.2">
      <c r="A592">
        <v>16</v>
      </c>
      <c r="B592" t="s">
        <v>46</v>
      </c>
      <c r="E592" t="s">
        <v>11</v>
      </c>
      <c r="F592" t="s">
        <v>2301</v>
      </c>
      <c r="G592" t="s">
        <v>2302</v>
      </c>
      <c r="H592" t="s">
        <v>12</v>
      </c>
      <c r="I592" t="s">
        <v>355</v>
      </c>
      <c r="J592" s="91">
        <v>-779202.88</v>
      </c>
      <c r="K592" s="91">
        <v>-779202.88</v>
      </c>
      <c r="L592" s="91">
        <v>-779202.88</v>
      </c>
      <c r="M592" t="s">
        <v>278</v>
      </c>
      <c r="N592" t="s">
        <v>278</v>
      </c>
      <c r="O592" t="s">
        <v>2303</v>
      </c>
      <c r="P592" t="s">
        <v>280</v>
      </c>
      <c r="Q592" t="s">
        <v>281</v>
      </c>
      <c r="R592" t="s">
        <v>282</v>
      </c>
      <c r="S592" t="s">
        <v>283</v>
      </c>
      <c r="T592" t="s">
        <v>284</v>
      </c>
      <c r="U592" t="s">
        <v>334</v>
      </c>
      <c r="V592">
        <v>101</v>
      </c>
      <c r="W592">
        <v>12012</v>
      </c>
      <c r="X592">
        <v>245011</v>
      </c>
      <c r="Y592">
        <v>9999</v>
      </c>
      <c r="Z592">
        <v>950</v>
      </c>
      <c r="AA592">
        <v>999</v>
      </c>
      <c r="AB592">
        <v>9999</v>
      </c>
      <c r="AC592">
        <v>9999</v>
      </c>
      <c r="AD592" t="s">
        <v>1</v>
      </c>
      <c r="AE592" t="s">
        <v>2295</v>
      </c>
      <c r="AF592" t="s">
        <v>227</v>
      </c>
      <c r="AG592" t="s">
        <v>286</v>
      </c>
      <c r="AI592" t="s">
        <v>227</v>
      </c>
      <c r="AJ592">
        <v>46050</v>
      </c>
      <c r="AK592" t="s">
        <v>315</v>
      </c>
      <c r="AL592" t="s">
        <v>288</v>
      </c>
    </row>
    <row r="593" spans="1:38" x14ac:dyDescent="0.2">
      <c r="A593">
        <v>13</v>
      </c>
      <c r="B593" t="s">
        <v>46</v>
      </c>
      <c r="E593" t="s">
        <v>11</v>
      </c>
      <c r="F593" t="s">
        <v>2304</v>
      </c>
      <c r="G593" t="s">
        <v>2305</v>
      </c>
      <c r="H593" t="s">
        <v>12</v>
      </c>
      <c r="I593" t="s">
        <v>355</v>
      </c>
      <c r="J593" s="91">
        <v>-3230.34</v>
      </c>
      <c r="K593" s="91">
        <v>-3230.34</v>
      </c>
      <c r="L593" s="91">
        <v>-3230.34</v>
      </c>
      <c r="M593" t="s">
        <v>278</v>
      </c>
      <c r="N593" t="s">
        <v>278</v>
      </c>
      <c r="O593" t="s">
        <v>2306</v>
      </c>
      <c r="P593" t="s">
        <v>280</v>
      </c>
      <c r="Q593" t="s">
        <v>281</v>
      </c>
      <c r="R593" t="s">
        <v>282</v>
      </c>
      <c r="S593" t="s">
        <v>283</v>
      </c>
      <c r="T593" t="s">
        <v>284</v>
      </c>
      <c r="U593" t="s">
        <v>334</v>
      </c>
      <c r="V593">
        <v>101</v>
      </c>
      <c r="W593">
        <v>12012</v>
      </c>
      <c r="X593">
        <v>245011</v>
      </c>
      <c r="Y593">
        <v>9999</v>
      </c>
      <c r="Z593">
        <v>950</v>
      </c>
      <c r="AA593">
        <v>999</v>
      </c>
      <c r="AB593">
        <v>9999</v>
      </c>
      <c r="AC593">
        <v>9999</v>
      </c>
      <c r="AD593" t="s">
        <v>1</v>
      </c>
      <c r="AE593" t="s">
        <v>2300</v>
      </c>
      <c r="AF593" t="s">
        <v>227</v>
      </c>
      <c r="AG593" t="s">
        <v>286</v>
      </c>
      <c r="AI593" t="s">
        <v>227</v>
      </c>
      <c r="AJ593">
        <v>46053</v>
      </c>
      <c r="AK593" t="s">
        <v>315</v>
      </c>
      <c r="AL593" t="s">
        <v>288</v>
      </c>
    </row>
    <row r="594" spans="1:38" x14ac:dyDescent="0.2">
      <c r="A594">
        <v>136</v>
      </c>
      <c r="B594" t="s">
        <v>50</v>
      </c>
      <c r="D594" t="s">
        <v>2307</v>
      </c>
      <c r="E594" t="s">
        <v>39</v>
      </c>
      <c r="F594" t="s">
        <v>2308</v>
      </c>
      <c r="G594" t="s">
        <v>2309</v>
      </c>
      <c r="H594" t="s">
        <v>16</v>
      </c>
      <c r="I594" t="s">
        <v>338</v>
      </c>
      <c r="J594" s="91">
        <v>-270810</v>
      </c>
      <c r="K594" s="91">
        <v>-270810</v>
      </c>
      <c r="L594" s="91">
        <v>-270810</v>
      </c>
      <c r="M594" t="s">
        <v>278</v>
      </c>
      <c r="N594" t="s">
        <v>278</v>
      </c>
      <c r="O594" t="s">
        <v>2310</v>
      </c>
      <c r="P594" t="s">
        <v>280</v>
      </c>
      <c r="Q594" t="s">
        <v>281</v>
      </c>
      <c r="R594" t="s">
        <v>282</v>
      </c>
      <c r="S594" t="s">
        <v>283</v>
      </c>
      <c r="T594" t="s">
        <v>366</v>
      </c>
      <c r="U594" t="s">
        <v>733</v>
      </c>
      <c r="V594">
        <v>101</v>
      </c>
      <c r="W594">
        <v>12013</v>
      </c>
      <c r="X594">
        <v>245011</v>
      </c>
      <c r="Y594">
        <v>9999</v>
      </c>
      <c r="Z594">
        <v>999</v>
      </c>
      <c r="AA594">
        <v>999</v>
      </c>
      <c r="AB594">
        <v>9999</v>
      </c>
      <c r="AC594">
        <v>9999</v>
      </c>
      <c r="AD594" t="s">
        <v>1</v>
      </c>
      <c r="AE594" t="s">
        <v>2311</v>
      </c>
      <c r="AF594" t="s">
        <v>227</v>
      </c>
      <c r="AG594" t="s">
        <v>286</v>
      </c>
      <c r="AI594" t="s">
        <v>227</v>
      </c>
      <c r="AJ594">
        <v>45930</v>
      </c>
      <c r="AK594" t="s">
        <v>315</v>
      </c>
      <c r="AL594" t="s">
        <v>288</v>
      </c>
    </row>
    <row r="595" spans="1:38" x14ac:dyDescent="0.2">
      <c r="A595">
        <v>18</v>
      </c>
      <c r="B595" t="s">
        <v>46</v>
      </c>
      <c r="E595" t="s">
        <v>39</v>
      </c>
      <c r="F595" t="s">
        <v>2312</v>
      </c>
      <c r="G595" t="s">
        <v>2313</v>
      </c>
      <c r="H595" t="s">
        <v>16</v>
      </c>
      <c r="I595" t="s">
        <v>355</v>
      </c>
      <c r="J595" s="91">
        <v>270810</v>
      </c>
      <c r="K595" s="91">
        <v>270810</v>
      </c>
      <c r="L595" s="91">
        <v>270810</v>
      </c>
      <c r="M595" t="s">
        <v>278</v>
      </c>
      <c r="N595" t="s">
        <v>278</v>
      </c>
      <c r="O595" t="s">
        <v>2314</v>
      </c>
      <c r="P595" t="s">
        <v>280</v>
      </c>
      <c r="Q595" t="s">
        <v>281</v>
      </c>
      <c r="R595" t="s">
        <v>282</v>
      </c>
      <c r="S595" t="s">
        <v>283</v>
      </c>
      <c r="T595" t="s">
        <v>366</v>
      </c>
      <c r="U595" t="s">
        <v>733</v>
      </c>
      <c r="V595">
        <v>101</v>
      </c>
      <c r="W595">
        <v>12013</v>
      </c>
      <c r="X595">
        <v>245011</v>
      </c>
      <c r="Y595">
        <v>9999</v>
      </c>
      <c r="Z595">
        <v>999</v>
      </c>
      <c r="AA595">
        <v>999</v>
      </c>
      <c r="AB595">
        <v>9999</v>
      </c>
      <c r="AC595">
        <v>9999</v>
      </c>
      <c r="AD595" t="s">
        <v>1</v>
      </c>
      <c r="AE595" t="s">
        <v>2311</v>
      </c>
      <c r="AF595" t="s">
        <v>227</v>
      </c>
      <c r="AG595" t="s">
        <v>286</v>
      </c>
      <c r="AI595" t="s">
        <v>227</v>
      </c>
      <c r="AJ595">
        <v>46048</v>
      </c>
      <c r="AK595" t="s">
        <v>315</v>
      </c>
      <c r="AL595" t="s">
        <v>288</v>
      </c>
    </row>
    <row r="596" spans="1:38" x14ac:dyDescent="0.2">
      <c r="A596">
        <v>44</v>
      </c>
      <c r="B596" t="s">
        <v>47</v>
      </c>
      <c r="D596" t="s">
        <v>2315</v>
      </c>
      <c r="E596" t="s">
        <v>2316</v>
      </c>
      <c r="F596" t="s">
        <v>2317</v>
      </c>
      <c r="G596" t="s">
        <v>2318</v>
      </c>
      <c r="H596" t="s">
        <v>27</v>
      </c>
      <c r="I596" t="s">
        <v>2193</v>
      </c>
      <c r="J596" s="91">
        <v>-360000</v>
      </c>
      <c r="K596" s="91">
        <v>-360000</v>
      </c>
      <c r="L596" s="91">
        <v>-360000</v>
      </c>
      <c r="M596" t="s">
        <v>278</v>
      </c>
      <c r="N596" t="s">
        <v>278</v>
      </c>
      <c r="O596" t="s">
        <v>2319</v>
      </c>
      <c r="P596" t="s">
        <v>280</v>
      </c>
      <c r="Q596" t="s">
        <v>281</v>
      </c>
      <c r="R596" t="s">
        <v>282</v>
      </c>
      <c r="S596" t="s">
        <v>294</v>
      </c>
      <c r="T596" t="s">
        <v>295</v>
      </c>
      <c r="U596" t="s">
        <v>2320</v>
      </c>
      <c r="V596">
        <v>101</v>
      </c>
      <c r="W596">
        <v>13009</v>
      </c>
      <c r="X596">
        <v>245011</v>
      </c>
      <c r="Y596">
        <v>9999</v>
      </c>
      <c r="Z596">
        <v>999</v>
      </c>
      <c r="AA596">
        <v>999</v>
      </c>
      <c r="AB596">
        <v>9999</v>
      </c>
      <c r="AC596">
        <v>9999</v>
      </c>
      <c r="AD596" t="s">
        <v>1</v>
      </c>
      <c r="AE596" t="s">
        <v>227</v>
      </c>
      <c r="AF596" t="s">
        <v>227</v>
      </c>
      <c r="AG596" t="s">
        <v>286</v>
      </c>
      <c r="AI596" t="s">
        <v>227</v>
      </c>
      <c r="AJ596">
        <v>46022</v>
      </c>
      <c r="AK596" t="s">
        <v>287</v>
      </c>
      <c r="AL596" t="s">
        <v>288</v>
      </c>
    </row>
    <row r="597" spans="1:38" x14ac:dyDescent="0.2">
      <c r="A597">
        <v>37</v>
      </c>
      <c r="B597" t="s">
        <v>47</v>
      </c>
      <c r="E597" t="s">
        <v>2316</v>
      </c>
      <c r="F597" t="s">
        <v>2321</v>
      </c>
      <c r="G597" t="s">
        <v>2322</v>
      </c>
      <c r="H597" t="s">
        <v>27</v>
      </c>
      <c r="I597" t="s">
        <v>355</v>
      </c>
      <c r="J597" s="91">
        <v>360000</v>
      </c>
      <c r="K597" s="91">
        <v>360000</v>
      </c>
      <c r="L597" s="91">
        <v>360000</v>
      </c>
      <c r="M597" t="s">
        <v>278</v>
      </c>
      <c r="N597" t="s">
        <v>278</v>
      </c>
      <c r="O597" t="s">
        <v>2323</v>
      </c>
      <c r="P597" t="s">
        <v>280</v>
      </c>
      <c r="Q597" t="s">
        <v>281</v>
      </c>
      <c r="R597" t="s">
        <v>282</v>
      </c>
      <c r="S597" t="s">
        <v>294</v>
      </c>
      <c r="T597" t="s">
        <v>295</v>
      </c>
      <c r="U597" t="s">
        <v>2320</v>
      </c>
      <c r="V597">
        <v>101</v>
      </c>
      <c r="W597">
        <v>13009</v>
      </c>
      <c r="X597">
        <v>245011</v>
      </c>
      <c r="Y597">
        <v>9999</v>
      </c>
      <c r="Z597">
        <v>999</v>
      </c>
      <c r="AA597">
        <v>999</v>
      </c>
      <c r="AB597">
        <v>9999</v>
      </c>
      <c r="AC597">
        <v>9999</v>
      </c>
      <c r="AD597" t="s">
        <v>1</v>
      </c>
      <c r="AE597" t="s">
        <v>227</v>
      </c>
      <c r="AF597" t="s">
        <v>227</v>
      </c>
      <c r="AG597" t="s">
        <v>286</v>
      </c>
      <c r="AI597" t="s">
        <v>227</v>
      </c>
      <c r="AJ597">
        <v>46029</v>
      </c>
      <c r="AK597" t="s">
        <v>287</v>
      </c>
      <c r="AL597" t="s">
        <v>288</v>
      </c>
    </row>
    <row r="598" spans="1:38" x14ac:dyDescent="0.2">
      <c r="A598">
        <v>44</v>
      </c>
      <c r="B598" t="s">
        <v>47</v>
      </c>
      <c r="D598" t="s">
        <v>2324</v>
      </c>
      <c r="E598" t="s">
        <v>2256</v>
      </c>
      <c r="F598" t="s">
        <v>2325</v>
      </c>
      <c r="G598" t="s">
        <v>2326</v>
      </c>
      <c r="H598" t="s">
        <v>16</v>
      </c>
      <c r="I598" t="s">
        <v>2193</v>
      </c>
      <c r="J598" s="91">
        <v>1628981.04</v>
      </c>
      <c r="K598" s="91">
        <v>1628981.04</v>
      </c>
      <c r="L598" s="91">
        <v>1628981.04</v>
      </c>
      <c r="M598" t="s">
        <v>278</v>
      </c>
      <c r="N598" t="s">
        <v>278</v>
      </c>
      <c r="O598" t="s">
        <v>2327</v>
      </c>
      <c r="P598" t="s">
        <v>280</v>
      </c>
      <c r="Q598" t="s">
        <v>281</v>
      </c>
      <c r="R598" t="s">
        <v>282</v>
      </c>
      <c r="S598" t="s">
        <v>294</v>
      </c>
      <c r="T598" t="s">
        <v>295</v>
      </c>
      <c r="U598" t="s">
        <v>2260</v>
      </c>
      <c r="V598">
        <v>101</v>
      </c>
      <c r="W598">
        <v>13019</v>
      </c>
      <c r="X598">
        <v>245011</v>
      </c>
      <c r="Y598">
        <v>9999</v>
      </c>
      <c r="Z598">
        <v>999</v>
      </c>
      <c r="AA598">
        <v>999</v>
      </c>
      <c r="AB598">
        <v>9999</v>
      </c>
      <c r="AC598">
        <v>9999</v>
      </c>
      <c r="AD598" t="s">
        <v>1</v>
      </c>
      <c r="AE598" t="s">
        <v>227</v>
      </c>
      <c r="AF598" t="s">
        <v>227</v>
      </c>
      <c r="AG598" t="s">
        <v>286</v>
      </c>
      <c r="AI598" t="s">
        <v>227</v>
      </c>
      <c r="AJ598">
        <v>46022</v>
      </c>
      <c r="AK598" t="s">
        <v>287</v>
      </c>
      <c r="AL598" t="s">
        <v>288</v>
      </c>
    </row>
    <row r="599" spans="1:38" x14ac:dyDescent="0.2">
      <c r="A599">
        <v>44</v>
      </c>
      <c r="B599" t="s">
        <v>47</v>
      </c>
      <c r="D599" t="s">
        <v>2324</v>
      </c>
      <c r="E599" t="s">
        <v>2256</v>
      </c>
      <c r="F599" t="s">
        <v>2328</v>
      </c>
      <c r="G599" t="s">
        <v>2329</v>
      </c>
      <c r="H599" t="s">
        <v>16</v>
      </c>
      <c r="I599" t="s">
        <v>2193</v>
      </c>
      <c r="J599" s="91">
        <v>1071892.5</v>
      </c>
      <c r="K599" s="91">
        <v>1071892.5</v>
      </c>
      <c r="L599" s="91">
        <v>1071892.5</v>
      </c>
      <c r="M599" t="s">
        <v>278</v>
      </c>
      <c r="N599" t="s">
        <v>278</v>
      </c>
      <c r="O599" t="s">
        <v>2330</v>
      </c>
      <c r="P599" t="s">
        <v>280</v>
      </c>
      <c r="Q599" t="s">
        <v>281</v>
      </c>
      <c r="R599" t="s">
        <v>282</v>
      </c>
      <c r="S599" t="s">
        <v>294</v>
      </c>
      <c r="T599" t="s">
        <v>295</v>
      </c>
      <c r="U599" t="s">
        <v>2260</v>
      </c>
      <c r="V599">
        <v>101</v>
      </c>
      <c r="W599">
        <v>13019</v>
      </c>
      <c r="X599">
        <v>245011</v>
      </c>
      <c r="Y599">
        <v>9999</v>
      </c>
      <c r="Z599">
        <v>999</v>
      </c>
      <c r="AA599">
        <v>999</v>
      </c>
      <c r="AB599">
        <v>9999</v>
      </c>
      <c r="AC599">
        <v>9999</v>
      </c>
      <c r="AD599" t="s">
        <v>1</v>
      </c>
      <c r="AE599" t="s">
        <v>227</v>
      </c>
      <c r="AF599" t="s">
        <v>227</v>
      </c>
      <c r="AG599" t="s">
        <v>286</v>
      </c>
      <c r="AI599" t="s">
        <v>227</v>
      </c>
      <c r="AJ599">
        <v>46022</v>
      </c>
      <c r="AK599" t="s">
        <v>287</v>
      </c>
      <c r="AL599" t="s">
        <v>288</v>
      </c>
    </row>
    <row r="600" spans="1:38" x14ac:dyDescent="0.2">
      <c r="A600">
        <v>44</v>
      </c>
      <c r="B600" t="s">
        <v>47</v>
      </c>
      <c r="D600" t="s">
        <v>2324</v>
      </c>
      <c r="E600" t="s">
        <v>2256</v>
      </c>
      <c r="F600" t="s">
        <v>2331</v>
      </c>
      <c r="G600" t="s">
        <v>2332</v>
      </c>
      <c r="H600" t="s">
        <v>16</v>
      </c>
      <c r="I600" t="s">
        <v>2193</v>
      </c>
      <c r="J600" s="91">
        <v>3088793.64</v>
      </c>
      <c r="K600" s="91">
        <v>3088793.64</v>
      </c>
      <c r="L600" s="91">
        <v>3088793.64</v>
      </c>
      <c r="M600" t="s">
        <v>278</v>
      </c>
      <c r="N600" t="s">
        <v>278</v>
      </c>
      <c r="O600" t="s">
        <v>2333</v>
      </c>
      <c r="P600" t="s">
        <v>280</v>
      </c>
      <c r="Q600" t="s">
        <v>281</v>
      </c>
      <c r="R600" t="s">
        <v>282</v>
      </c>
      <c r="S600" t="s">
        <v>294</v>
      </c>
      <c r="T600" t="s">
        <v>295</v>
      </c>
      <c r="U600" t="s">
        <v>2260</v>
      </c>
      <c r="V600">
        <v>101</v>
      </c>
      <c r="W600">
        <v>13019</v>
      </c>
      <c r="X600">
        <v>245011</v>
      </c>
      <c r="Y600">
        <v>9999</v>
      </c>
      <c r="Z600">
        <v>999</v>
      </c>
      <c r="AA600">
        <v>999</v>
      </c>
      <c r="AB600">
        <v>9999</v>
      </c>
      <c r="AC600">
        <v>9999</v>
      </c>
      <c r="AD600" t="s">
        <v>1</v>
      </c>
      <c r="AE600" t="s">
        <v>227</v>
      </c>
      <c r="AF600" t="s">
        <v>227</v>
      </c>
      <c r="AG600" t="s">
        <v>286</v>
      </c>
      <c r="AI600" t="s">
        <v>227</v>
      </c>
      <c r="AJ600">
        <v>46022</v>
      </c>
      <c r="AK600" t="s">
        <v>287</v>
      </c>
      <c r="AL600" t="s">
        <v>288</v>
      </c>
    </row>
    <row r="601" spans="1:38" x14ac:dyDescent="0.2">
      <c r="A601">
        <v>14</v>
      </c>
      <c r="B601" t="s">
        <v>46</v>
      </c>
      <c r="E601" t="s">
        <v>2256</v>
      </c>
      <c r="F601" t="s">
        <v>2334</v>
      </c>
      <c r="G601" t="s">
        <v>2335</v>
      </c>
      <c r="H601" t="s">
        <v>16</v>
      </c>
      <c r="I601" t="s">
        <v>355</v>
      </c>
      <c r="J601" s="91">
        <v>-1628981.04</v>
      </c>
      <c r="K601" s="91">
        <v>-1628981.04</v>
      </c>
      <c r="L601" s="91">
        <v>-1628981.04</v>
      </c>
      <c r="M601" t="s">
        <v>278</v>
      </c>
      <c r="N601" t="s">
        <v>278</v>
      </c>
      <c r="O601" t="s">
        <v>2336</v>
      </c>
      <c r="P601" t="s">
        <v>280</v>
      </c>
      <c r="Q601" t="s">
        <v>281</v>
      </c>
      <c r="R601" t="s">
        <v>282</v>
      </c>
      <c r="S601" t="s">
        <v>294</v>
      </c>
      <c r="T601" t="s">
        <v>295</v>
      </c>
      <c r="U601" t="s">
        <v>2260</v>
      </c>
      <c r="V601">
        <v>101</v>
      </c>
      <c r="W601">
        <v>13019</v>
      </c>
      <c r="X601">
        <v>245011</v>
      </c>
      <c r="Y601">
        <v>9999</v>
      </c>
      <c r="Z601">
        <v>999</v>
      </c>
      <c r="AA601">
        <v>999</v>
      </c>
      <c r="AB601">
        <v>9999</v>
      </c>
      <c r="AC601">
        <v>9999</v>
      </c>
      <c r="AD601" t="s">
        <v>1</v>
      </c>
      <c r="AE601" t="s">
        <v>227</v>
      </c>
      <c r="AF601" t="s">
        <v>227</v>
      </c>
      <c r="AG601" t="s">
        <v>286</v>
      </c>
      <c r="AI601" t="s">
        <v>227</v>
      </c>
      <c r="AJ601">
        <v>46052</v>
      </c>
      <c r="AK601" t="s">
        <v>287</v>
      </c>
      <c r="AL601" t="s">
        <v>288</v>
      </c>
    </row>
    <row r="602" spans="1:38" x14ac:dyDescent="0.2">
      <c r="A602">
        <v>14</v>
      </c>
      <c r="B602" t="s">
        <v>46</v>
      </c>
      <c r="E602" t="s">
        <v>2256</v>
      </c>
      <c r="F602" t="s">
        <v>2337</v>
      </c>
      <c r="G602" t="s">
        <v>2338</v>
      </c>
      <c r="H602" t="s">
        <v>16</v>
      </c>
      <c r="I602" t="s">
        <v>355</v>
      </c>
      <c r="J602" s="91">
        <v>-1071892.5</v>
      </c>
      <c r="K602" s="91">
        <v>-1071892.5</v>
      </c>
      <c r="L602" s="91">
        <v>-1071892.5</v>
      </c>
      <c r="M602" t="s">
        <v>278</v>
      </c>
      <c r="N602" t="s">
        <v>278</v>
      </c>
      <c r="O602" t="s">
        <v>2339</v>
      </c>
      <c r="P602" t="s">
        <v>280</v>
      </c>
      <c r="Q602" t="s">
        <v>281</v>
      </c>
      <c r="R602" t="s">
        <v>282</v>
      </c>
      <c r="S602" t="s">
        <v>294</v>
      </c>
      <c r="T602" t="s">
        <v>295</v>
      </c>
      <c r="U602" t="s">
        <v>2260</v>
      </c>
      <c r="V602">
        <v>101</v>
      </c>
      <c r="W602">
        <v>13019</v>
      </c>
      <c r="X602">
        <v>245011</v>
      </c>
      <c r="Y602">
        <v>9999</v>
      </c>
      <c r="Z602">
        <v>999</v>
      </c>
      <c r="AA602">
        <v>999</v>
      </c>
      <c r="AB602">
        <v>9999</v>
      </c>
      <c r="AC602">
        <v>9999</v>
      </c>
      <c r="AD602" t="s">
        <v>1</v>
      </c>
      <c r="AE602" t="s">
        <v>227</v>
      </c>
      <c r="AF602" t="s">
        <v>227</v>
      </c>
      <c r="AG602" t="s">
        <v>286</v>
      </c>
      <c r="AI602" t="s">
        <v>227</v>
      </c>
      <c r="AJ602">
        <v>46052</v>
      </c>
      <c r="AK602" t="s">
        <v>287</v>
      </c>
      <c r="AL602" t="s">
        <v>288</v>
      </c>
    </row>
    <row r="603" spans="1:38" x14ac:dyDescent="0.2">
      <c r="A603">
        <v>23</v>
      </c>
      <c r="B603" t="s">
        <v>46</v>
      </c>
      <c r="E603" t="s">
        <v>2256</v>
      </c>
      <c r="F603" t="s">
        <v>2340</v>
      </c>
      <c r="G603" t="s">
        <v>2341</v>
      </c>
      <c r="H603" t="s">
        <v>16</v>
      </c>
      <c r="I603" t="s">
        <v>355</v>
      </c>
      <c r="J603" s="91">
        <v>-3088793.64</v>
      </c>
      <c r="K603" s="91">
        <v>-3088793.64</v>
      </c>
      <c r="L603" s="91">
        <v>-3088793.64</v>
      </c>
      <c r="M603" t="s">
        <v>278</v>
      </c>
      <c r="N603" t="s">
        <v>278</v>
      </c>
      <c r="O603" t="s">
        <v>2342</v>
      </c>
      <c r="P603" t="s">
        <v>280</v>
      </c>
      <c r="Q603" t="s">
        <v>281</v>
      </c>
      <c r="R603" t="s">
        <v>282</v>
      </c>
      <c r="S603" t="s">
        <v>294</v>
      </c>
      <c r="T603" t="s">
        <v>295</v>
      </c>
      <c r="U603" t="s">
        <v>2260</v>
      </c>
      <c r="V603">
        <v>101</v>
      </c>
      <c r="W603">
        <v>13019</v>
      </c>
      <c r="X603">
        <v>245011</v>
      </c>
      <c r="Y603">
        <v>9999</v>
      </c>
      <c r="Z603">
        <v>999</v>
      </c>
      <c r="AA603">
        <v>999</v>
      </c>
      <c r="AB603">
        <v>9999</v>
      </c>
      <c r="AC603">
        <v>9999</v>
      </c>
      <c r="AD603" t="s">
        <v>1</v>
      </c>
      <c r="AE603" t="s">
        <v>227</v>
      </c>
      <c r="AF603" t="s">
        <v>227</v>
      </c>
      <c r="AG603" t="s">
        <v>286</v>
      </c>
      <c r="AI603" t="s">
        <v>227</v>
      </c>
      <c r="AJ603">
        <v>46043</v>
      </c>
      <c r="AK603" t="s">
        <v>287</v>
      </c>
      <c r="AL603" t="s">
        <v>288</v>
      </c>
    </row>
    <row r="604" spans="1:38" x14ac:dyDescent="0.2">
      <c r="A604">
        <v>44</v>
      </c>
      <c r="B604" t="s">
        <v>47</v>
      </c>
      <c r="D604" t="s">
        <v>2343</v>
      </c>
      <c r="E604" t="s">
        <v>25</v>
      </c>
      <c r="F604" t="s">
        <v>2344</v>
      </c>
      <c r="G604" t="s">
        <v>2345</v>
      </c>
      <c r="H604" t="s">
        <v>16</v>
      </c>
      <c r="I604" t="s">
        <v>2193</v>
      </c>
      <c r="J604" s="91">
        <v>23941.43</v>
      </c>
      <c r="K604" s="91">
        <v>23941.43</v>
      </c>
      <c r="L604" s="91">
        <v>23941.43</v>
      </c>
      <c r="M604" t="s">
        <v>278</v>
      </c>
      <c r="N604" t="s">
        <v>278</v>
      </c>
      <c r="O604" t="s">
        <v>2346</v>
      </c>
      <c r="P604" t="s">
        <v>280</v>
      </c>
      <c r="Q604" t="s">
        <v>281</v>
      </c>
      <c r="R604" t="s">
        <v>282</v>
      </c>
      <c r="S604" t="s">
        <v>294</v>
      </c>
      <c r="T604" t="s">
        <v>295</v>
      </c>
      <c r="U604" t="s">
        <v>2060</v>
      </c>
      <c r="V604">
        <v>101</v>
      </c>
      <c r="W604">
        <v>13006</v>
      </c>
      <c r="X604">
        <v>245011</v>
      </c>
      <c r="Y604">
        <v>9999</v>
      </c>
      <c r="Z604">
        <v>950</v>
      </c>
      <c r="AA604">
        <v>999</v>
      </c>
      <c r="AB604">
        <v>9999</v>
      </c>
      <c r="AC604">
        <v>9999</v>
      </c>
      <c r="AD604" t="s">
        <v>1</v>
      </c>
      <c r="AE604" t="s">
        <v>2347</v>
      </c>
      <c r="AF604" t="s">
        <v>227</v>
      </c>
      <c r="AG604" t="s">
        <v>286</v>
      </c>
      <c r="AI604" t="s">
        <v>227</v>
      </c>
      <c r="AJ604">
        <v>46022</v>
      </c>
      <c r="AK604" t="s">
        <v>315</v>
      </c>
      <c r="AL604" t="s">
        <v>288</v>
      </c>
    </row>
    <row r="605" spans="1:38" x14ac:dyDescent="0.2">
      <c r="A605">
        <v>44</v>
      </c>
      <c r="B605" t="s">
        <v>47</v>
      </c>
      <c r="D605" t="s">
        <v>2343</v>
      </c>
      <c r="E605" t="s">
        <v>25</v>
      </c>
      <c r="F605" t="s">
        <v>2348</v>
      </c>
      <c r="G605" t="s">
        <v>2349</v>
      </c>
      <c r="H605" t="s">
        <v>16</v>
      </c>
      <c r="I605" t="s">
        <v>2193</v>
      </c>
      <c r="J605" s="91">
        <v>20405.8</v>
      </c>
      <c r="K605" s="91">
        <v>20405.8</v>
      </c>
      <c r="L605" s="91">
        <v>20405.8</v>
      </c>
      <c r="M605" t="s">
        <v>278</v>
      </c>
      <c r="N605" t="s">
        <v>278</v>
      </c>
      <c r="O605" t="s">
        <v>2346</v>
      </c>
      <c r="P605" t="s">
        <v>280</v>
      </c>
      <c r="Q605" t="s">
        <v>281</v>
      </c>
      <c r="R605" t="s">
        <v>282</v>
      </c>
      <c r="S605" t="s">
        <v>294</v>
      </c>
      <c r="T605" t="s">
        <v>295</v>
      </c>
      <c r="U605" t="s">
        <v>2060</v>
      </c>
      <c r="V605">
        <v>101</v>
      </c>
      <c r="W605">
        <v>13006</v>
      </c>
      <c r="X605">
        <v>245011</v>
      </c>
      <c r="Y605">
        <v>9999</v>
      </c>
      <c r="Z605">
        <v>950</v>
      </c>
      <c r="AA605">
        <v>999</v>
      </c>
      <c r="AB605">
        <v>9999</v>
      </c>
      <c r="AC605">
        <v>9999</v>
      </c>
      <c r="AD605" t="s">
        <v>1</v>
      </c>
      <c r="AE605" t="s">
        <v>2350</v>
      </c>
      <c r="AF605" t="s">
        <v>227</v>
      </c>
      <c r="AG605" t="s">
        <v>286</v>
      </c>
      <c r="AI605" t="s">
        <v>227</v>
      </c>
      <c r="AJ605">
        <v>46022</v>
      </c>
      <c r="AK605" t="s">
        <v>315</v>
      </c>
      <c r="AL605" t="s">
        <v>288</v>
      </c>
    </row>
    <row r="606" spans="1:38" x14ac:dyDescent="0.2">
      <c r="A606">
        <v>29</v>
      </c>
      <c r="B606" t="s">
        <v>46</v>
      </c>
      <c r="E606" t="s">
        <v>25</v>
      </c>
      <c r="F606" t="s">
        <v>2351</v>
      </c>
      <c r="G606" t="s">
        <v>2352</v>
      </c>
      <c r="H606" t="s">
        <v>16</v>
      </c>
      <c r="I606" t="s">
        <v>355</v>
      </c>
      <c r="J606" s="91">
        <v>-20405.8</v>
      </c>
      <c r="K606" s="91">
        <v>-20405.8</v>
      </c>
      <c r="L606" s="91">
        <v>-20405.8</v>
      </c>
      <c r="M606" t="s">
        <v>278</v>
      </c>
      <c r="N606" t="s">
        <v>278</v>
      </c>
      <c r="O606" t="s">
        <v>2353</v>
      </c>
      <c r="P606" t="s">
        <v>280</v>
      </c>
      <c r="Q606" t="s">
        <v>281</v>
      </c>
      <c r="R606" t="s">
        <v>282</v>
      </c>
      <c r="S606" t="s">
        <v>294</v>
      </c>
      <c r="T606" t="s">
        <v>295</v>
      </c>
      <c r="U606" t="s">
        <v>2060</v>
      </c>
      <c r="V606">
        <v>101</v>
      </c>
      <c r="W606">
        <v>13006</v>
      </c>
      <c r="X606">
        <v>245011</v>
      </c>
      <c r="Y606">
        <v>9999</v>
      </c>
      <c r="Z606">
        <v>950</v>
      </c>
      <c r="AA606">
        <v>999</v>
      </c>
      <c r="AB606">
        <v>9999</v>
      </c>
      <c r="AC606">
        <v>9999</v>
      </c>
      <c r="AD606" t="s">
        <v>1</v>
      </c>
      <c r="AE606" t="s">
        <v>2350</v>
      </c>
      <c r="AF606" t="s">
        <v>227</v>
      </c>
      <c r="AG606" t="s">
        <v>286</v>
      </c>
      <c r="AI606" t="s">
        <v>227</v>
      </c>
      <c r="AJ606">
        <v>46037</v>
      </c>
      <c r="AK606" t="s">
        <v>315</v>
      </c>
      <c r="AL606" t="s">
        <v>288</v>
      </c>
    </row>
    <row r="607" spans="1:38" x14ac:dyDescent="0.2">
      <c r="A607">
        <v>14</v>
      </c>
      <c r="B607" t="s">
        <v>46</v>
      </c>
      <c r="E607" t="s">
        <v>2354</v>
      </c>
      <c r="F607" t="s">
        <v>2355</v>
      </c>
      <c r="G607" t="s">
        <v>2356</v>
      </c>
      <c r="H607" t="s">
        <v>12</v>
      </c>
      <c r="I607" t="s">
        <v>355</v>
      </c>
      <c r="J607" s="91">
        <v>-36818.480000000003</v>
      </c>
      <c r="K607" s="91">
        <v>-36818.480000000003</v>
      </c>
      <c r="L607" s="91">
        <v>-36818.480000000003</v>
      </c>
      <c r="M607" t="s">
        <v>278</v>
      </c>
      <c r="N607" t="s">
        <v>278</v>
      </c>
      <c r="O607" t="s">
        <v>2357</v>
      </c>
      <c r="P607" t="s">
        <v>280</v>
      </c>
      <c r="Q607" t="s">
        <v>281</v>
      </c>
      <c r="R607" t="s">
        <v>282</v>
      </c>
      <c r="S607" t="s">
        <v>294</v>
      </c>
      <c r="T607" t="s">
        <v>2354</v>
      </c>
      <c r="U607" t="s">
        <v>2358</v>
      </c>
      <c r="V607">
        <v>101</v>
      </c>
      <c r="W607">
        <v>13010</v>
      </c>
      <c r="X607">
        <v>245011</v>
      </c>
      <c r="Y607">
        <v>9999</v>
      </c>
      <c r="Z607">
        <v>999</v>
      </c>
      <c r="AA607">
        <v>999</v>
      </c>
      <c r="AB607">
        <v>9999</v>
      </c>
      <c r="AC607">
        <v>9999</v>
      </c>
      <c r="AD607" t="s">
        <v>1</v>
      </c>
      <c r="AE607" t="s">
        <v>227</v>
      </c>
      <c r="AF607" t="s">
        <v>227</v>
      </c>
      <c r="AG607" t="s">
        <v>286</v>
      </c>
      <c r="AI607" t="s">
        <v>227</v>
      </c>
      <c r="AJ607">
        <v>46052</v>
      </c>
      <c r="AK607" t="s">
        <v>315</v>
      </c>
      <c r="AL607" t="s">
        <v>288</v>
      </c>
    </row>
    <row r="608" spans="1:38" x14ac:dyDescent="0.2">
      <c r="A608">
        <v>14</v>
      </c>
      <c r="B608" t="s">
        <v>46</v>
      </c>
      <c r="E608" t="s">
        <v>2354</v>
      </c>
      <c r="F608" t="s">
        <v>2359</v>
      </c>
      <c r="G608" t="s">
        <v>2360</v>
      </c>
      <c r="H608" t="s">
        <v>12</v>
      </c>
      <c r="I608" t="s">
        <v>355</v>
      </c>
      <c r="J608" s="91">
        <v>36818.480000000003</v>
      </c>
      <c r="K608" s="91">
        <v>36818.480000000003</v>
      </c>
      <c r="L608" s="91">
        <v>36818.480000000003</v>
      </c>
      <c r="M608" t="s">
        <v>278</v>
      </c>
      <c r="N608" t="s">
        <v>278</v>
      </c>
      <c r="O608" t="s">
        <v>2361</v>
      </c>
      <c r="P608" t="s">
        <v>280</v>
      </c>
      <c r="Q608" t="s">
        <v>281</v>
      </c>
      <c r="R608" t="s">
        <v>282</v>
      </c>
      <c r="S608" t="s">
        <v>294</v>
      </c>
      <c r="T608" t="s">
        <v>2354</v>
      </c>
      <c r="U608" t="s">
        <v>2358</v>
      </c>
      <c r="V608">
        <v>101</v>
      </c>
      <c r="W608">
        <v>13010</v>
      </c>
      <c r="X608">
        <v>245011</v>
      </c>
      <c r="Y608">
        <v>9999</v>
      </c>
      <c r="Z608">
        <v>999</v>
      </c>
      <c r="AA608">
        <v>999</v>
      </c>
      <c r="AB608">
        <v>9999</v>
      </c>
      <c r="AC608">
        <v>9999</v>
      </c>
      <c r="AD608" t="s">
        <v>1</v>
      </c>
      <c r="AE608" t="s">
        <v>227</v>
      </c>
      <c r="AF608" t="s">
        <v>227</v>
      </c>
      <c r="AG608" t="s">
        <v>286</v>
      </c>
      <c r="AI608" t="s">
        <v>227</v>
      </c>
      <c r="AJ608">
        <v>46052</v>
      </c>
      <c r="AK608" t="s">
        <v>315</v>
      </c>
      <c r="AL608" t="s">
        <v>288</v>
      </c>
    </row>
    <row r="609" spans="1:38" x14ac:dyDescent="0.2">
      <c r="A609">
        <v>28</v>
      </c>
      <c r="B609" t="s">
        <v>46</v>
      </c>
      <c r="E609" t="s">
        <v>37</v>
      </c>
      <c r="F609" t="s">
        <v>2362</v>
      </c>
      <c r="G609" t="s">
        <v>2363</v>
      </c>
      <c r="H609" t="s">
        <v>16</v>
      </c>
      <c r="I609" t="s">
        <v>355</v>
      </c>
      <c r="J609" s="91">
        <v>462518.78</v>
      </c>
      <c r="K609" s="91">
        <v>462518.78</v>
      </c>
      <c r="L609" s="91">
        <v>462518.78</v>
      </c>
      <c r="M609" t="s">
        <v>278</v>
      </c>
      <c r="N609" t="s">
        <v>278</v>
      </c>
      <c r="O609" t="s">
        <v>2364</v>
      </c>
      <c r="P609" t="s">
        <v>280</v>
      </c>
      <c r="Q609" t="s">
        <v>281</v>
      </c>
      <c r="R609" t="s">
        <v>282</v>
      </c>
      <c r="S609" t="s">
        <v>294</v>
      </c>
      <c r="T609" t="s">
        <v>305</v>
      </c>
      <c r="U609" t="s">
        <v>438</v>
      </c>
      <c r="V609">
        <v>101</v>
      </c>
      <c r="W609">
        <v>13001</v>
      </c>
      <c r="X609">
        <v>245011</v>
      </c>
      <c r="Y609">
        <v>9999</v>
      </c>
      <c r="Z609">
        <v>999</v>
      </c>
      <c r="AA609">
        <v>999</v>
      </c>
      <c r="AB609">
        <v>9999</v>
      </c>
      <c r="AC609">
        <v>9999</v>
      </c>
      <c r="AD609" t="s">
        <v>1</v>
      </c>
      <c r="AE609" t="s">
        <v>227</v>
      </c>
      <c r="AF609" t="s">
        <v>227</v>
      </c>
      <c r="AG609" t="s">
        <v>286</v>
      </c>
      <c r="AI609" t="s">
        <v>227</v>
      </c>
      <c r="AJ609">
        <v>46038</v>
      </c>
      <c r="AK609" t="s">
        <v>287</v>
      </c>
      <c r="AL609" t="s">
        <v>288</v>
      </c>
    </row>
    <row r="610" spans="1:38" x14ac:dyDescent="0.2">
      <c r="A610">
        <v>29</v>
      </c>
      <c r="B610" t="s">
        <v>46</v>
      </c>
      <c r="E610" t="s">
        <v>25</v>
      </c>
      <c r="F610" t="s">
        <v>2365</v>
      </c>
      <c r="G610" t="s">
        <v>2366</v>
      </c>
      <c r="H610" t="s">
        <v>16</v>
      </c>
      <c r="I610" t="s">
        <v>355</v>
      </c>
      <c r="J610" s="91">
        <v>-23941.43</v>
      </c>
      <c r="K610" s="91">
        <v>-23941.43</v>
      </c>
      <c r="L610" s="91">
        <v>-23941.43</v>
      </c>
      <c r="M610" t="s">
        <v>278</v>
      </c>
      <c r="N610" t="s">
        <v>278</v>
      </c>
      <c r="O610" t="s">
        <v>2367</v>
      </c>
      <c r="P610" t="s">
        <v>280</v>
      </c>
      <c r="Q610" t="s">
        <v>281</v>
      </c>
      <c r="R610" t="s">
        <v>282</v>
      </c>
      <c r="S610" t="s">
        <v>294</v>
      </c>
      <c r="T610" t="s">
        <v>295</v>
      </c>
      <c r="U610" t="s">
        <v>2060</v>
      </c>
      <c r="V610">
        <v>101</v>
      </c>
      <c r="W610">
        <v>13006</v>
      </c>
      <c r="X610">
        <v>245011</v>
      </c>
      <c r="Y610">
        <v>9999</v>
      </c>
      <c r="Z610">
        <v>950</v>
      </c>
      <c r="AA610">
        <v>999</v>
      </c>
      <c r="AB610">
        <v>9999</v>
      </c>
      <c r="AC610">
        <v>9999</v>
      </c>
      <c r="AD610" t="s">
        <v>1</v>
      </c>
      <c r="AE610" t="s">
        <v>2347</v>
      </c>
      <c r="AF610" t="s">
        <v>227</v>
      </c>
      <c r="AG610" t="s">
        <v>286</v>
      </c>
      <c r="AI610" t="s">
        <v>227</v>
      </c>
      <c r="AJ610">
        <v>46037</v>
      </c>
      <c r="AK610" t="s">
        <v>315</v>
      </c>
      <c r="AL610" t="s">
        <v>288</v>
      </c>
    </row>
    <row r="611" spans="1:38" x14ac:dyDescent="0.2">
      <c r="A611">
        <v>44</v>
      </c>
      <c r="B611" t="s">
        <v>47</v>
      </c>
      <c r="D611" t="s">
        <v>2368</v>
      </c>
      <c r="E611" t="s">
        <v>37</v>
      </c>
      <c r="F611" t="s">
        <v>2369</v>
      </c>
      <c r="G611" t="s">
        <v>2370</v>
      </c>
      <c r="H611" t="s">
        <v>16</v>
      </c>
      <c r="I611" t="s">
        <v>2193</v>
      </c>
      <c r="J611" s="91">
        <v>-462518.78</v>
      </c>
      <c r="K611" s="91">
        <v>-462518.78</v>
      </c>
      <c r="L611" s="91">
        <v>-462518.78</v>
      </c>
      <c r="M611" t="s">
        <v>278</v>
      </c>
      <c r="N611" t="s">
        <v>278</v>
      </c>
      <c r="O611" t="s">
        <v>2371</v>
      </c>
      <c r="P611" t="s">
        <v>280</v>
      </c>
      <c r="Q611" t="s">
        <v>281</v>
      </c>
      <c r="R611" t="s">
        <v>282</v>
      </c>
      <c r="S611" t="s">
        <v>294</v>
      </c>
      <c r="T611" t="s">
        <v>305</v>
      </c>
      <c r="U611" t="s">
        <v>438</v>
      </c>
      <c r="V611">
        <v>101</v>
      </c>
      <c r="W611">
        <v>13001</v>
      </c>
      <c r="X611">
        <v>245011</v>
      </c>
      <c r="Y611">
        <v>9999</v>
      </c>
      <c r="Z611">
        <v>999</v>
      </c>
      <c r="AA611">
        <v>999</v>
      </c>
      <c r="AB611">
        <v>9999</v>
      </c>
      <c r="AC611">
        <v>9999</v>
      </c>
      <c r="AD611" t="s">
        <v>1</v>
      </c>
      <c r="AE611" t="s">
        <v>227</v>
      </c>
      <c r="AF611" t="s">
        <v>227</v>
      </c>
      <c r="AG611" t="s">
        <v>286</v>
      </c>
      <c r="AI611" t="s">
        <v>227</v>
      </c>
      <c r="AJ611">
        <v>46022</v>
      </c>
      <c r="AK611" t="s">
        <v>287</v>
      </c>
      <c r="AL611" t="s">
        <v>288</v>
      </c>
    </row>
    <row r="612" spans="1:38" x14ac:dyDescent="0.2">
      <c r="A612">
        <v>136</v>
      </c>
      <c r="B612" t="s">
        <v>50</v>
      </c>
      <c r="D612" t="s">
        <v>2372</v>
      </c>
      <c r="E612" t="s">
        <v>30</v>
      </c>
      <c r="F612" t="s">
        <v>2373</v>
      </c>
      <c r="G612" t="s">
        <v>2374</v>
      </c>
      <c r="H612" t="s">
        <v>27</v>
      </c>
      <c r="I612" t="s">
        <v>338</v>
      </c>
      <c r="J612" s="91">
        <v>-910000</v>
      </c>
      <c r="K612" s="91">
        <v>-910000</v>
      </c>
      <c r="L612" s="91">
        <v>-910000</v>
      </c>
      <c r="M612" t="s">
        <v>278</v>
      </c>
      <c r="N612" t="s">
        <v>278</v>
      </c>
      <c r="O612" t="s">
        <v>2375</v>
      </c>
      <c r="P612" t="s">
        <v>280</v>
      </c>
      <c r="Q612" t="s">
        <v>281</v>
      </c>
      <c r="R612" t="s">
        <v>282</v>
      </c>
      <c r="S612" t="s">
        <v>294</v>
      </c>
      <c r="T612" t="s">
        <v>295</v>
      </c>
      <c r="U612" t="s">
        <v>387</v>
      </c>
      <c r="V612">
        <v>101</v>
      </c>
      <c r="W612">
        <v>13018</v>
      </c>
      <c r="X612">
        <v>245011</v>
      </c>
      <c r="Y612">
        <v>9999</v>
      </c>
      <c r="Z612">
        <v>999</v>
      </c>
      <c r="AA612">
        <v>999</v>
      </c>
      <c r="AB612">
        <v>9999</v>
      </c>
      <c r="AC612">
        <v>9999</v>
      </c>
      <c r="AD612" t="s">
        <v>1</v>
      </c>
      <c r="AE612" t="s">
        <v>227</v>
      </c>
      <c r="AF612" t="s">
        <v>227</v>
      </c>
      <c r="AG612" t="s">
        <v>286</v>
      </c>
      <c r="AI612" t="s">
        <v>227</v>
      </c>
      <c r="AJ612">
        <v>45930</v>
      </c>
      <c r="AK612" t="s">
        <v>315</v>
      </c>
      <c r="AL612" t="s">
        <v>288</v>
      </c>
    </row>
    <row r="613" spans="1:38" x14ac:dyDescent="0.2">
      <c r="A613">
        <v>105</v>
      </c>
      <c r="B613" t="s">
        <v>49</v>
      </c>
      <c r="D613" t="s">
        <v>2376</v>
      </c>
      <c r="E613" t="s">
        <v>30</v>
      </c>
      <c r="F613" t="s">
        <v>2377</v>
      </c>
      <c r="G613" t="s">
        <v>2378</v>
      </c>
      <c r="H613" t="s">
        <v>27</v>
      </c>
      <c r="I613" t="s">
        <v>348</v>
      </c>
      <c r="J613" s="91">
        <v>-1100713.31</v>
      </c>
      <c r="K613" s="91">
        <v>-1100713.31</v>
      </c>
      <c r="L613" s="91">
        <v>-1100713.31</v>
      </c>
      <c r="M613" t="s">
        <v>278</v>
      </c>
      <c r="N613" t="s">
        <v>278</v>
      </c>
      <c r="O613" t="s">
        <v>2379</v>
      </c>
      <c r="P613" t="s">
        <v>280</v>
      </c>
      <c r="Q613" t="s">
        <v>281</v>
      </c>
      <c r="R613" t="s">
        <v>282</v>
      </c>
      <c r="S613" t="s">
        <v>294</v>
      </c>
      <c r="T613" t="s">
        <v>295</v>
      </c>
      <c r="U613" t="s">
        <v>387</v>
      </c>
      <c r="V613">
        <v>101</v>
      </c>
      <c r="W613">
        <v>13018</v>
      </c>
      <c r="X613">
        <v>245011</v>
      </c>
      <c r="Y613">
        <v>9999</v>
      </c>
      <c r="Z613">
        <v>999</v>
      </c>
      <c r="AA613">
        <v>999</v>
      </c>
      <c r="AB613">
        <v>9999</v>
      </c>
      <c r="AC613">
        <v>9999</v>
      </c>
      <c r="AD613" t="s">
        <v>1</v>
      </c>
      <c r="AE613" t="s">
        <v>227</v>
      </c>
      <c r="AF613" t="s">
        <v>227</v>
      </c>
      <c r="AG613" t="s">
        <v>286</v>
      </c>
      <c r="AI613" t="s">
        <v>227</v>
      </c>
      <c r="AJ613">
        <v>45961</v>
      </c>
      <c r="AK613" t="s">
        <v>287</v>
      </c>
      <c r="AL613" t="s">
        <v>288</v>
      </c>
    </row>
    <row r="614" spans="1:38" x14ac:dyDescent="0.2">
      <c r="A614">
        <v>18</v>
      </c>
      <c r="B614" t="s">
        <v>46</v>
      </c>
      <c r="E614" t="s">
        <v>30</v>
      </c>
      <c r="F614" t="s">
        <v>2380</v>
      </c>
      <c r="G614" t="s">
        <v>2381</v>
      </c>
      <c r="H614" t="s">
        <v>27</v>
      </c>
      <c r="I614" t="s">
        <v>355</v>
      </c>
      <c r="J614" s="91">
        <v>1100713.31</v>
      </c>
      <c r="K614" s="91">
        <v>1100713.31</v>
      </c>
      <c r="L614" s="91">
        <v>1100713.31</v>
      </c>
      <c r="M614" t="s">
        <v>278</v>
      </c>
      <c r="N614" t="s">
        <v>278</v>
      </c>
      <c r="O614" t="s">
        <v>2382</v>
      </c>
      <c r="P614" t="s">
        <v>280</v>
      </c>
      <c r="Q614" t="s">
        <v>281</v>
      </c>
      <c r="R614" t="s">
        <v>282</v>
      </c>
      <c r="S614" t="s">
        <v>294</v>
      </c>
      <c r="T614" t="s">
        <v>295</v>
      </c>
      <c r="U614" t="s">
        <v>387</v>
      </c>
      <c r="V614">
        <v>101</v>
      </c>
      <c r="W614">
        <v>13018</v>
      </c>
      <c r="X614">
        <v>245011</v>
      </c>
      <c r="Y614">
        <v>9999</v>
      </c>
      <c r="Z614">
        <v>999</v>
      </c>
      <c r="AA614">
        <v>999</v>
      </c>
      <c r="AB614">
        <v>9999</v>
      </c>
      <c r="AC614">
        <v>9999</v>
      </c>
      <c r="AD614" t="s">
        <v>1</v>
      </c>
      <c r="AE614" t="s">
        <v>227</v>
      </c>
      <c r="AF614" t="s">
        <v>227</v>
      </c>
      <c r="AG614" t="s">
        <v>286</v>
      </c>
      <c r="AI614" t="s">
        <v>227</v>
      </c>
      <c r="AJ614">
        <v>46048</v>
      </c>
      <c r="AK614" t="s">
        <v>287</v>
      </c>
      <c r="AL614" t="s">
        <v>288</v>
      </c>
    </row>
    <row r="615" spans="1:38" x14ac:dyDescent="0.2">
      <c r="A615">
        <v>18</v>
      </c>
      <c r="B615" t="s">
        <v>46</v>
      </c>
      <c r="E615" t="s">
        <v>30</v>
      </c>
      <c r="F615" t="s">
        <v>2383</v>
      </c>
      <c r="G615" t="s">
        <v>2384</v>
      </c>
      <c r="H615" t="s">
        <v>27</v>
      </c>
      <c r="I615" t="s">
        <v>355</v>
      </c>
      <c r="J615" s="91">
        <v>910000</v>
      </c>
      <c r="K615" s="91">
        <v>910000</v>
      </c>
      <c r="L615" s="91">
        <v>910000</v>
      </c>
      <c r="M615" t="s">
        <v>278</v>
      </c>
      <c r="N615" t="s">
        <v>278</v>
      </c>
      <c r="O615" t="s">
        <v>2385</v>
      </c>
      <c r="P615" t="s">
        <v>280</v>
      </c>
      <c r="Q615" t="s">
        <v>281</v>
      </c>
      <c r="R615" t="s">
        <v>282</v>
      </c>
      <c r="S615" t="s">
        <v>294</v>
      </c>
      <c r="T615" t="s">
        <v>295</v>
      </c>
      <c r="U615" t="s">
        <v>387</v>
      </c>
      <c r="V615">
        <v>101</v>
      </c>
      <c r="W615">
        <v>13018</v>
      </c>
      <c r="X615">
        <v>245011</v>
      </c>
      <c r="Y615">
        <v>9999</v>
      </c>
      <c r="Z615">
        <v>999</v>
      </c>
      <c r="AA615">
        <v>999</v>
      </c>
      <c r="AB615">
        <v>9999</v>
      </c>
      <c r="AC615">
        <v>9999</v>
      </c>
      <c r="AD615" t="s">
        <v>1</v>
      </c>
      <c r="AE615" t="s">
        <v>227</v>
      </c>
      <c r="AF615" t="s">
        <v>227</v>
      </c>
      <c r="AG615" t="s">
        <v>286</v>
      </c>
      <c r="AI615" t="s">
        <v>227</v>
      </c>
      <c r="AJ615">
        <v>46048</v>
      </c>
      <c r="AK615" t="s">
        <v>315</v>
      </c>
      <c r="AL615" t="s">
        <v>288</v>
      </c>
    </row>
    <row r="616" spans="1:38" x14ac:dyDescent="0.2">
      <c r="A616">
        <v>40</v>
      </c>
      <c r="B616" t="s">
        <v>47</v>
      </c>
      <c r="D616" t="s">
        <v>2386</v>
      </c>
      <c r="E616" t="s">
        <v>23</v>
      </c>
      <c r="F616" t="s">
        <v>2387</v>
      </c>
      <c r="G616" t="s">
        <v>2388</v>
      </c>
      <c r="H616" t="s">
        <v>27</v>
      </c>
      <c r="I616" t="s">
        <v>355</v>
      </c>
      <c r="J616" s="91">
        <v>-2323962.7999999998</v>
      </c>
      <c r="K616" s="91">
        <v>-2323962.7999999998</v>
      </c>
      <c r="L616" s="91">
        <v>-2323962.7999999998</v>
      </c>
      <c r="M616" t="s">
        <v>278</v>
      </c>
      <c r="N616" t="s">
        <v>278</v>
      </c>
      <c r="O616" t="s">
        <v>2389</v>
      </c>
      <c r="P616" t="s">
        <v>280</v>
      </c>
      <c r="Q616" t="s">
        <v>281</v>
      </c>
      <c r="R616" t="s">
        <v>282</v>
      </c>
      <c r="S616" t="s">
        <v>283</v>
      </c>
      <c r="T616" t="s">
        <v>313</v>
      </c>
      <c r="U616" t="s">
        <v>415</v>
      </c>
      <c r="V616">
        <v>101</v>
      </c>
      <c r="W616">
        <v>11003</v>
      </c>
      <c r="X616">
        <v>245011</v>
      </c>
      <c r="Y616">
        <v>9999</v>
      </c>
      <c r="Z616">
        <v>999</v>
      </c>
      <c r="AA616">
        <v>999</v>
      </c>
      <c r="AB616">
        <v>9999</v>
      </c>
      <c r="AC616">
        <v>9999</v>
      </c>
      <c r="AD616" t="s">
        <v>1</v>
      </c>
      <c r="AE616" t="s">
        <v>227</v>
      </c>
      <c r="AF616" t="s">
        <v>227</v>
      </c>
      <c r="AG616" t="s">
        <v>286</v>
      </c>
      <c r="AI616" t="s">
        <v>227</v>
      </c>
      <c r="AJ616">
        <v>46053</v>
      </c>
      <c r="AK616" t="s">
        <v>287</v>
      </c>
      <c r="AL616" t="s">
        <v>288</v>
      </c>
    </row>
    <row r="617" spans="1:38" x14ac:dyDescent="0.2">
      <c r="A617">
        <v>41</v>
      </c>
      <c r="B617" t="s">
        <v>47</v>
      </c>
      <c r="D617" t="s">
        <v>2390</v>
      </c>
      <c r="E617" t="s">
        <v>23</v>
      </c>
      <c r="F617" t="s">
        <v>2391</v>
      </c>
      <c r="G617" t="s">
        <v>2392</v>
      </c>
      <c r="H617" t="s">
        <v>12</v>
      </c>
      <c r="I617" t="s">
        <v>355</v>
      </c>
      <c r="J617" s="91">
        <v>-1530.38</v>
      </c>
      <c r="K617" s="91">
        <v>-1530.38</v>
      </c>
      <c r="L617" s="91">
        <v>-1530.38</v>
      </c>
      <c r="M617" t="s">
        <v>278</v>
      </c>
      <c r="N617" t="s">
        <v>278</v>
      </c>
      <c r="O617" t="s">
        <v>2390</v>
      </c>
      <c r="P617" t="s">
        <v>280</v>
      </c>
      <c r="Q617" t="s">
        <v>281</v>
      </c>
      <c r="R617" t="s">
        <v>282</v>
      </c>
      <c r="S617" t="s">
        <v>283</v>
      </c>
      <c r="T617" t="s">
        <v>313</v>
      </c>
      <c r="U617" t="s">
        <v>345</v>
      </c>
      <c r="V617">
        <v>101</v>
      </c>
      <c r="W617">
        <v>11003</v>
      </c>
      <c r="X617">
        <v>245011</v>
      </c>
      <c r="Y617">
        <v>9999</v>
      </c>
      <c r="Z617">
        <v>950</v>
      </c>
      <c r="AA617">
        <v>999</v>
      </c>
      <c r="AB617">
        <v>9999</v>
      </c>
      <c r="AC617">
        <v>9999</v>
      </c>
      <c r="AD617" t="s">
        <v>1</v>
      </c>
      <c r="AE617" t="s">
        <v>2393</v>
      </c>
      <c r="AF617" t="s">
        <v>227</v>
      </c>
      <c r="AG617" t="s">
        <v>286</v>
      </c>
      <c r="AI617" t="s">
        <v>227</v>
      </c>
      <c r="AJ617">
        <v>46052</v>
      </c>
      <c r="AK617" t="s">
        <v>315</v>
      </c>
      <c r="AL617" t="s">
        <v>288</v>
      </c>
    </row>
    <row r="618" spans="1:38" x14ac:dyDescent="0.2">
      <c r="E618" t="s">
        <v>23</v>
      </c>
      <c r="F618" t="s">
        <v>2394</v>
      </c>
      <c r="G618" t="s">
        <v>2395</v>
      </c>
      <c r="H618" t="s">
        <v>27</v>
      </c>
      <c r="I618" t="s">
        <v>359</v>
      </c>
      <c r="J618" s="91">
        <v>2323962.7999999998</v>
      </c>
      <c r="K618" s="91">
        <v>2323962.7999999998</v>
      </c>
      <c r="L618" s="91">
        <v>2323962.7999999998</v>
      </c>
      <c r="M618" t="s">
        <v>278</v>
      </c>
      <c r="N618" t="s">
        <v>278</v>
      </c>
      <c r="O618" t="s">
        <v>2396</v>
      </c>
      <c r="P618" t="s">
        <v>280</v>
      </c>
      <c r="Q618" t="s">
        <v>281</v>
      </c>
      <c r="R618" t="s">
        <v>282</v>
      </c>
      <c r="S618" t="s">
        <v>283</v>
      </c>
      <c r="T618" t="s">
        <v>313</v>
      </c>
      <c r="U618" t="s">
        <v>415</v>
      </c>
      <c r="V618">
        <v>101</v>
      </c>
      <c r="W618">
        <v>11003</v>
      </c>
      <c r="X618">
        <v>245011</v>
      </c>
      <c r="Y618">
        <v>9999</v>
      </c>
      <c r="Z618">
        <v>999</v>
      </c>
      <c r="AA618">
        <v>999</v>
      </c>
      <c r="AB618">
        <v>9999</v>
      </c>
      <c r="AC618">
        <v>9999</v>
      </c>
      <c r="AD618" t="s">
        <v>1</v>
      </c>
      <c r="AE618" t="s">
        <v>227</v>
      </c>
      <c r="AF618" t="s">
        <v>227</v>
      </c>
      <c r="AG618" t="s">
        <v>286</v>
      </c>
      <c r="AI618" t="s">
        <v>227</v>
      </c>
      <c r="AJ618">
        <v>46058</v>
      </c>
      <c r="AK618" t="s">
        <v>287</v>
      </c>
      <c r="AL618" t="s">
        <v>288</v>
      </c>
    </row>
    <row r="619" spans="1:38" x14ac:dyDescent="0.2">
      <c r="E619" t="s">
        <v>23</v>
      </c>
      <c r="F619" t="s">
        <v>2397</v>
      </c>
      <c r="G619" t="s">
        <v>2398</v>
      </c>
      <c r="H619" t="s">
        <v>12</v>
      </c>
      <c r="I619" t="s">
        <v>359</v>
      </c>
      <c r="J619" s="91">
        <v>1530.38</v>
      </c>
      <c r="K619" s="91">
        <v>1530.38</v>
      </c>
      <c r="L619" s="91">
        <v>1530.38</v>
      </c>
      <c r="M619" t="s">
        <v>278</v>
      </c>
      <c r="N619" t="s">
        <v>278</v>
      </c>
      <c r="O619" t="s">
        <v>2399</v>
      </c>
      <c r="P619" t="s">
        <v>280</v>
      </c>
      <c r="Q619" t="s">
        <v>281</v>
      </c>
      <c r="R619" t="s">
        <v>282</v>
      </c>
      <c r="S619" t="s">
        <v>283</v>
      </c>
      <c r="T619" t="s">
        <v>313</v>
      </c>
      <c r="U619" t="s">
        <v>345</v>
      </c>
      <c r="V619">
        <v>101</v>
      </c>
      <c r="W619">
        <v>11003</v>
      </c>
      <c r="X619">
        <v>245011</v>
      </c>
      <c r="Y619">
        <v>9999</v>
      </c>
      <c r="Z619">
        <v>950</v>
      </c>
      <c r="AA619">
        <v>999</v>
      </c>
      <c r="AB619">
        <v>9999</v>
      </c>
      <c r="AC619">
        <v>9999</v>
      </c>
      <c r="AD619" t="s">
        <v>1</v>
      </c>
      <c r="AE619" t="s">
        <v>2393</v>
      </c>
      <c r="AF619" t="s">
        <v>227</v>
      </c>
      <c r="AG619" t="s">
        <v>286</v>
      </c>
      <c r="AI619" t="s">
        <v>227</v>
      </c>
      <c r="AJ619">
        <v>46081</v>
      </c>
      <c r="AK619" t="s">
        <v>315</v>
      </c>
      <c r="AL619" t="s">
        <v>288</v>
      </c>
    </row>
    <row r="620" spans="1:38" x14ac:dyDescent="0.2">
      <c r="A620">
        <v>40</v>
      </c>
      <c r="B620" t="s">
        <v>47</v>
      </c>
      <c r="D620" t="s">
        <v>2386</v>
      </c>
      <c r="E620" t="s">
        <v>14</v>
      </c>
      <c r="F620" t="s">
        <v>2400</v>
      </c>
      <c r="G620" t="s">
        <v>2401</v>
      </c>
      <c r="H620" t="s">
        <v>16</v>
      </c>
      <c r="I620" t="s">
        <v>355</v>
      </c>
      <c r="J620" s="91">
        <v>36855.440000000002</v>
      </c>
      <c r="K620" s="91">
        <v>36855.440000000002</v>
      </c>
      <c r="L620" s="91">
        <v>36855.440000000002</v>
      </c>
      <c r="M620" t="s">
        <v>278</v>
      </c>
      <c r="N620" t="s">
        <v>278</v>
      </c>
      <c r="O620" t="s">
        <v>2402</v>
      </c>
      <c r="P620" t="s">
        <v>280</v>
      </c>
      <c r="Q620" t="s">
        <v>281</v>
      </c>
      <c r="R620" t="s">
        <v>282</v>
      </c>
      <c r="S620" t="s">
        <v>294</v>
      </c>
      <c r="T620" t="s">
        <v>305</v>
      </c>
      <c r="U620" t="s">
        <v>306</v>
      </c>
      <c r="V620">
        <v>101</v>
      </c>
      <c r="W620">
        <v>13016</v>
      </c>
      <c r="X620">
        <v>245011</v>
      </c>
      <c r="Y620">
        <v>9999</v>
      </c>
      <c r="Z620">
        <v>999</v>
      </c>
      <c r="AA620">
        <v>999</v>
      </c>
      <c r="AB620">
        <v>9999</v>
      </c>
      <c r="AC620">
        <v>9999</v>
      </c>
      <c r="AD620" t="s">
        <v>1</v>
      </c>
      <c r="AE620" t="s">
        <v>227</v>
      </c>
      <c r="AF620" t="s">
        <v>227</v>
      </c>
      <c r="AG620" t="s">
        <v>286</v>
      </c>
      <c r="AI620" t="s">
        <v>227</v>
      </c>
      <c r="AJ620">
        <v>46053</v>
      </c>
      <c r="AK620" t="s">
        <v>287</v>
      </c>
      <c r="AL620" t="s">
        <v>288</v>
      </c>
    </row>
    <row r="621" spans="1:38" x14ac:dyDescent="0.2">
      <c r="E621" t="s">
        <v>14</v>
      </c>
      <c r="F621" t="s">
        <v>2403</v>
      </c>
      <c r="G621" t="s">
        <v>2404</v>
      </c>
      <c r="H621" t="s">
        <v>16</v>
      </c>
      <c r="I621" t="s">
        <v>359</v>
      </c>
      <c r="J621" s="91">
        <v>-36855.440000000002</v>
      </c>
      <c r="K621" s="91">
        <v>-36855.440000000002</v>
      </c>
      <c r="L621" s="91">
        <v>-36855.440000000002</v>
      </c>
      <c r="M621" t="s">
        <v>278</v>
      </c>
      <c r="N621" t="s">
        <v>278</v>
      </c>
      <c r="O621" t="s">
        <v>2405</v>
      </c>
      <c r="P621" t="s">
        <v>280</v>
      </c>
      <c r="Q621" t="s">
        <v>281</v>
      </c>
      <c r="R621" t="s">
        <v>282</v>
      </c>
      <c r="S621" t="s">
        <v>294</v>
      </c>
      <c r="T621" t="s">
        <v>305</v>
      </c>
      <c r="U621" t="s">
        <v>306</v>
      </c>
      <c r="V621">
        <v>101</v>
      </c>
      <c r="W621">
        <v>13016</v>
      </c>
      <c r="X621">
        <v>245011</v>
      </c>
      <c r="Y621">
        <v>9999</v>
      </c>
      <c r="Z621">
        <v>999</v>
      </c>
      <c r="AA621">
        <v>999</v>
      </c>
      <c r="AB621">
        <v>9999</v>
      </c>
      <c r="AC621">
        <v>9999</v>
      </c>
      <c r="AD621" t="s">
        <v>1</v>
      </c>
      <c r="AE621" t="s">
        <v>227</v>
      </c>
      <c r="AF621" t="s">
        <v>227</v>
      </c>
      <c r="AG621" t="s">
        <v>286</v>
      </c>
      <c r="AI621" t="s">
        <v>227</v>
      </c>
      <c r="AJ621">
        <v>46056</v>
      </c>
      <c r="AK621" t="s">
        <v>287</v>
      </c>
      <c r="AL621" t="s">
        <v>288</v>
      </c>
    </row>
    <row r="622" spans="1:38" x14ac:dyDescent="0.2">
      <c r="A622">
        <v>71</v>
      </c>
      <c r="B622" t="s">
        <v>48</v>
      </c>
      <c r="D622" t="s">
        <v>2406</v>
      </c>
      <c r="E622" t="s">
        <v>2256</v>
      </c>
      <c r="F622" t="s">
        <v>2407</v>
      </c>
      <c r="G622" t="s">
        <v>2408</v>
      </c>
      <c r="H622" t="s">
        <v>16</v>
      </c>
      <c r="I622" t="s">
        <v>2193</v>
      </c>
      <c r="J622" s="91">
        <v>1042142.5</v>
      </c>
      <c r="K622" s="91">
        <v>1042142.5</v>
      </c>
      <c r="L622" s="91">
        <v>1042142.5</v>
      </c>
      <c r="M622" t="s">
        <v>278</v>
      </c>
      <c r="N622" t="s">
        <v>278</v>
      </c>
      <c r="O622" t="s">
        <v>2409</v>
      </c>
      <c r="P622" t="s">
        <v>280</v>
      </c>
      <c r="Q622" t="s">
        <v>281</v>
      </c>
      <c r="R622" t="s">
        <v>282</v>
      </c>
      <c r="S622" t="s">
        <v>294</v>
      </c>
      <c r="T622" t="s">
        <v>295</v>
      </c>
      <c r="U622" t="s">
        <v>2260</v>
      </c>
      <c r="V622">
        <v>101</v>
      </c>
      <c r="W622">
        <v>13019</v>
      </c>
      <c r="X622">
        <v>245011</v>
      </c>
      <c r="Y622">
        <v>9999</v>
      </c>
      <c r="Z622">
        <v>999</v>
      </c>
      <c r="AA622">
        <v>999</v>
      </c>
      <c r="AB622">
        <v>9999</v>
      </c>
      <c r="AC622">
        <v>9999</v>
      </c>
      <c r="AD622" t="s">
        <v>1</v>
      </c>
      <c r="AE622" t="s">
        <v>227</v>
      </c>
      <c r="AF622" t="s">
        <v>227</v>
      </c>
      <c r="AG622" t="s">
        <v>286</v>
      </c>
      <c r="AI622" t="s">
        <v>227</v>
      </c>
      <c r="AJ622">
        <v>46022</v>
      </c>
      <c r="AK622" t="s">
        <v>287</v>
      </c>
      <c r="AL622" t="s">
        <v>288</v>
      </c>
    </row>
    <row r="623" spans="1:38" x14ac:dyDescent="0.2">
      <c r="A623">
        <v>40</v>
      </c>
      <c r="B623" t="s">
        <v>47</v>
      </c>
      <c r="D623" t="s">
        <v>2406</v>
      </c>
      <c r="E623" t="s">
        <v>2256</v>
      </c>
      <c r="F623" t="s">
        <v>2410</v>
      </c>
      <c r="G623" t="s">
        <v>2411</v>
      </c>
      <c r="H623" t="s">
        <v>16</v>
      </c>
      <c r="I623" t="s">
        <v>355</v>
      </c>
      <c r="J623" s="91">
        <v>101867.24</v>
      </c>
      <c r="K623" s="91">
        <v>101867.24</v>
      </c>
      <c r="L623" s="91">
        <v>101867.24</v>
      </c>
      <c r="M623" t="s">
        <v>278</v>
      </c>
      <c r="N623" t="s">
        <v>278</v>
      </c>
      <c r="O623" t="s">
        <v>2412</v>
      </c>
      <c r="P623" t="s">
        <v>280</v>
      </c>
      <c r="Q623" t="s">
        <v>281</v>
      </c>
      <c r="R623" t="s">
        <v>282</v>
      </c>
      <c r="S623" t="s">
        <v>294</v>
      </c>
      <c r="T623" t="s">
        <v>295</v>
      </c>
      <c r="U623" t="s">
        <v>2260</v>
      </c>
      <c r="V623">
        <v>101</v>
      </c>
      <c r="W623">
        <v>13019</v>
      </c>
      <c r="X623">
        <v>245011</v>
      </c>
      <c r="Y623">
        <v>9999</v>
      </c>
      <c r="Z623">
        <v>999</v>
      </c>
      <c r="AA623">
        <v>999</v>
      </c>
      <c r="AB623">
        <v>9999</v>
      </c>
      <c r="AC623">
        <v>9999</v>
      </c>
      <c r="AD623" t="s">
        <v>1</v>
      </c>
      <c r="AE623" t="s">
        <v>227</v>
      </c>
      <c r="AF623" t="s">
        <v>227</v>
      </c>
      <c r="AG623" t="s">
        <v>286</v>
      </c>
      <c r="AI623" t="s">
        <v>227</v>
      </c>
      <c r="AJ623">
        <v>46053</v>
      </c>
      <c r="AK623" t="s">
        <v>287</v>
      </c>
      <c r="AL623" t="s">
        <v>288</v>
      </c>
    </row>
    <row r="624" spans="1:38" x14ac:dyDescent="0.2">
      <c r="E624" t="s">
        <v>2256</v>
      </c>
      <c r="F624" t="s">
        <v>2413</v>
      </c>
      <c r="G624" t="s">
        <v>2414</v>
      </c>
      <c r="H624" t="s">
        <v>16</v>
      </c>
      <c r="I624" t="s">
        <v>359</v>
      </c>
      <c r="J624" s="91">
        <v>-101867.24</v>
      </c>
      <c r="K624" s="91">
        <v>-101867.24</v>
      </c>
      <c r="L624" s="91">
        <v>-101867.24</v>
      </c>
      <c r="M624" t="s">
        <v>278</v>
      </c>
      <c r="N624" t="s">
        <v>278</v>
      </c>
      <c r="O624" t="s">
        <v>2415</v>
      </c>
      <c r="P624" t="s">
        <v>280</v>
      </c>
      <c r="Q624" t="s">
        <v>281</v>
      </c>
      <c r="R624" t="s">
        <v>282</v>
      </c>
      <c r="S624" t="s">
        <v>294</v>
      </c>
      <c r="T624" t="s">
        <v>295</v>
      </c>
      <c r="U624" t="s">
        <v>2260</v>
      </c>
      <c r="V624">
        <v>101</v>
      </c>
      <c r="W624">
        <v>13019</v>
      </c>
      <c r="X624">
        <v>245011</v>
      </c>
      <c r="Y624">
        <v>9999</v>
      </c>
      <c r="Z624">
        <v>999</v>
      </c>
      <c r="AA624">
        <v>999</v>
      </c>
      <c r="AB624">
        <v>9999</v>
      </c>
      <c r="AC624">
        <v>9999</v>
      </c>
      <c r="AD624" t="s">
        <v>1</v>
      </c>
      <c r="AE624" t="s">
        <v>227</v>
      </c>
      <c r="AF624" t="s">
        <v>227</v>
      </c>
      <c r="AG624" t="s">
        <v>286</v>
      </c>
      <c r="AI624" t="s">
        <v>227</v>
      </c>
      <c r="AJ624">
        <v>46065</v>
      </c>
      <c r="AK624" t="s">
        <v>287</v>
      </c>
      <c r="AL624" t="s">
        <v>288</v>
      </c>
    </row>
    <row r="625" spans="1:38" x14ac:dyDescent="0.2">
      <c r="E625" t="s">
        <v>2256</v>
      </c>
      <c r="F625" t="s">
        <v>2416</v>
      </c>
      <c r="G625" t="s">
        <v>2417</v>
      </c>
      <c r="H625" t="s">
        <v>16</v>
      </c>
      <c r="I625" t="s">
        <v>359</v>
      </c>
      <c r="J625" s="91">
        <v>-1042142.5</v>
      </c>
      <c r="K625" s="91">
        <v>-1042142.5</v>
      </c>
      <c r="L625" s="91">
        <v>-1042142.5</v>
      </c>
      <c r="M625" t="s">
        <v>278</v>
      </c>
      <c r="N625" t="s">
        <v>278</v>
      </c>
      <c r="O625" t="s">
        <v>2418</v>
      </c>
      <c r="P625" t="s">
        <v>280</v>
      </c>
      <c r="Q625" t="s">
        <v>281</v>
      </c>
      <c r="R625" t="s">
        <v>282</v>
      </c>
      <c r="S625" t="s">
        <v>294</v>
      </c>
      <c r="T625" t="s">
        <v>295</v>
      </c>
      <c r="U625" t="s">
        <v>2260</v>
      </c>
      <c r="V625">
        <v>101</v>
      </c>
      <c r="W625">
        <v>13019</v>
      </c>
      <c r="X625">
        <v>245011</v>
      </c>
      <c r="Y625">
        <v>9999</v>
      </c>
      <c r="Z625">
        <v>999</v>
      </c>
      <c r="AA625">
        <v>999</v>
      </c>
      <c r="AB625">
        <v>9999</v>
      </c>
      <c r="AC625">
        <v>9999</v>
      </c>
      <c r="AD625" t="s">
        <v>1</v>
      </c>
      <c r="AE625" t="s">
        <v>227</v>
      </c>
      <c r="AF625" t="s">
        <v>227</v>
      </c>
      <c r="AG625" t="s">
        <v>286</v>
      </c>
      <c r="AI625" t="s">
        <v>227</v>
      </c>
      <c r="AJ625">
        <v>46065</v>
      </c>
      <c r="AK625" t="s">
        <v>287</v>
      </c>
      <c r="AL625" t="s">
        <v>288</v>
      </c>
    </row>
    <row r="626" spans="1:38" x14ac:dyDescent="0.2">
      <c r="A626">
        <v>40</v>
      </c>
      <c r="B626" t="s">
        <v>47</v>
      </c>
      <c r="D626" t="s">
        <v>2386</v>
      </c>
      <c r="E626" t="s">
        <v>149</v>
      </c>
      <c r="F626" t="s">
        <v>2419</v>
      </c>
      <c r="G626" t="s">
        <v>2420</v>
      </c>
      <c r="H626" t="s">
        <v>21</v>
      </c>
      <c r="I626" t="s">
        <v>355</v>
      </c>
      <c r="J626" s="91">
        <v>344465.08</v>
      </c>
      <c r="K626" s="91">
        <v>344465.08</v>
      </c>
      <c r="L626" s="91">
        <v>344465.08</v>
      </c>
      <c r="M626" t="s">
        <v>278</v>
      </c>
      <c r="N626" t="s">
        <v>278</v>
      </c>
      <c r="O626" t="s">
        <v>2421</v>
      </c>
      <c r="P626" t="s">
        <v>280</v>
      </c>
      <c r="Q626" t="s">
        <v>281</v>
      </c>
      <c r="R626" t="s">
        <v>282</v>
      </c>
      <c r="S626" t="s">
        <v>294</v>
      </c>
      <c r="T626" t="s">
        <v>295</v>
      </c>
      <c r="U626" t="s">
        <v>778</v>
      </c>
      <c r="V626">
        <v>101</v>
      </c>
      <c r="W626">
        <v>13017</v>
      </c>
      <c r="X626">
        <v>245011</v>
      </c>
      <c r="Y626">
        <v>9999</v>
      </c>
      <c r="Z626">
        <v>999</v>
      </c>
      <c r="AA626">
        <v>999</v>
      </c>
      <c r="AB626">
        <v>9999</v>
      </c>
      <c r="AC626">
        <v>9999</v>
      </c>
      <c r="AD626" t="s">
        <v>1</v>
      </c>
      <c r="AE626" t="s">
        <v>227</v>
      </c>
      <c r="AF626" t="s">
        <v>227</v>
      </c>
      <c r="AG626" t="s">
        <v>286</v>
      </c>
      <c r="AI626" t="s">
        <v>227</v>
      </c>
      <c r="AJ626">
        <v>46053</v>
      </c>
      <c r="AK626" t="s">
        <v>287</v>
      </c>
      <c r="AL626" t="s">
        <v>288</v>
      </c>
    </row>
    <row r="627" spans="1:38" x14ac:dyDescent="0.2">
      <c r="E627" t="s">
        <v>149</v>
      </c>
      <c r="F627" t="s">
        <v>2422</v>
      </c>
      <c r="G627" t="s">
        <v>2423</v>
      </c>
      <c r="H627" t="s">
        <v>21</v>
      </c>
      <c r="I627" t="s">
        <v>359</v>
      </c>
      <c r="J627" s="91">
        <v>-344465.08</v>
      </c>
      <c r="K627" s="91">
        <v>-344465.08</v>
      </c>
      <c r="L627" s="91">
        <v>-344465.08</v>
      </c>
      <c r="M627" t="s">
        <v>278</v>
      </c>
      <c r="N627" t="s">
        <v>278</v>
      </c>
      <c r="O627" t="s">
        <v>2424</v>
      </c>
      <c r="P627" t="s">
        <v>280</v>
      </c>
      <c r="Q627" t="s">
        <v>281</v>
      </c>
      <c r="R627" t="s">
        <v>282</v>
      </c>
      <c r="S627" t="s">
        <v>294</v>
      </c>
      <c r="T627" t="s">
        <v>295</v>
      </c>
      <c r="U627" t="s">
        <v>778</v>
      </c>
      <c r="V627">
        <v>101</v>
      </c>
      <c r="W627">
        <v>13017</v>
      </c>
      <c r="X627">
        <v>245011</v>
      </c>
      <c r="Y627">
        <v>9999</v>
      </c>
      <c r="Z627">
        <v>999</v>
      </c>
      <c r="AA627">
        <v>999</v>
      </c>
      <c r="AB627">
        <v>9999</v>
      </c>
      <c r="AC627">
        <v>9999</v>
      </c>
      <c r="AD627" t="s">
        <v>1</v>
      </c>
      <c r="AE627" t="s">
        <v>227</v>
      </c>
      <c r="AF627" t="s">
        <v>227</v>
      </c>
      <c r="AG627" t="s">
        <v>286</v>
      </c>
      <c r="AI627" t="s">
        <v>227</v>
      </c>
      <c r="AJ627">
        <v>46056</v>
      </c>
      <c r="AK627" t="s">
        <v>287</v>
      </c>
      <c r="AL627" t="s">
        <v>288</v>
      </c>
    </row>
    <row r="628" spans="1:38" x14ac:dyDescent="0.2">
      <c r="A628">
        <v>192</v>
      </c>
      <c r="B628" t="s">
        <v>51</v>
      </c>
      <c r="D628" t="s">
        <v>2425</v>
      </c>
      <c r="E628" t="s">
        <v>22</v>
      </c>
      <c r="F628" t="s">
        <v>2426</v>
      </c>
      <c r="G628" t="s">
        <v>2427</v>
      </c>
      <c r="H628" t="s">
        <v>12</v>
      </c>
      <c r="I628" t="s">
        <v>338</v>
      </c>
      <c r="J628" s="91">
        <v>-612.27</v>
      </c>
      <c r="K628" s="91">
        <v>-612.27</v>
      </c>
      <c r="L628" s="91">
        <v>-612.27</v>
      </c>
      <c r="M628" t="s">
        <v>278</v>
      </c>
      <c r="N628" t="s">
        <v>278</v>
      </c>
      <c r="O628" t="s">
        <v>2428</v>
      </c>
      <c r="P628" t="s">
        <v>280</v>
      </c>
      <c r="Q628" t="s">
        <v>281</v>
      </c>
      <c r="R628" t="s">
        <v>282</v>
      </c>
      <c r="S628" t="s">
        <v>283</v>
      </c>
      <c r="T628" t="s">
        <v>313</v>
      </c>
      <c r="U628" t="s">
        <v>1140</v>
      </c>
      <c r="V628">
        <v>101</v>
      </c>
      <c r="W628">
        <v>11004</v>
      </c>
      <c r="X628">
        <v>245011</v>
      </c>
      <c r="Y628">
        <v>9999</v>
      </c>
      <c r="Z628">
        <v>950</v>
      </c>
      <c r="AA628">
        <v>999</v>
      </c>
      <c r="AB628">
        <v>9999</v>
      </c>
      <c r="AC628">
        <v>9999</v>
      </c>
      <c r="AD628" t="s">
        <v>1</v>
      </c>
      <c r="AE628" t="s">
        <v>2429</v>
      </c>
      <c r="AF628" t="s">
        <v>227</v>
      </c>
      <c r="AG628" t="s">
        <v>286</v>
      </c>
      <c r="AI628" t="s">
        <v>227</v>
      </c>
      <c r="AJ628">
        <v>45930</v>
      </c>
      <c r="AK628" t="s">
        <v>315</v>
      </c>
      <c r="AL628" t="s">
        <v>288</v>
      </c>
    </row>
    <row r="629" spans="1:38" x14ac:dyDescent="0.2">
      <c r="E629" t="s">
        <v>22</v>
      </c>
      <c r="F629" t="s">
        <v>2430</v>
      </c>
      <c r="G629" t="s">
        <v>2431</v>
      </c>
      <c r="H629" t="s">
        <v>12</v>
      </c>
      <c r="I629" t="s">
        <v>364</v>
      </c>
      <c r="J629" s="91">
        <v>612.27</v>
      </c>
      <c r="K629" s="91">
        <v>612.27</v>
      </c>
      <c r="L629" s="91">
        <v>612.27</v>
      </c>
      <c r="M629" t="s">
        <v>278</v>
      </c>
      <c r="N629" t="s">
        <v>278</v>
      </c>
      <c r="O629" t="s">
        <v>2432</v>
      </c>
      <c r="P629" t="s">
        <v>280</v>
      </c>
      <c r="Q629" t="s">
        <v>281</v>
      </c>
      <c r="R629" t="s">
        <v>282</v>
      </c>
      <c r="S629" t="s">
        <v>283</v>
      </c>
      <c r="T629" t="s">
        <v>313</v>
      </c>
      <c r="U629" t="s">
        <v>1140</v>
      </c>
      <c r="V629">
        <v>101</v>
      </c>
      <c r="W629">
        <v>11004</v>
      </c>
      <c r="X629">
        <v>245011</v>
      </c>
      <c r="Y629">
        <v>9999</v>
      </c>
      <c r="Z629">
        <v>950</v>
      </c>
      <c r="AA629">
        <v>999</v>
      </c>
      <c r="AB629">
        <v>9999</v>
      </c>
      <c r="AC629">
        <v>9999</v>
      </c>
      <c r="AD629" t="s">
        <v>1</v>
      </c>
      <c r="AE629" t="s">
        <v>2429</v>
      </c>
      <c r="AF629" t="s">
        <v>227</v>
      </c>
      <c r="AG629" t="s">
        <v>286</v>
      </c>
      <c r="AI629" t="s">
        <v>227</v>
      </c>
      <c r="AJ629">
        <v>46112</v>
      </c>
      <c r="AK629" t="s">
        <v>315</v>
      </c>
      <c r="AL629" t="s">
        <v>288</v>
      </c>
    </row>
    <row r="630" spans="1:38" x14ac:dyDescent="0.2">
      <c r="A630">
        <v>70</v>
      </c>
      <c r="B630" t="s">
        <v>48</v>
      </c>
      <c r="D630" t="s">
        <v>2357</v>
      </c>
      <c r="E630" t="s">
        <v>38</v>
      </c>
      <c r="F630" t="s">
        <v>2433</v>
      </c>
      <c r="G630" t="s">
        <v>2356</v>
      </c>
      <c r="H630" t="s">
        <v>12</v>
      </c>
      <c r="I630" t="s">
        <v>355</v>
      </c>
      <c r="J630" s="91">
        <v>-36818.480000000003</v>
      </c>
      <c r="K630" s="91">
        <v>-36818.480000000003</v>
      </c>
      <c r="L630" s="91">
        <v>-36818.480000000003</v>
      </c>
      <c r="M630" t="s">
        <v>278</v>
      </c>
      <c r="N630" t="s">
        <v>278</v>
      </c>
      <c r="O630" t="s">
        <v>2357</v>
      </c>
      <c r="P630" t="s">
        <v>280</v>
      </c>
      <c r="Q630" t="s">
        <v>281</v>
      </c>
      <c r="R630" t="s">
        <v>282</v>
      </c>
      <c r="S630" t="s">
        <v>283</v>
      </c>
      <c r="T630" t="s">
        <v>313</v>
      </c>
      <c r="U630" t="s">
        <v>443</v>
      </c>
      <c r="V630">
        <v>101</v>
      </c>
      <c r="W630">
        <v>11023</v>
      </c>
      <c r="X630">
        <v>245011</v>
      </c>
      <c r="Y630">
        <v>9999</v>
      </c>
      <c r="Z630">
        <v>999</v>
      </c>
      <c r="AA630">
        <v>999</v>
      </c>
      <c r="AB630">
        <v>9999</v>
      </c>
      <c r="AC630">
        <v>9999</v>
      </c>
      <c r="AD630" t="s">
        <v>1</v>
      </c>
      <c r="AE630" t="s">
        <v>227</v>
      </c>
      <c r="AF630" t="s">
        <v>227</v>
      </c>
      <c r="AG630" t="s">
        <v>286</v>
      </c>
      <c r="AI630" t="s">
        <v>227</v>
      </c>
      <c r="AJ630">
        <v>46052</v>
      </c>
      <c r="AK630" t="s">
        <v>315</v>
      </c>
      <c r="AL630" t="s">
        <v>288</v>
      </c>
    </row>
    <row r="631" spans="1:38" x14ac:dyDescent="0.2">
      <c r="A631">
        <v>41</v>
      </c>
      <c r="B631" t="s">
        <v>47</v>
      </c>
      <c r="D631" t="s">
        <v>2434</v>
      </c>
      <c r="E631" t="s">
        <v>229</v>
      </c>
      <c r="F631" t="s">
        <v>2435</v>
      </c>
      <c r="G631" t="s">
        <v>2436</v>
      </c>
      <c r="H631" t="s">
        <v>17</v>
      </c>
      <c r="I631" t="s">
        <v>359</v>
      </c>
      <c r="J631" s="91">
        <v>-105786.96</v>
      </c>
      <c r="K631" s="91">
        <v>-105786.96</v>
      </c>
      <c r="L631" s="91">
        <v>-105786.96</v>
      </c>
      <c r="M631" t="s">
        <v>278</v>
      </c>
      <c r="N631" t="s">
        <v>278</v>
      </c>
      <c r="O631" t="s">
        <v>2437</v>
      </c>
      <c r="P631" t="s">
        <v>280</v>
      </c>
      <c r="Q631" t="s">
        <v>281</v>
      </c>
      <c r="R631" t="s">
        <v>282</v>
      </c>
      <c r="S631" t="s">
        <v>283</v>
      </c>
      <c r="T631" t="s">
        <v>313</v>
      </c>
      <c r="U631" t="s">
        <v>1287</v>
      </c>
      <c r="V631">
        <v>101</v>
      </c>
      <c r="W631">
        <v>12011</v>
      </c>
      <c r="X631">
        <v>245011</v>
      </c>
      <c r="Y631">
        <v>9999</v>
      </c>
      <c r="Z631">
        <v>999</v>
      </c>
      <c r="AA631">
        <v>999</v>
      </c>
      <c r="AB631">
        <v>9999</v>
      </c>
      <c r="AC631">
        <v>9999</v>
      </c>
      <c r="AD631" t="s">
        <v>1</v>
      </c>
      <c r="AE631" t="s">
        <v>227</v>
      </c>
      <c r="AF631" t="s">
        <v>227</v>
      </c>
      <c r="AG631" t="s">
        <v>286</v>
      </c>
      <c r="AI631" t="s">
        <v>227</v>
      </c>
      <c r="AJ631">
        <v>46081</v>
      </c>
      <c r="AK631" t="s">
        <v>287</v>
      </c>
      <c r="AL631" t="s">
        <v>288</v>
      </c>
    </row>
    <row r="632" spans="1:38" x14ac:dyDescent="0.2">
      <c r="E632" t="s">
        <v>229</v>
      </c>
      <c r="F632" t="s">
        <v>2438</v>
      </c>
      <c r="G632" t="s">
        <v>2439</v>
      </c>
      <c r="H632" t="s">
        <v>17</v>
      </c>
      <c r="I632" t="s">
        <v>364</v>
      </c>
      <c r="J632" s="91">
        <v>105786.96</v>
      </c>
      <c r="K632" s="91">
        <v>105786.96</v>
      </c>
      <c r="L632" s="91">
        <v>105786.96</v>
      </c>
      <c r="M632" t="s">
        <v>278</v>
      </c>
      <c r="N632" t="s">
        <v>278</v>
      </c>
      <c r="O632" t="s">
        <v>2440</v>
      </c>
      <c r="P632" t="s">
        <v>280</v>
      </c>
      <c r="Q632" t="s">
        <v>281</v>
      </c>
      <c r="R632" t="s">
        <v>282</v>
      </c>
      <c r="S632" t="s">
        <v>283</v>
      </c>
      <c r="T632" t="s">
        <v>313</v>
      </c>
      <c r="U632" t="s">
        <v>1287</v>
      </c>
      <c r="V632">
        <v>101</v>
      </c>
      <c r="W632">
        <v>12011</v>
      </c>
      <c r="X632">
        <v>245011</v>
      </c>
      <c r="Y632">
        <v>9999</v>
      </c>
      <c r="Z632">
        <v>999</v>
      </c>
      <c r="AA632">
        <v>999</v>
      </c>
      <c r="AB632">
        <v>9999</v>
      </c>
      <c r="AC632">
        <v>9999</v>
      </c>
      <c r="AD632" t="s">
        <v>1</v>
      </c>
      <c r="AE632" t="s">
        <v>227</v>
      </c>
      <c r="AF632" t="s">
        <v>227</v>
      </c>
      <c r="AG632" t="s">
        <v>286</v>
      </c>
      <c r="AI632" t="s">
        <v>227</v>
      </c>
      <c r="AJ632">
        <v>46091</v>
      </c>
      <c r="AK632" t="s">
        <v>287</v>
      </c>
      <c r="AL632" t="s">
        <v>288</v>
      </c>
    </row>
    <row r="633" spans="1:38" x14ac:dyDescent="0.2">
      <c r="E633" t="s">
        <v>38</v>
      </c>
      <c r="F633" t="s">
        <v>2441</v>
      </c>
      <c r="G633" t="s">
        <v>2442</v>
      </c>
      <c r="H633" t="s">
        <v>12</v>
      </c>
      <c r="I633" t="s">
        <v>364</v>
      </c>
      <c r="J633" s="91">
        <v>36818.480000000003</v>
      </c>
      <c r="K633" s="91">
        <v>36818.480000000003</v>
      </c>
      <c r="L633" s="91">
        <v>36818.480000000003</v>
      </c>
      <c r="M633" t="s">
        <v>278</v>
      </c>
      <c r="N633" t="s">
        <v>278</v>
      </c>
      <c r="O633" t="s">
        <v>2443</v>
      </c>
      <c r="P633" t="s">
        <v>280</v>
      </c>
      <c r="Q633" t="s">
        <v>281</v>
      </c>
      <c r="R633" t="s">
        <v>282</v>
      </c>
      <c r="S633" t="s">
        <v>283</v>
      </c>
      <c r="T633" t="s">
        <v>313</v>
      </c>
      <c r="U633" t="s">
        <v>443</v>
      </c>
      <c r="V633">
        <v>101</v>
      </c>
      <c r="W633">
        <v>11023</v>
      </c>
      <c r="X633">
        <v>245011</v>
      </c>
      <c r="Y633">
        <v>9999</v>
      </c>
      <c r="Z633">
        <v>999</v>
      </c>
      <c r="AA633">
        <v>999</v>
      </c>
      <c r="AB633">
        <v>9999</v>
      </c>
      <c r="AC633">
        <v>9999</v>
      </c>
      <c r="AD633" t="s">
        <v>1</v>
      </c>
      <c r="AE633" t="s">
        <v>227</v>
      </c>
      <c r="AF633" t="s">
        <v>227</v>
      </c>
      <c r="AG633" t="s">
        <v>286</v>
      </c>
      <c r="AI633" t="s">
        <v>227</v>
      </c>
      <c r="AJ633">
        <v>46112</v>
      </c>
      <c r="AK633" t="s">
        <v>315</v>
      </c>
      <c r="AL633" t="s">
        <v>288</v>
      </c>
    </row>
    <row r="634" spans="1:38" x14ac:dyDescent="0.2">
      <c r="A634">
        <v>434</v>
      </c>
      <c r="B634" t="s">
        <v>54</v>
      </c>
      <c r="D634" t="s">
        <v>2444</v>
      </c>
      <c r="E634" t="s">
        <v>39</v>
      </c>
      <c r="F634" t="s">
        <v>2445</v>
      </c>
      <c r="G634" t="s">
        <v>2446</v>
      </c>
      <c r="H634" t="s">
        <v>19</v>
      </c>
      <c r="I634" t="s">
        <v>311</v>
      </c>
      <c r="J634" s="91">
        <v>-2105.77</v>
      </c>
      <c r="K634" s="91">
        <v>-2105.77</v>
      </c>
      <c r="L634" s="91">
        <v>-2105.77</v>
      </c>
      <c r="M634" t="s">
        <v>278</v>
      </c>
      <c r="N634" t="s">
        <v>278</v>
      </c>
      <c r="O634" t="s">
        <v>2447</v>
      </c>
      <c r="P634" t="s">
        <v>280</v>
      </c>
      <c r="Q634" t="s">
        <v>281</v>
      </c>
      <c r="R634" t="s">
        <v>282</v>
      </c>
      <c r="S634" t="s">
        <v>283</v>
      </c>
      <c r="T634" t="s">
        <v>366</v>
      </c>
      <c r="U634" t="s">
        <v>733</v>
      </c>
      <c r="V634">
        <v>101</v>
      </c>
      <c r="W634">
        <v>12013</v>
      </c>
      <c r="X634">
        <v>245011</v>
      </c>
      <c r="Y634">
        <v>9999</v>
      </c>
      <c r="Z634">
        <v>999</v>
      </c>
      <c r="AA634">
        <v>999</v>
      </c>
      <c r="AB634">
        <v>9999</v>
      </c>
      <c r="AC634">
        <v>9999</v>
      </c>
      <c r="AD634" t="s">
        <v>1</v>
      </c>
      <c r="AE634" t="s">
        <v>227</v>
      </c>
      <c r="AF634" t="s">
        <v>227</v>
      </c>
      <c r="AG634" t="s">
        <v>286</v>
      </c>
      <c r="AI634" t="s">
        <v>227</v>
      </c>
      <c r="AJ634">
        <v>45688</v>
      </c>
      <c r="AK634" t="s">
        <v>315</v>
      </c>
      <c r="AL634" t="s">
        <v>288</v>
      </c>
    </row>
    <row r="635" spans="1:38" x14ac:dyDescent="0.2">
      <c r="A635">
        <v>41</v>
      </c>
      <c r="B635" t="s">
        <v>47</v>
      </c>
      <c r="D635" t="s">
        <v>2448</v>
      </c>
      <c r="E635" t="s">
        <v>39</v>
      </c>
      <c r="F635" t="s">
        <v>2449</v>
      </c>
      <c r="G635" t="s">
        <v>2450</v>
      </c>
      <c r="H635" t="s">
        <v>16</v>
      </c>
      <c r="I635" t="s">
        <v>359</v>
      </c>
      <c r="J635" s="91">
        <v>12631.85</v>
      </c>
      <c r="K635" s="91">
        <v>12631.85</v>
      </c>
      <c r="L635" s="91">
        <v>12631.85</v>
      </c>
      <c r="M635" t="s">
        <v>278</v>
      </c>
      <c r="N635" t="s">
        <v>278</v>
      </c>
      <c r="O635" t="s">
        <v>2448</v>
      </c>
      <c r="P635" t="s">
        <v>280</v>
      </c>
      <c r="Q635" t="s">
        <v>281</v>
      </c>
      <c r="R635" t="s">
        <v>282</v>
      </c>
      <c r="S635" t="s">
        <v>283</v>
      </c>
      <c r="T635" t="s">
        <v>366</v>
      </c>
      <c r="U635" t="s">
        <v>733</v>
      </c>
      <c r="V635">
        <v>101</v>
      </c>
      <c r="W635">
        <v>12013</v>
      </c>
      <c r="X635">
        <v>245011</v>
      </c>
      <c r="Y635">
        <v>9999</v>
      </c>
      <c r="Z635">
        <v>999</v>
      </c>
      <c r="AA635">
        <v>999</v>
      </c>
      <c r="AB635">
        <v>9999</v>
      </c>
      <c r="AC635">
        <v>9999</v>
      </c>
      <c r="AD635" t="s">
        <v>1</v>
      </c>
      <c r="AE635" t="s">
        <v>227</v>
      </c>
      <c r="AF635" t="s">
        <v>227</v>
      </c>
      <c r="AG635" t="s">
        <v>286</v>
      </c>
      <c r="AI635" t="s">
        <v>227</v>
      </c>
      <c r="AJ635">
        <v>46081</v>
      </c>
      <c r="AK635" t="s">
        <v>315</v>
      </c>
      <c r="AL635" t="s">
        <v>288</v>
      </c>
    </row>
    <row r="636" spans="1:38" x14ac:dyDescent="0.2">
      <c r="A636">
        <v>41</v>
      </c>
      <c r="B636" t="s">
        <v>47</v>
      </c>
      <c r="D636" t="s">
        <v>2451</v>
      </c>
      <c r="E636" t="s">
        <v>39</v>
      </c>
      <c r="F636" t="s">
        <v>2452</v>
      </c>
      <c r="G636" t="s">
        <v>2453</v>
      </c>
      <c r="H636" t="s">
        <v>226</v>
      </c>
      <c r="I636" t="s">
        <v>359</v>
      </c>
      <c r="J636" s="91">
        <v>628624.80000000005</v>
      </c>
      <c r="K636" s="91">
        <v>628624.80000000005</v>
      </c>
      <c r="L636" s="91">
        <v>628624.80000000005</v>
      </c>
      <c r="M636" t="s">
        <v>278</v>
      </c>
      <c r="N636" t="s">
        <v>278</v>
      </c>
      <c r="O636" t="s">
        <v>2454</v>
      </c>
      <c r="P636" t="s">
        <v>280</v>
      </c>
      <c r="Q636" t="s">
        <v>281</v>
      </c>
      <c r="R636" t="s">
        <v>282</v>
      </c>
      <c r="S636" t="s">
        <v>283</v>
      </c>
      <c r="T636" t="s">
        <v>366</v>
      </c>
      <c r="U636" t="s">
        <v>733</v>
      </c>
      <c r="V636">
        <v>101</v>
      </c>
      <c r="W636">
        <v>12013</v>
      </c>
      <c r="X636">
        <v>245011</v>
      </c>
      <c r="Y636">
        <v>9999</v>
      </c>
      <c r="Z636">
        <v>999</v>
      </c>
      <c r="AA636">
        <v>999</v>
      </c>
      <c r="AB636">
        <v>9999</v>
      </c>
      <c r="AC636">
        <v>9999</v>
      </c>
      <c r="AD636" t="s">
        <v>1</v>
      </c>
      <c r="AE636" t="s">
        <v>227</v>
      </c>
      <c r="AF636" t="s">
        <v>227</v>
      </c>
      <c r="AG636" t="s">
        <v>286</v>
      </c>
      <c r="AI636" t="s">
        <v>227</v>
      </c>
      <c r="AJ636">
        <v>46081</v>
      </c>
      <c r="AK636" t="s">
        <v>287</v>
      </c>
      <c r="AL636" t="s">
        <v>288</v>
      </c>
    </row>
    <row r="637" spans="1:38" x14ac:dyDescent="0.2">
      <c r="E637" t="s">
        <v>39</v>
      </c>
      <c r="F637" t="s">
        <v>2455</v>
      </c>
      <c r="G637" t="s">
        <v>2456</v>
      </c>
      <c r="H637" t="s">
        <v>16</v>
      </c>
      <c r="I637" t="s">
        <v>364</v>
      </c>
      <c r="J637" s="91">
        <v>-12631.85</v>
      </c>
      <c r="K637" s="91">
        <v>-12631.85</v>
      </c>
      <c r="L637" s="91">
        <v>-12631.85</v>
      </c>
      <c r="M637" t="s">
        <v>278</v>
      </c>
      <c r="N637" t="s">
        <v>278</v>
      </c>
      <c r="O637" t="s">
        <v>2457</v>
      </c>
      <c r="P637" t="s">
        <v>280</v>
      </c>
      <c r="Q637" t="s">
        <v>281</v>
      </c>
      <c r="R637" t="s">
        <v>282</v>
      </c>
      <c r="S637" t="s">
        <v>283</v>
      </c>
      <c r="T637" t="s">
        <v>366</v>
      </c>
      <c r="U637" t="s">
        <v>733</v>
      </c>
      <c r="V637">
        <v>101</v>
      </c>
      <c r="W637">
        <v>12013</v>
      </c>
      <c r="X637">
        <v>245011</v>
      </c>
      <c r="Y637">
        <v>9999</v>
      </c>
      <c r="Z637">
        <v>999</v>
      </c>
      <c r="AA637">
        <v>999</v>
      </c>
      <c r="AB637">
        <v>9999</v>
      </c>
      <c r="AC637">
        <v>9999</v>
      </c>
      <c r="AD637" t="s">
        <v>1</v>
      </c>
      <c r="AE637" t="s">
        <v>227</v>
      </c>
      <c r="AF637" t="s">
        <v>227</v>
      </c>
      <c r="AG637" t="s">
        <v>286</v>
      </c>
      <c r="AI637" t="s">
        <v>227</v>
      </c>
      <c r="AJ637">
        <v>46086</v>
      </c>
      <c r="AK637" t="s">
        <v>315</v>
      </c>
      <c r="AL637" t="s">
        <v>288</v>
      </c>
    </row>
    <row r="638" spans="1:38" x14ac:dyDescent="0.2">
      <c r="E638" t="s">
        <v>39</v>
      </c>
      <c r="F638" t="s">
        <v>2458</v>
      </c>
      <c r="G638" t="s">
        <v>2459</v>
      </c>
      <c r="H638" t="s">
        <v>226</v>
      </c>
      <c r="I638" t="s">
        <v>364</v>
      </c>
      <c r="J638" s="91">
        <v>-628624.80000000005</v>
      </c>
      <c r="K638" s="91">
        <v>-628624.80000000005</v>
      </c>
      <c r="L638" s="91">
        <v>-628624.80000000005</v>
      </c>
      <c r="M638" t="s">
        <v>278</v>
      </c>
      <c r="N638" t="s">
        <v>278</v>
      </c>
      <c r="O638" t="s">
        <v>2460</v>
      </c>
      <c r="P638" t="s">
        <v>280</v>
      </c>
      <c r="Q638" t="s">
        <v>281</v>
      </c>
      <c r="R638" t="s">
        <v>282</v>
      </c>
      <c r="S638" t="s">
        <v>283</v>
      </c>
      <c r="T638" t="s">
        <v>366</v>
      </c>
      <c r="U638" t="s">
        <v>733</v>
      </c>
      <c r="V638">
        <v>101</v>
      </c>
      <c r="W638">
        <v>12013</v>
      </c>
      <c r="X638">
        <v>245011</v>
      </c>
      <c r="Y638">
        <v>9999</v>
      </c>
      <c r="Z638">
        <v>999</v>
      </c>
      <c r="AA638">
        <v>999</v>
      </c>
      <c r="AB638">
        <v>9999</v>
      </c>
      <c r="AC638">
        <v>9999</v>
      </c>
      <c r="AD638" t="s">
        <v>1</v>
      </c>
      <c r="AE638" t="s">
        <v>227</v>
      </c>
      <c r="AF638" t="s">
        <v>227</v>
      </c>
      <c r="AG638" t="s">
        <v>286</v>
      </c>
      <c r="AI638" t="s">
        <v>227</v>
      </c>
      <c r="AJ638">
        <v>46086</v>
      </c>
      <c r="AK638" t="s">
        <v>287</v>
      </c>
      <c r="AL638" t="s">
        <v>288</v>
      </c>
    </row>
    <row r="639" spans="1:38" x14ac:dyDescent="0.2">
      <c r="E639" t="s">
        <v>39</v>
      </c>
      <c r="F639" t="s">
        <v>2461</v>
      </c>
      <c r="G639" t="s">
        <v>2462</v>
      </c>
      <c r="H639" t="s">
        <v>19</v>
      </c>
      <c r="I639" t="s">
        <v>364</v>
      </c>
      <c r="J639" s="91">
        <v>2105.77</v>
      </c>
      <c r="K639" s="91">
        <v>2105.77</v>
      </c>
      <c r="L639" s="91">
        <v>2105.77</v>
      </c>
      <c r="M639" t="s">
        <v>278</v>
      </c>
      <c r="N639" t="s">
        <v>278</v>
      </c>
      <c r="O639" t="s">
        <v>2463</v>
      </c>
      <c r="P639" t="s">
        <v>280</v>
      </c>
      <c r="Q639" t="s">
        <v>281</v>
      </c>
      <c r="R639" t="s">
        <v>282</v>
      </c>
      <c r="S639" t="s">
        <v>283</v>
      </c>
      <c r="T639" t="s">
        <v>366</v>
      </c>
      <c r="U639" t="s">
        <v>733</v>
      </c>
      <c r="V639">
        <v>101</v>
      </c>
      <c r="W639">
        <v>12013</v>
      </c>
      <c r="X639">
        <v>245011</v>
      </c>
      <c r="Y639">
        <v>9999</v>
      </c>
      <c r="Z639">
        <v>999</v>
      </c>
      <c r="AA639">
        <v>999</v>
      </c>
      <c r="AB639">
        <v>9999</v>
      </c>
      <c r="AC639">
        <v>9999</v>
      </c>
      <c r="AD639" t="s">
        <v>1</v>
      </c>
      <c r="AE639" t="s">
        <v>227</v>
      </c>
      <c r="AF639" t="s">
        <v>227</v>
      </c>
      <c r="AG639" t="s">
        <v>286</v>
      </c>
      <c r="AI639" t="s">
        <v>227</v>
      </c>
      <c r="AJ639">
        <v>46112</v>
      </c>
      <c r="AK639" t="s">
        <v>315</v>
      </c>
      <c r="AL639" t="s">
        <v>288</v>
      </c>
    </row>
    <row r="640" spans="1:38" x14ac:dyDescent="0.2">
      <c r="A640">
        <v>345</v>
      </c>
      <c r="B640" t="s">
        <v>53</v>
      </c>
      <c r="D640" t="s">
        <v>2464</v>
      </c>
      <c r="E640" t="s">
        <v>224</v>
      </c>
      <c r="F640" t="s">
        <v>2465</v>
      </c>
      <c r="G640" t="s">
        <v>2466</v>
      </c>
      <c r="H640" t="s">
        <v>12</v>
      </c>
      <c r="I640" t="s">
        <v>1892</v>
      </c>
      <c r="J640" s="91">
        <v>-5029.46</v>
      </c>
      <c r="K640" s="91">
        <v>-5029.46</v>
      </c>
      <c r="L640" s="91">
        <v>-5029.46</v>
      </c>
      <c r="M640" t="s">
        <v>278</v>
      </c>
      <c r="N640" t="s">
        <v>278</v>
      </c>
      <c r="O640" t="s">
        <v>2467</v>
      </c>
      <c r="P640" t="s">
        <v>280</v>
      </c>
      <c r="Q640" t="s">
        <v>281</v>
      </c>
      <c r="R640" t="s">
        <v>282</v>
      </c>
      <c r="S640" t="s">
        <v>283</v>
      </c>
      <c r="T640" t="s">
        <v>313</v>
      </c>
      <c r="U640" t="s">
        <v>1529</v>
      </c>
      <c r="V640">
        <v>101</v>
      </c>
      <c r="W640">
        <v>11001</v>
      </c>
      <c r="X640">
        <v>245011</v>
      </c>
      <c r="Y640">
        <v>9999</v>
      </c>
      <c r="Z640">
        <v>950</v>
      </c>
      <c r="AA640">
        <v>999</v>
      </c>
      <c r="AB640">
        <v>9999</v>
      </c>
      <c r="AC640">
        <v>9999</v>
      </c>
      <c r="AD640" t="s">
        <v>1</v>
      </c>
      <c r="AE640" t="s">
        <v>2468</v>
      </c>
      <c r="AF640" t="s">
        <v>227</v>
      </c>
      <c r="AG640" t="s">
        <v>286</v>
      </c>
      <c r="AI640" t="s">
        <v>227</v>
      </c>
      <c r="AJ640">
        <v>45777</v>
      </c>
      <c r="AK640" t="s">
        <v>315</v>
      </c>
      <c r="AL640" t="s">
        <v>288</v>
      </c>
    </row>
    <row r="641" spans="1:38" x14ac:dyDescent="0.2">
      <c r="E641" t="s">
        <v>224</v>
      </c>
      <c r="F641" t="s">
        <v>2469</v>
      </c>
      <c r="G641" t="s">
        <v>2470</v>
      </c>
      <c r="H641" t="s">
        <v>12</v>
      </c>
      <c r="I641" t="s">
        <v>364</v>
      </c>
      <c r="J641" s="91">
        <v>5029.46</v>
      </c>
      <c r="K641" s="91">
        <v>5029.46</v>
      </c>
      <c r="L641" s="91">
        <v>5029.46</v>
      </c>
      <c r="M641" t="s">
        <v>278</v>
      </c>
      <c r="N641" t="s">
        <v>278</v>
      </c>
      <c r="O641" t="s">
        <v>2471</v>
      </c>
      <c r="P641" t="s">
        <v>280</v>
      </c>
      <c r="Q641" t="s">
        <v>281</v>
      </c>
      <c r="R641" t="s">
        <v>282</v>
      </c>
      <c r="S641" t="s">
        <v>283</v>
      </c>
      <c r="T641" t="s">
        <v>313</v>
      </c>
      <c r="U641" t="s">
        <v>1529</v>
      </c>
      <c r="V641">
        <v>101</v>
      </c>
      <c r="W641">
        <v>11001</v>
      </c>
      <c r="X641">
        <v>245011</v>
      </c>
      <c r="Y641">
        <v>9999</v>
      </c>
      <c r="Z641">
        <v>950</v>
      </c>
      <c r="AA641">
        <v>999</v>
      </c>
      <c r="AB641">
        <v>9999</v>
      </c>
      <c r="AC641">
        <v>9999</v>
      </c>
      <c r="AD641" t="s">
        <v>1</v>
      </c>
      <c r="AE641" t="s">
        <v>2468</v>
      </c>
      <c r="AF641" t="s">
        <v>227</v>
      </c>
      <c r="AG641" t="s">
        <v>286</v>
      </c>
      <c r="AI641" t="s">
        <v>227</v>
      </c>
      <c r="AJ641">
        <v>46105</v>
      </c>
      <c r="AK641" t="s">
        <v>315</v>
      </c>
      <c r="AL641" t="s">
        <v>288</v>
      </c>
    </row>
    <row r="642" spans="1:38" x14ac:dyDescent="0.2">
      <c r="A642">
        <v>440</v>
      </c>
      <c r="B642" t="s">
        <v>54</v>
      </c>
      <c r="D642" t="s">
        <v>2472</v>
      </c>
      <c r="E642" t="s">
        <v>11</v>
      </c>
      <c r="F642" t="s">
        <v>2473</v>
      </c>
      <c r="G642" t="s">
        <v>2474</v>
      </c>
      <c r="H642" t="s">
        <v>16</v>
      </c>
      <c r="I642" t="s">
        <v>1772</v>
      </c>
      <c r="J642" s="91">
        <v>100000</v>
      </c>
      <c r="K642" s="91">
        <v>100000</v>
      </c>
      <c r="L642" s="91">
        <v>100000</v>
      </c>
      <c r="M642" t="s">
        <v>278</v>
      </c>
      <c r="N642" t="s">
        <v>278</v>
      </c>
      <c r="O642" t="s">
        <v>2475</v>
      </c>
      <c r="P642" t="s">
        <v>280</v>
      </c>
      <c r="Q642" t="s">
        <v>281</v>
      </c>
      <c r="R642" t="s">
        <v>282</v>
      </c>
      <c r="S642" t="s">
        <v>283</v>
      </c>
      <c r="T642" t="s">
        <v>284</v>
      </c>
      <c r="U642" t="s">
        <v>285</v>
      </c>
      <c r="V642">
        <v>101</v>
      </c>
      <c r="W642">
        <v>12012</v>
      </c>
      <c r="X642">
        <v>245011</v>
      </c>
      <c r="Y642">
        <v>9999</v>
      </c>
      <c r="Z642">
        <v>999</v>
      </c>
      <c r="AA642">
        <v>999</v>
      </c>
      <c r="AB642">
        <v>9999</v>
      </c>
      <c r="AC642">
        <v>9999</v>
      </c>
      <c r="AD642" t="s">
        <v>1</v>
      </c>
      <c r="AE642" t="s">
        <v>227</v>
      </c>
      <c r="AF642" t="s">
        <v>227</v>
      </c>
      <c r="AG642" t="s">
        <v>286</v>
      </c>
      <c r="AI642" t="s">
        <v>227</v>
      </c>
      <c r="AJ642">
        <v>45716</v>
      </c>
      <c r="AK642" t="s">
        <v>287</v>
      </c>
      <c r="AL642" t="s">
        <v>288</v>
      </c>
    </row>
    <row r="643" spans="1:38" x14ac:dyDescent="0.2">
      <c r="E643" t="s">
        <v>11</v>
      </c>
      <c r="F643" t="s">
        <v>2476</v>
      </c>
      <c r="G643" t="s">
        <v>2477</v>
      </c>
      <c r="H643" t="s">
        <v>16</v>
      </c>
      <c r="I643" t="s">
        <v>391</v>
      </c>
      <c r="J643" s="91">
        <v>-100000</v>
      </c>
      <c r="K643" s="91">
        <v>-100000</v>
      </c>
      <c r="L643" s="91">
        <v>-100000</v>
      </c>
      <c r="M643" t="s">
        <v>278</v>
      </c>
      <c r="N643" t="s">
        <v>278</v>
      </c>
      <c r="O643" t="s">
        <v>2478</v>
      </c>
      <c r="P643" t="s">
        <v>280</v>
      </c>
      <c r="Q643" t="s">
        <v>281</v>
      </c>
      <c r="R643" t="s">
        <v>282</v>
      </c>
      <c r="S643" t="s">
        <v>283</v>
      </c>
      <c r="T643" t="s">
        <v>284</v>
      </c>
      <c r="U643" t="s">
        <v>285</v>
      </c>
      <c r="V643">
        <v>101</v>
      </c>
      <c r="W643">
        <v>12012</v>
      </c>
      <c r="X643">
        <v>245011</v>
      </c>
      <c r="Y643">
        <v>9999</v>
      </c>
      <c r="Z643">
        <v>999</v>
      </c>
      <c r="AA643">
        <v>999</v>
      </c>
      <c r="AB643">
        <v>9999</v>
      </c>
      <c r="AC643">
        <v>9999</v>
      </c>
      <c r="AD643" t="s">
        <v>1</v>
      </c>
      <c r="AE643" t="s">
        <v>227</v>
      </c>
      <c r="AF643" t="s">
        <v>227</v>
      </c>
      <c r="AG643" t="s">
        <v>286</v>
      </c>
      <c r="AI643" t="s">
        <v>227</v>
      </c>
      <c r="AJ643">
        <v>46127</v>
      </c>
      <c r="AK643" t="s">
        <v>287</v>
      </c>
      <c r="AL643" t="s">
        <v>288</v>
      </c>
    </row>
    <row r="644" spans="1:38" x14ac:dyDescent="0.2">
      <c r="A644">
        <v>103</v>
      </c>
      <c r="B644" t="s">
        <v>49</v>
      </c>
      <c r="D644" t="s">
        <v>2479</v>
      </c>
      <c r="E644" t="s">
        <v>2480</v>
      </c>
      <c r="F644" t="s">
        <v>2481</v>
      </c>
      <c r="G644" t="s">
        <v>2482</v>
      </c>
      <c r="H644" t="s">
        <v>27</v>
      </c>
      <c r="I644" t="s">
        <v>355</v>
      </c>
      <c r="J644" s="91">
        <v>-19313414.34</v>
      </c>
      <c r="K644" s="91">
        <v>-19313414.34</v>
      </c>
      <c r="L644" s="91">
        <v>-19313414.34</v>
      </c>
      <c r="M644" t="s">
        <v>278</v>
      </c>
      <c r="N644" t="s">
        <v>278</v>
      </c>
      <c r="O644" t="s">
        <v>2483</v>
      </c>
      <c r="P644" t="s">
        <v>280</v>
      </c>
      <c r="Q644" t="s">
        <v>281</v>
      </c>
      <c r="R644" t="s">
        <v>282</v>
      </c>
      <c r="S644" t="s">
        <v>283</v>
      </c>
      <c r="T644" t="s">
        <v>284</v>
      </c>
      <c r="U644" t="s">
        <v>2484</v>
      </c>
      <c r="V644">
        <v>101</v>
      </c>
      <c r="W644">
        <v>11019</v>
      </c>
      <c r="X644">
        <v>245011</v>
      </c>
      <c r="Y644">
        <v>9999</v>
      </c>
      <c r="Z644">
        <v>999</v>
      </c>
      <c r="AA644">
        <v>999</v>
      </c>
      <c r="AB644">
        <v>9999</v>
      </c>
      <c r="AC644">
        <v>9999</v>
      </c>
      <c r="AD644" t="s">
        <v>1</v>
      </c>
      <c r="AE644" t="s">
        <v>227</v>
      </c>
      <c r="AF644" t="s">
        <v>227</v>
      </c>
      <c r="AG644" t="s">
        <v>286</v>
      </c>
      <c r="AI644" t="s">
        <v>227</v>
      </c>
      <c r="AJ644">
        <v>46053</v>
      </c>
      <c r="AK644" t="s">
        <v>287</v>
      </c>
      <c r="AL644" t="s">
        <v>288</v>
      </c>
    </row>
    <row r="645" spans="1:38" x14ac:dyDescent="0.2">
      <c r="A645">
        <v>103</v>
      </c>
      <c r="B645" t="s">
        <v>49</v>
      </c>
      <c r="D645" t="s">
        <v>2479</v>
      </c>
      <c r="E645" t="s">
        <v>2480</v>
      </c>
      <c r="F645" t="s">
        <v>2485</v>
      </c>
      <c r="G645" t="s">
        <v>2486</v>
      </c>
      <c r="H645" t="s">
        <v>27</v>
      </c>
      <c r="I645" t="s">
        <v>355</v>
      </c>
      <c r="J645" s="91">
        <v>-864745.25</v>
      </c>
      <c r="K645" s="91">
        <v>-864745.25</v>
      </c>
      <c r="L645" s="91">
        <v>-864745.25</v>
      </c>
      <c r="M645" t="s">
        <v>278</v>
      </c>
      <c r="N645" t="s">
        <v>278</v>
      </c>
      <c r="O645" t="s">
        <v>2487</v>
      </c>
      <c r="P645" t="s">
        <v>280</v>
      </c>
      <c r="Q645" t="s">
        <v>281</v>
      </c>
      <c r="R645" t="s">
        <v>282</v>
      </c>
      <c r="S645" t="s">
        <v>283</v>
      </c>
      <c r="T645" t="s">
        <v>284</v>
      </c>
      <c r="U645" t="s">
        <v>2484</v>
      </c>
      <c r="V645">
        <v>101</v>
      </c>
      <c r="W645">
        <v>11019</v>
      </c>
      <c r="X645">
        <v>245011</v>
      </c>
      <c r="Y645">
        <v>9999</v>
      </c>
      <c r="Z645">
        <v>999</v>
      </c>
      <c r="AA645">
        <v>999</v>
      </c>
      <c r="AB645">
        <v>9999</v>
      </c>
      <c r="AC645">
        <v>9999</v>
      </c>
      <c r="AD645" t="s">
        <v>1</v>
      </c>
      <c r="AE645" t="s">
        <v>227</v>
      </c>
      <c r="AF645" t="s">
        <v>227</v>
      </c>
      <c r="AG645" t="s">
        <v>286</v>
      </c>
      <c r="AI645" t="s">
        <v>227</v>
      </c>
      <c r="AJ645">
        <v>46053</v>
      </c>
      <c r="AK645" t="s">
        <v>287</v>
      </c>
      <c r="AL645" t="s">
        <v>288</v>
      </c>
    </row>
    <row r="646" spans="1:38" x14ac:dyDescent="0.2">
      <c r="A646">
        <v>85</v>
      </c>
      <c r="B646" t="s">
        <v>48</v>
      </c>
      <c r="D646" t="s">
        <v>2479</v>
      </c>
      <c r="E646" t="s">
        <v>2480</v>
      </c>
      <c r="F646" t="s">
        <v>2488</v>
      </c>
      <c r="G646" t="s">
        <v>2489</v>
      </c>
      <c r="H646" t="s">
        <v>27</v>
      </c>
      <c r="I646" t="s">
        <v>359</v>
      </c>
      <c r="J646" s="91">
        <v>19313414.34</v>
      </c>
      <c r="K646" s="91">
        <v>19313414.34</v>
      </c>
      <c r="L646" s="91">
        <v>19313414.34</v>
      </c>
      <c r="M646" t="s">
        <v>278</v>
      </c>
      <c r="N646" t="s">
        <v>278</v>
      </c>
      <c r="O646" t="s">
        <v>2490</v>
      </c>
      <c r="P646" t="s">
        <v>280</v>
      </c>
      <c r="Q646" t="s">
        <v>281</v>
      </c>
      <c r="R646" t="s">
        <v>282</v>
      </c>
      <c r="S646" t="s">
        <v>283</v>
      </c>
      <c r="T646" t="s">
        <v>284</v>
      </c>
      <c r="U646" t="s">
        <v>2484</v>
      </c>
      <c r="V646">
        <v>101</v>
      </c>
      <c r="W646">
        <v>11019</v>
      </c>
      <c r="X646">
        <v>245011</v>
      </c>
      <c r="Y646">
        <v>9999</v>
      </c>
      <c r="Z646">
        <v>999</v>
      </c>
      <c r="AA646">
        <v>999</v>
      </c>
      <c r="AB646">
        <v>9999</v>
      </c>
      <c r="AC646">
        <v>9999</v>
      </c>
      <c r="AD646" t="s">
        <v>1</v>
      </c>
      <c r="AE646" t="s">
        <v>227</v>
      </c>
      <c r="AF646" t="s">
        <v>227</v>
      </c>
      <c r="AG646" t="s">
        <v>286</v>
      </c>
      <c r="AI646" t="s">
        <v>227</v>
      </c>
      <c r="AJ646">
        <v>46071</v>
      </c>
      <c r="AK646" t="s">
        <v>287</v>
      </c>
      <c r="AL646" t="s">
        <v>288</v>
      </c>
    </row>
    <row r="647" spans="1:38" x14ac:dyDescent="0.2">
      <c r="E647" t="s">
        <v>2480</v>
      </c>
      <c r="F647" t="s">
        <v>2491</v>
      </c>
      <c r="G647" t="s">
        <v>2492</v>
      </c>
      <c r="H647" t="s">
        <v>27</v>
      </c>
      <c r="I647" t="s">
        <v>391</v>
      </c>
      <c r="J647" s="91">
        <v>864745.25</v>
      </c>
      <c r="K647" s="91">
        <v>864745.25</v>
      </c>
      <c r="L647" s="91">
        <v>864745.25</v>
      </c>
      <c r="M647" t="s">
        <v>278</v>
      </c>
      <c r="N647" t="s">
        <v>278</v>
      </c>
      <c r="O647" t="s">
        <v>2493</v>
      </c>
      <c r="P647" t="s">
        <v>280</v>
      </c>
      <c r="Q647" t="s">
        <v>281</v>
      </c>
      <c r="R647" t="s">
        <v>282</v>
      </c>
      <c r="S647" t="s">
        <v>283</v>
      </c>
      <c r="T647" t="s">
        <v>284</v>
      </c>
      <c r="U647" t="s">
        <v>2484</v>
      </c>
      <c r="V647">
        <v>101</v>
      </c>
      <c r="W647">
        <v>11019</v>
      </c>
      <c r="X647">
        <v>245011</v>
      </c>
      <c r="Y647">
        <v>9999</v>
      </c>
      <c r="Z647">
        <v>999</v>
      </c>
      <c r="AA647">
        <v>999</v>
      </c>
      <c r="AB647">
        <v>9999</v>
      </c>
      <c r="AC647">
        <v>9999</v>
      </c>
      <c r="AD647" t="s">
        <v>1</v>
      </c>
      <c r="AE647" t="s">
        <v>227</v>
      </c>
      <c r="AF647" t="s">
        <v>227</v>
      </c>
      <c r="AG647" t="s">
        <v>286</v>
      </c>
      <c r="AI647" t="s">
        <v>227</v>
      </c>
      <c r="AJ647">
        <v>46127</v>
      </c>
      <c r="AK647" t="s">
        <v>287</v>
      </c>
      <c r="AL647" t="s">
        <v>288</v>
      </c>
    </row>
    <row r="648" spans="1:38" x14ac:dyDescent="0.2">
      <c r="A648">
        <v>44</v>
      </c>
      <c r="B648" t="s">
        <v>47</v>
      </c>
      <c r="D648" t="s">
        <v>2494</v>
      </c>
      <c r="E648" t="s">
        <v>30</v>
      </c>
      <c r="F648" t="s">
        <v>2495</v>
      </c>
      <c r="G648" t="s">
        <v>2496</v>
      </c>
      <c r="H648" t="s">
        <v>19</v>
      </c>
      <c r="I648" t="s">
        <v>364</v>
      </c>
      <c r="J648" s="91">
        <v>-1495983.84</v>
      </c>
      <c r="K648" s="91">
        <v>-1495983.84</v>
      </c>
      <c r="L648" s="91">
        <v>-1495983.84</v>
      </c>
      <c r="M648" t="s">
        <v>278</v>
      </c>
      <c r="N648" t="s">
        <v>278</v>
      </c>
      <c r="O648" t="s">
        <v>2497</v>
      </c>
      <c r="P648" t="s">
        <v>280</v>
      </c>
      <c r="Q648" t="s">
        <v>281</v>
      </c>
      <c r="R648" t="s">
        <v>282</v>
      </c>
      <c r="S648" t="s">
        <v>294</v>
      </c>
      <c r="T648" t="s">
        <v>295</v>
      </c>
      <c r="U648" t="s">
        <v>387</v>
      </c>
      <c r="V648">
        <v>101</v>
      </c>
      <c r="W648">
        <v>13018</v>
      </c>
      <c r="X648">
        <v>245011</v>
      </c>
      <c r="Y648">
        <v>9999</v>
      </c>
      <c r="Z648">
        <v>999</v>
      </c>
      <c r="AA648">
        <v>999</v>
      </c>
      <c r="AB648">
        <v>9999</v>
      </c>
      <c r="AC648">
        <v>9999</v>
      </c>
      <c r="AD648" t="s">
        <v>1</v>
      </c>
      <c r="AE648" t="s">
        <v>227</v>
      </c>
      <c r="AF648" t="s">
        <v>227</v>
      </c>
      <c r="AG648" t="s">
        <v>286</v>
      </c>
      <c r="AI648" t="s">
        <v>227</v>
      </c>
      <c r="AJ648">
        <v>46112</v>
      </c>
      <c r="AK648" t="s">
        <v>287</v>
      </c>
      <c r="AL648" t="s">
        <v>288</v>
      </c>
    </row>
    <row r="649" spans="1:38" x14ac:dyDescent="0.2">
      <c r="A649">
        <v>44</v>
      </c>
      <c r="B649" t="s">
        <v>47</v>
      </c>
      <c r="D649" t="s">
        <v>2498</v>
      </c>
      <c r="E649" t="s">
        <v>30</v>
      </c>
      <c r="F649" t="s">
        <v>2499</v>
      </c>
      <c r="G649" t="s">
        <v>2500</v>
      </c>
      <c r="H649" t="s">
        <v>12</v>
      </c>
      <c r="I649" t="s">
        <v>364</v>
      </c>
      <c r="J649" s="91">
        <v>1095119.76</v>
      </c>
      <c r="K649" s="91">
        <v>1095119.76</v>
      </c>
      <c r="L649" s="91">
        <v>1095119.76</v>
      </c>
      <c r="M649" t="s">
        <v>278</v>
      </c>
      <c r="N649" t="s">
        <v>278</v>
      </c>
      <c r="O649" t="s">
        <v>2501</v>
      </c>
      <c r="P649" t="s">
        <v>280</v>
      </c>
      <c r="Q649" t="s">
        <v>281</v>
      </c>
      <c r="R649" t="s">
        <v>282</v>
      </c>
      <c r="S649" t="s">
        <v>294</v>
      </c>
      <c r="T649" t="s">
        <v>295</v>
      </c>
      <c r="U649" t="s">
        <v>376</v>
      </c>
      <c r="V649">
        <v>101</v>
      </c>
      <c r="W649">
        <v>13018</v>
      </c>
      <c r="X649">
        <v>245011</v>
      </c>
      <c r="Y649">
        <v>9999</v>
      </c>
      <c r="Z649">
        <v>950</v>
      </c>
      <c r="AA649">
        <v>999</v>
      </c>
      <c r="AB649">
        <v>9999</v>
      </c>
      <c r="AC649">
        <v>9999</v>
      </c>
      <c r="AD649" t="s">
        <v>1</v>
      </c>
      <c r="AE649" t="s">
        <v>2502</v>
      </c>
      <c r="AF649" t="s">
        <v>227</v>
      </c>
      <c r="AG649" t="s">
        <v>286</v>
      </c>
      <c r="AI649" t="s">
        <v>227</v>
      </c>
      <c r="AJ649">
        <v>46112</v>
      </c>
      <c r="AK649" t="s">
        <v>315</v>
      </c>
      <c r="AL649" t="s">
        <v>288</v>
      </c>
    </row>
    <row r="650" spans="1:38" x14ac:dyDescent="0.2">
      <c r="E650" t="s">
        <v>30</v>
      </c>
      <c r="F650" t="s">
        <v>2503</v>
      </c>
      <c r="G650" t="s">
        <v>2504</v>
      </c>
      <c r="H650" t="s">
        <v>12</v>
      </c>
      <c r="I650" t="s">
        <v>391</v>
      </c>
      <c r="J650" s="91">
        <v>-1095119.76</v>
      </c>
      <c r="K650" s="91">
        <v>-1095119.76</v>
      </c>
      <c r="L650" s="91">
        <v>-1095119.76</v>
      </c>
      <c r="M650" t="s">
        <v>278</v>
      </c>
      <c r="N650" t="s">
        <v>278</v>
      </c>
      <c r="O650" t="s">
        <v>2505</v>
      </c>
      <c r="P650" t="s">
        <v>280</v>
      </c>
      <c r="Q650" t="s">
        <v>281</v>
      </c>
      <c r="R650" t="s">
        <v>282</v>
      </c>
      <c r="S650" t="s">
        <v>294</v>
      </c>
      <c r="T650" t="s">
        <v>295</v>
      </c>
      <c r="U650" t="s">
        <v>376</v>
      </c>
      <c r="V650">
        <v>101</v>
      </c>
      <c r="W650">
        <v>13018</v>
      </c>
      <c r="X650">
        <v>245011</v>
      </c>
      <c r="Y650">
        <v>9999</v>
      </c>
      <c r="Z650">
        <v>950</v>
      </c>
      <c r="AA650">
        <v>999</v>
      </c>
      <c r="AB650">
        <v>9999</v>
      </c>
      <c r="AC650">
        <v>9999</v>
      </c>
      <c r="AD650" t="s">
        <v>1</v>
      </c>
      <c r="AE650" t="s">
        <v>2502</v>
      </c>
      <c r="AF650" t="s">
        <v>227</v>
      </c>
      <c r="AG650" t="s">
        <v>286</v>
      </c>
      <c r="AI650" t="s">
        <v>227</v>
      </c>
      <c r="AJ650">
        <v>46142</v>
      </c>
      <c r="AK650" t="s">
        <v>315</v>
      </c>
      <c r="AL650" t="s">
        <v>288</v>
      </c>
    </row>
    <row r="651" spans="1:38" x14ac:dyDescent="0.2">
      <c r="E651" t="s">
        <v>30</v>
      </c>
      <c r="F651" t="s">
        <v>2506</v>
      </c>
      <c r="G651" t="s">
        <v>2507</v>
      </c>
      <c r="H651" t="s">
        <v>19</v>
      </c>
      <c r="I651" t="s">
        <v>391</v>
      </c>
      <c r="J651" s="91">
        <v>1495983.84</v>
      </c>
      <c r="K651" s="91">
        <v>1495983.84</v>
      </c>
      <c r="L651" s="91">
        <v>1495983.84</v>
      </c>
      <c r="M651" t="s">
        <v>278</v>
      </c>
      <c r="N651" t="s">
        <v>278</v>
      </c>
      <c r="O651" t="s">
        <v>2508</v>
      </c>
      <c r="P651" t="s">
        <v>280</v>
      </c>
      <c r="Q651" t="s">
        <v>281</v>
      </c>
      <c r="R651" t="s">
        <v>282</v>
      </c>
      <c r="S651" t="s">
        <v>294</v>
      </c>
      <c r="T651" t="s">
        <v>295</v>
      </c>
      <c r="U651" t="s">
        <v>387</v>
      </c>
      <c r="V651">
        <v>101</v>
      </c>
      <c r="W651">
        <v>13018</v>
      </c>
      <c r="X651">
        <v>245011</v>
      </c>
      <c r="Y651">
        <v>9999</v>
      </c>
      <c r="Z651">
        <v>999</v>
      </c>
      <c r="AA651">
        <v>999</v>
      </c>
      <c r="AB651">
        <v>9999</v>
      </c>
      <c r="AC651">
        <v>9999</v>
      </c>
      <c r="AD651" t="s">
        <v>1</v>
      </c>
      <c r="AE651" t="s">
        <v>227</v>
      </c>
      <c r="AF651" t="s">
        <v>227</v>
      </c>
      <c r="AG651" t="s">
        <v>286</v>
      </c>
      <c r="AI651" t="s">
        <v>227</v>
      </c>
      <c r="AJ651">
        <v>46118</v>
      </c>
      <c r="AK651" t="s">
        <v>287</v>
      </c>
      <c r="AL651" t="s">
        <v>288</v>
      </c>
    </row>
    <row r="652" spans="1:38" x14ac:dyDescent="0.2">
      <c r="A652">
        <v>104</v>
      </c>
      <c r="B652" t="s">
        <v>49</v>
      </c>
      <c r="D652" t="s">
        <v>2509</v>
      </c>
      <c r="E652" t="s">
        <v>2510</v>
      </c>
      <c r="F652" t="s">
        <v>2511</v>
      </c>
      <c r="G652" t="s">
        <v>2512</v>
      </c>
      <c r="H652" t="s">
        <v>12</v>
      </c>
      <c r="I652" t="s">
        <v>355</v>
      </c>
      <c r="J652" s="91">
        <v>2778.02</v>
      </c>
      <c r="K652" s="91">
        <v>2778.02</v>
      </c>
      <c r="L652" s="91">
        <v>2778.02</v>
      </c>
      <c r="M652" t="s">
        <v>278</v>
      </c>
      <c r="N652" t="s">
        <v>278</v>
      </c>
      <c r="O652" t="s">
        <v>2509</v>
      </c>
      <c r="P652" t="s">
        <v>280</v>
      </c>
      <c r="Q652" t="s">
        <v>281</v>
      </c>
      <c r="R652" t="s">
        <v>282</v>
      </c>
      <c r="S652" t="s">
        <v>294</v>
      </c>
      <c r="T652" t="s">
        <v>295</v>
      </c>
      <c r="U652" t="s">
        <v>2513</v>
      </c>
      <c r="V652">
        <v>101</v>
      </c>
      <c r="W652">
        <v>13020</v>
      </c>
      <c r="X652">
        <v>245011</v>
      </c>
      <c r="Y652">
        <v>9999</v>
      </c>
      <c r="Z652">
        <v>950</v>
      </c>
      <c r="AA652">
        <v>999</v>
      </c>
      <c r="AB652">
        <v>9999</v>
      </c>
      <c r="AC652">
        <v>9999</v>
      </c>
      <c r="AD652" t="s">
        <v>1</v>
      </c>
      <c r="AE652" t="s">
        <v>2514</v>
      </c>
      <c r="AF652" t="s">
        <v>227</v>
      </c>
      <c r="AG652" t="s">
        <v>286</v>
      </c>
      <c r="AI652" t="s">
        <v>227</v>
      </c>
      <c r="AJ652">
        <v>46052</v>
      </c>
      <c r="AK652" t="s">
        <v>315</v>
      </c>
      <c r="AL652" t="s">
        <v>288</v>
      </c>
    </row>
    <row r="653" spans="1:38" x14ac:dyDescent="0.2">
      <c r="E653" t="s">
        <v>2510</v>
      </c>
      <c r="F653" t="s">
        <v>2515</v>
      </c>
      <c r="G653" t="s">
        <v>2516</v>
      </c>
      <c r="H653" t="s">
        <v>12</v>
      </c>
      <c r="I653" t="s">
        <v>391</v>
      </c>
      <c r="J653" s="91">
        <v>-2778.02</v>
      </c>
      <c r="K653" s="91">
        <v>-2778.02</v>
      </c>
      <c r="L653" s="91">
        <v>-2778.02</v>
      </c>
      <c r="M653" t="s">
        <v>278</v>
      </c>
      <c r="N653" t="s">
        <v>278</v>
      </c>
      <c r="O653" t="s">
        <v>2517</v>
      </c>
      <c r="P653" t="s">
        <v>280</v>
      </c>
      <c r="Q653" t="s">
        <v>281</v>
      </c>
      <c r="R653" t="s">
        <v>282</v>
      </c>
      <c r="S653" t="s">
        <v>294</v>
      </c>
      <c r="T653" t="s">
        <v>295</v>
      </c>
      <c r="U653" t="s">
        <v>2513</v>
      </c>
      <c r="V653">
        <v>101</v>
      </c>
      <c r="W653">
        <v>13020</v>
      </c>
      <c r="X653">
        <v>245011</v>
      </c>
      <c r="Y653">
        <v>9999</v>
      </c>
      <c r="Z653">
        <v>950</v>
      </c>
      <c r="AA653">
        <v>999</v>
      </c>
      <c r="AB653">
        <v>9999</v>
      </c>
      <c r="AC653">
        <v>9999</v>
      </c>
      <c r="AD653" t="s">
        <v>1</v>
      </c>
      <c r="AE653" t="s">
        <v>2514</v>
      </c>
      <c r="AF653" t="s">
        <v>227</v>
      </c>
      <c r="AG653" t="s">
        <v>286</v>
      </c>
      <c r="AI653" t="s">
        <v>227</v>
      </c>
      <c r="AJ653">
        <v>46142</v>
      </c>
      <c r="AK653" t="s">
        <v>315</v>
      </c>
      <c r="AL653" t="s">
        <v>288</v>
      </c>
    </row>
    <row r="654" spans="1:38" x14ac:dyDescent="0.2">
      <c r="A654">
        <v>44</v>
      </c>
      <c r="B654" t="s">
        <v>47</v>
      </c>
      <c r="D654" t="s">
        <v>2518</v>
      </c>
      <c r="E654" t="s">
        <v>2519</v>
      </c>
      <c r="F654" t="s">
        <v>2520</v>
      </c>
      <c r="G654" t="s">
        <v>2521</v>
      </c>
      <c r="H654" t="s">
        <v>16</v>
      </c>
      <c r="I654" t="s">
        <v>364</v>
      </c>
      <c r="J654" s="91">
        <v>185097</v>
      </c>
      <c r="K654" s="91">
        <v>185097</v>
      </c>
      <c r="L654" s="91">
        <v>185097</v>
      </c>
      <c r="M654" t="s">
        <v>278</v>
      </c>
      <c r="N654" t="s">
        <v>278</v>
      </c>
      <c r="O654" t="s">
        <v>2522</v>
      </c>
      <c r="P654" t="s">
        <v>280</v>
      </c>
      <c r="Q654" t="s">
        <v>281</v>
      </c>
      <c r="R654" t="s">
        <v>282</v>
      </c>
      <c r="S654" t="s">
        <v>294</v>
      </c>
      <c r="T654" t="s">
        <v>305</v>
      </c>
      <c r="U654" t="s">
        <v>2109</v>
      </c>
      <c r="V654">
        <v>101</v>
      </c>
      <c r="W654">
        <v>13013</v>
      </c>
      <c r="X654">
        <v>245011</v>
      </c>
      <c r="Y654">
        <v>9999</v>
      </c>
      <c r="Z654">
        <v>999</v>
      </c>
      <c r="AA654">
        <v>999</v>
      </c>
      <c r="AB654">
        <v>9999</v>
      </c>
      <c r="AC654">
        <v>9999</v>
      </c>
      <c r="AD654" t="s">
        <v>1</v>
      </c>
      <c r="AE654" t="s">
        <v>227</v>
      </c>
      <c r="AF654" t="s">
        <v>227</v>
      </c>
      <c r="AG654" t="s">
        <v>286</v>
      </c>
      <c r="AI654" t="s">
        <v>227</v>
      </c>
      <c r="AJ654">
        <v>46112</v>
      </c>
      <c r="AK654" t="s">
        <v>287</v>
      </c>
      <c r="AL654" t="s">
        <v>288</v>
      </c>
    </row>
    <row r="655" spans="1:38" x14ac:dyDescent="0.2">
      <c r="E655" t="s">
        <v>2519</v>
      </c>
      <c r="F655" t="s">
        <v>2523</v>
      </c>
      <c r="G655" t="s">
        <v>2524</v>
      </c>
      <c r="H655" t="s">
        <v>16</v>
      </c>
      <c r="I655" t="s">
        <v>391</v>
      </c>
      <c r="J655" s="91">
        <v>-185097</v>
      </c>
      <c r="K655" s="91">
        <v>-185097</v>
      </c>
      <c r="L655" s="91">
        <v>-185097</v>
      </c>
      <c r="M655" t="s">
        <v>278</v>
      </c>
      <c r="N655" t="s">
        <v>278</v>
      </c>
      <c r="O655" t="s">
        <v>2525</v>
      </c>
      <c r="P655" t="s">
        <v>280</v>
      </c>
      <c r="Q655" t="s">
        <v>281</v>
      </c>
      <c r="R655" t="s">
        <v>282</v>
      </c>
      <c r="S655" t="s">
        <v>294</v>
      </c>
      <c r="T655" t="s">
        <v>305</v>
      </c>
      <c r="U655" t="s">
        <v>2109</v>
      </c>
      <c r="V655">
        <v>101</v>
      </c>
      <c r="W655">
        <v>13013</v>
      </c>
      <c r="X655">
        <v>245011</v>
      </c>
      <c r="Y655">
        <v>9999</v>
      </c>
      <c r="Z655">
        <v>999</v>
      </c>
      <c r="AA655">
        <v>999</v>
      </c>
      <c r="AB655">
        <v>9999</v>
      </c>
      <c r="AC655">
        <v>9999</v>
      </c>
      <c r="AD655" t="s">
        <v>1</v>
      </c>
      <c r="AE655" t="s">
        <v>227</v>
      </c>
      <c r="AF655" t="s">
        <v>227</v>
      </c>
      <c r="AG655" t="s">
        <v>286</v>
      </c>
      <c r="AI655" t="s">
        <v>227</v>
      </c>
      <c r="AJ655">
        <v>46118</v>
      </c>
      <c r="AK655" t="s">
        <v>287</v>
      </c>
      <c r="AL655" t="s">
        <v>288</v>
      </c>
    </row>
    <row r="656" spans="1:38" x14ac:dyDescent="0.2">
      <c r="A656">
        <v>42</v>
      </c>
      <c r="B656" t="s">
        <v>47</v>
      </c>
      <c r="D656" t="s">
        <v>2526</v>
      </c>
      <c r="E656" t="s">
        <v>23</v>
      </c>
      <c r="F656" t="s">
        <v>2527</v>
      </c>
      <c r="G656" t="s">
        <v>2528</v>
      </c>
      <c r="H656" t="s">
        <v>17</v>
      </c>
      <c r="I656" t="s">
        <v>391</v>
      </c>
      <c r="J656" s="91">
        <v>188538.95</v>
      </c>
      <c r="K656" s="91">
        <v>188538.95</v>
      </c>
      <c r="L656" s="91">
        <v>188538.95</v>
      </c>
      <c r="M656" t="s">
        <v>278</v>
      </c>
      <c r="N656" t="s">
        <v>278</v>
      </c>
      <c r="O656" t="s">
        <v>2529</v>
      </c>
      <c r="P656" t="s">
        <v>280</v>
      </c>
      <c r="Q656" t="s">
        <v>281</v>
      </c>
      <c r="R656" t="s">
        <v>282</v>
      </c>
      <c r="S656" t="s">
        <v>283</v>
      </c>
      <c r="T656" t="s">
        <v>313</v>
      </c>
      <c r="U656" t="s">
        <v>415</v>
      </c>
      <c r="V656">
        <v>101</v>
      </c>
      <c r="W656">
        <v>11003</v>
      </c>
      <c r="X656">
        <v>245011</v>
      </c>
      <c r="Y656">
        <v>9999</v>
      </c>
      <c r="Z656">
        <v>999</v>
      </c>
      <c r="AA656">
        <v>999</v>
      </c>
      <c r="AB656">
        <v>9999</v>
      </c>
      <c r="AC656">
        <v>9999</v>
      </c>
      <c r="AD656" t="s">
        <v>1</v>
      </c>
      <c r="AE656" t="s">
        <v>227</v>
      </c>
      <c r="AF656" t="s">
        <v>227</v>
      </c>
      <c r="AG656" t="s">
        <v>286</v>
      </c>
      <c r="AI656" t="s">
        <v>227</v>
      </c>
      <c r="AJ656">
        <v>46142</v>
      </c>
      <c r="AK656" t="s">
        <v>287</v>
      </c>
      <c r="AL656" t="s">
        <v>288</v>
      </c>
    </row>
    <row r="657" spans="1:38" x14ac:dyDescent="0.2">
      <c r="E657" t="s">
        <v>23</v>
      </c>
      <c r="F657" t="s">
        <v>2530</v>
      </c>
      <c r="G657" t="s">
        <v>2531</v>
      </c>
      <c r="H657" t="s">
        <v>17</v>
      </c>
      <c r="I657" t="s">
        <v>419</v>
      </c>
      <c r="J657" s="91">
        <v>-188538.95</v>
      </c>
      <c r="K657" s="91">
        <v>-188538.95</v>
      </c>
      <c r="L657" s="91">
        <v>-188538.95</v>
      </c>
      <c r="M657" t="s">
        <v>278</v>
      </c>
      <c r="N657" t="s">
        <v>278</v>
      </c>
      <c r="O657" t="s">
        <v>2532</v>
      </c>
      <c r="P657" t="s">
        <v>280</v>
      </c>
      <c r="Q657" t="s">
        <v>281</v>
      </c>
      <c r="R657" t="s">
        <v>282</v>
      </c>
      <c r="S657" t="s">
        <v>283</v>
      </c>
      <c r="T657" t="s">
        <v>313</v>
      </c>
      <c r="U657" t="s">
        <v>415</v>
      </c>
      <c r="V657">
        <v>101</v>
      </c>
      <c r="W657">
        <v>11003</v>
      </c>
      <c r="X657">
        <v>245011</v>
      </c>
      <c r="Y657">
        <v>9999</v>
      </c>
      <c r="Z657">
        <v>999</v>
      </c>
      <c r="AA657">
        <v>999</v>
      </c>
      <c r="AB657">
        <v>9999</v>
      </c>
      <c r="AC657">
        <v>9999</v>
      </c>
      <c r="AD657" t="s">
        <v>1</v>
      </c>
      <c r="AE657" t="s">
        <v>227</v>
      </c>
      <c r="AF657" t="s">
        <v>227</v>
      </c>
      <c r="AG657" t="s">
        <v>286</v>
      </c>
      <c r="AI657" t="s">
        <v>227</v>
      </c>
      <c r="AJ657">
        <v>46148</v>
      </c>
      <c r="AK657" t="s">
        <v>287</v>
      </c>
      <c r="AL657" t="s">
        <v>288</v>
      </c>
    </row>
    <row r="658" spans="1:38" x14ac:dyDescent="0.2">
      <c r="A658">
        <v>42</v>
      </c>
      <c r="B658" t="s">
        <v>47</v>
      </c>
      <c r="D658" t="s">
        <v>2533</v>
      </c>
      <c r="E658" t="s">
        <v>229</v>
      </c>
      <c r="F658" t="s">
        <v>2534</v>
      </c>
      <c r="G658" t="s">
        <v>2535</v>
      </c>
      <c r="H658" t="s">
        <v>16</v>
      </c>
      <c r="I658" t="s">
        <v>391</v>
      </c>
      <c r="J658" s="91">
        <v>30839.37</v>
      </c>
      <c r="K658" s="91">
        <v>30839.37</v>
      </c>
      <c r="L658" s="91">
        <v>30839.37</v>
      </c>
      <c r="M658" t="s">
        <v>278</v>
      </c>
      <c r="N658" t="s">
        <v>278</v>
      </c>
      <c r="O658" t="s">
        <v>2536</v>
      </c>
      <c r="P658" t="s">
        <v>280</v>
      </c>
      <c r="Q658" t="s">
        <v>281</v>
      </c>
      <c r="R658" t="s">
        <v>282</v>
      </c>
      <c r="S658" t="s">
        <v>283</v>
      </c>
      <c r="T658" t="s">
        <v>313</v>
      </c>
      <c r="U658" t="s">
        <v>1287</v>
      </c>
      <c r="V658">
        <v>101</v>
      </c>
      <c r="W658">
        <v>12011</v>
      </c>
      <c r="X658">
        <v>245011</v>
      </c>
      <c r="Y658">
        <v>9999</v>
      </c>
      <c r="Z658">
        <v>999</v>
      </c>
      <c r="AA658">
        <v>999</v>
      </c>
      <c r="AB658">
        <v>9999</v>
      </c>
      <c r="AC658">
        <v>9999</v>
      </c>
      <c r="AD658" t="s">
        <v>1</v>
      </c>
      <c r="AE658" t="s">
        <v>227</v>
      </c>
      <c r="AF658" t="s">
        <v>227</v>
      </c>
      <c r="AG658" t="s">
        <v>286</v>
      </c>
      <c r="AI658" t="s">
        <v>227</v>
      </c>
      <c r="AJ658">
        <v>46142</v>
      </c>
      <c r="AK658" t="s">
        <v>287</v>
      </c>
      <c r="AL658" t="s">
        <v>288</v>
      </c>
    </row>
    <row r="659" spans="1:38" x14ac:dyDescent="0.2">
      <c r="E659" t="s">
        <v>229</v>
      </c>
      <c r="F659" t="s">
        <v>2537</v>
      </c>
      <c r="G659" t="s">
        <v>2538</v>
      </c>
      <c r="H659" t="s">
        <v>16</v>
      </c>
      <c r="I659" t="s">
        <v>419</v>
      </c>
      <c r="J659" s="91">
        <v>-30839.37</v>
      </c>
      <c r="K659" s="91">
        <v>-30839.37</v>
      </c>
      <c r="L659" s="91">
        <v>-30839.37</v>
      </c>
      <c r="M659" t="s">
        <v>278</v>
      </c>
      <c r="N659" t="s">
        <v>278</v>
      </c>
      <c r="O659" t="s">
        <v>2539</v>
      </c>
      <c r="P659" t="s">
        <v>280</v>
      </c>
      <c r="Q659" t="s">
        <v>281</v>
      </c>
      <c r="R659" t="s">
        <v>282</v>
      </c>
      <c r="S659" t="s">
        <v>283</v>
      </c>
      <c r="T659" t="s">
        <v>313</v>
      </c>
      <c r="U659" t="s">
        <v>1287</v>
      </c>
      <c r="V659">
        <v>101</v>
      </c>
      <c r="W659">
        <v>12011</v>
      </c>
      <c r="X659">
        <v>245011</v>
      </c>
      <c r="Y659">
        <v>9999</v>
      </c>
      <c r="Z659">
        <v>999</v>
      </c>
      <c r="AA659">
        <v>999</v>
      </c>
      <c r="AB659">
        <v>9999</v>
      </c>
      <c r="AC659">
        <v>9999</v>
      </c>
      <c r="AD659" t="s">
        <v>1</v>
      </c>
      <c r="AE659" t="s">
        <v>227</v>
      </c>
      <c r="AF659" t="s">
        <v>227</v>
      </c>
      <c r="AG659" t="s">
        <v>286</v>
      </c>
      <c r="AI659" t="s">
        <v>227</v>
      </c>
      <c r="AJ659">
        <v>46148</v>
      </c>
      <c r="AK659" t="s">
        <v>287</v>
      </c>
      <c r="AL659" t="s">
        <v>288</v>
      </c>
    </row>
    <row r="660" spans="1:38" x14ac:dyDescent="0.2">
      <c r="A660">
        <v>42</v>
      </c>
      <c r="B660" t="s">
        <v>47</v>
      </c>
      <c r="D660" t="s">
        <v>2540</v>
      </c>
      <c r="E660" t="s">
        <v>11</v>
      </c>
      <c r="F660" t="s">
        <v>2541</v>
      </c>
      <c r="G660" t="s">
        <v>2542</v>
      </c>
      <c r="H660" t="s">
        <v>16</v>
      </c>
      <c r="I660" t="s">
        <v>391</v>
      </c>
      <c r="J660" s="91">
        <v>134629.20000000001</v>
      </c>
      <c r="K660" s="91">
        <v>134629.20000000001</v>
      </c>
      <c r="L660" s="91">
        <v>134629.20000000001</v>
      </c>
      <c r="M660" t="s">
        <v>278</v>
      </c>
      <c r="N660" t="s">
        <v>278</v>
      </c>
      <c r="O660" t="s">
        <v>2543</v>
      </c>
      <c r="P660" t="s">
        <v>280</v>
      </c>
      <c r="Q660" t="s">
        <v>281</v>
      </c>
      <c r="R660" t="s">
        <v>282</v>
      </c>
      <c r="S660" t="s">
        <v>283</v>
      </c>
      <c r="T660" t="s">
        <v>284</v>
      </c>
      <c r="U660" t="s">
        <v>285</v>
      </c>
      <c r="V660">
        <v>101</v>
      </c>
      <c r="W660">
        <v>12012</v>
      </c>
      <c r="X660">
        <v>245011</v>
      </c>
      <c r="Y660">
        <v>9999</v>
      </c>
      <c r="Z660">
        <v>999</v>
      </c>
      <c r="AA660">
        <v>999</v>
      </c>
      <c r="AB660">
        <v>9999</v>
      </c>
      <c r="AC660">
        <v>9999</v>
      </c>
      <c r="AD660" t="s">
        <v>1</v>
      </c>
      <c r="AE660" t="s">
        <v>227</v>
      </c>
      <c r="AF660" t="s">
        <v>227</v>
      </c>
      <c r="AG660" t="s">
        <v>286</v>
      </c>
      <c r="AI660" t="s">
        <v>227</v>
      </c>
      <c r="AJ660">
        <v>46142</v>
      </c>
      <c r="AK660" t="s">
        <v>287</v>
      </c>
      <c r="AL660" t="s">
        <v>288</v>
      </c>
    </row>
    <row r="661" spans="1:38" x14ac:dyDescent="0.2">
      <c r="E661" t="s">
        <v>11</v>
      </c>
      <c r="F661" t="s">
        <v>2544</v>
      </c>
      <c r="G661" t="s">
        <v>2545</v>
      </c>
      <c r="H661" t="s">
        <v>16</v>
      </c>
      <c r="I661" t="s">
        <v>419</v>
      </c>
      <c r="J661" s="91">
        <v>-134629.20000000001</v>
      </c>
      <c r="K661" s="91">
        <v>-134629.20000000001</v>
      </c>
      <c r="L661" s="91">
        <v>-134629.20000000001</v>
      </c>
      <c r="M661" t="s">
        <v>278</v>
      </c>
      <c r="N661" t="s">
        <v>278</v>
      </c>
      <c r="O661" t="s">
        <v>2546</v>
      </c>
      <c r="P661" t="s">
        <v>280</v>
      </c>
      <c r="Q661" t="s">
        <v>281</v>
      </c>
      <c r="R661" t="s">
        <v>282</v>
      </c>
      <c r="S661" t="s">
        <v>283</v>
      </c>
      <c r="T661" t="s">
        <v>284</v>
      </c>
      <c r="U661" t="s">
        <v>285</v>
      </c>
      <c r="V661">
        <v>101</v>
      </c>
      <c r="W661">
        <v>12012</v>
      </c>
      <c r="X661">
        <v>245011</v>
      </c>
      <c r="Y661">
        <v>9999</v>
      </c>
      <c r="Z661">
        <v>999</v>
      </c>
      <c r="AA661">
        <v>999</v>
      </c>
      <c r="AB661">
        <v>9999</v>
      </c>
      <c r="AC661">
        <v>9999</v>
      </c>
      <c r="AD661" t="s">
        <v>1</v>
      </c>
      <c r="AE661" t="s">
        <v>227</v>
      </c>
      <c r="AF661" t="s">
        <v>227</v>
      </c>
      <c r="AG661" t="s">
        <v>286</v>
      </c>
      <c r="AI661" t="s">
        <v>227</v>
      </c>
      <c r="AJ661">
        <v>46148</v>
      </c>
      <c r="AK661" t="s">
        <v>287</v>
      </c>
      <c r="AL661" t="s">
        <v>288</v>
      </c>
    </row>
    <row r="662" spans="1:38" x14ac:dyDescent="0.2">
      <c r="A662">
        <v>42</v>
      </c>
      <c r="B662" t="s">
        <v>47</v>
      </c>
      <c r="D662" t="s">
        <v>2547</v>
      </c>
      <c r="E662" t="s">
        <v>37</v>
      </c>
      <c r="F662" t="s">
        <v>2548</v>
      </c>
      <c r="G662" t="s">
        <v>2549</v>
      </c>
      <c r="H662" t="s">
        <v>16</v>
      </c>
      <c r="I662" t="s">
        <v>391</v>
      </c>
      <c r="J662" s="91">
        <v>903087.96</v>
      </c>
      <c r="K662" s="91">
        <v>903087.96</v>
      </c>
      <c r="L662" s="91">
        <v>903087.96</v>
      </c>
      <c r="M662" t="s">
        <v>278</v>
      </c>
      <c r="N662" t="s">
        <v>278</v>
      </c>
      <c r="O662" t="s">
        <v>2550</v>
      </c>
      <c r="P662" t="s">
        <v>280</v>
      </c>
      <c r="Q662" t="s">
        <v>281</v>
      </c>
      <c r="R662" t="s">
        <v>282</v>
      </c>
      <c r="S662" t="s">
        <v>294</v>
      </c>
      <c r="T662" t="s">
        <v>305</v>
      </c>
      <c r="U662" t="s">
        <v>438</v>
      </c>
      <c r="V662">
        <v>101</v>
      </c>
      <c r="W662">
        <v>13001</v>
      </c>
      <c r="X662">
        <v>245011</v>
      </c>
      <c r="Y662">
        <v>9999</v>
      </c>
      <c r="Z662">
        <v>999</v>
      </c>
      <c r="AA662">
        <v>999</v>
      </c>
      <c r="AB662">
        <v>9999</v>
      </c>
      <c r="AC662">
        <v>9999</v>
      </c>
      <c r="AD662" t="s">
        <v>1</v>
      </c>
      <c r="AE662" t="s">
        <v>227</v>
      </c>
      <c r="AF662" t="s">
        <v>227</v>
      </c>
      <c r="AG662" t="s">
        <v>286</v>
      </c>
      <c r="AI662" t="s">
        <v>227</v>
      </c>
      <c r="AJ662">
        <v>46142</v>
      </c>
      <c r="AK662" t="s">
        <v>287</v>
      </c>
      <c r="AL662" t="s">
        <v>288</v>
      </c>
    </row>
    <row r="663" spans="1:38" x14ac:dyDescent="0.2">
      <c r="E663" t="s">
        <v>37</v>
      </c>
      <c r="F663" t="s">
        <v>2551</v>
      </c>
      <c r="G663" t="s">
        <v>2552</v>
      </c>
      <c r="H663" t="s">
        <v>16</v>
      </c>
      <c r="I663" t="s">
        <v>419</v>
      </c>
      <c r="J663" s="91">
        <v>-903087.96</v>
      </c>
      <c r="K663" s="91">
        <v>-903087.96</v>
      </c>
      <c r="L663" s="91">
        <v>-903087.96</v>
      </c>
      <c r="M663" t="s">
        <v>278</v>
      </c>
      <c r="N663" t="s">
        <v>278</v>
      </c>
      <c r="O663" t="s">
        <v>2553</v>
      </c>
      <c r="P663" t="s">
        <v>280</v>
      </c>
      <c r="Q663" t="s">
        <v>281</v>
      </c>
      <c r="R663" t="s">
        <v>282</v>
      </c>
      <c r="S663" t="s">
        <v>294</v>
      </c>
      <c r="T663" t="s">
        <v>305</v>
      </c>
      <c r="U663" t="s">
        <v>438</v>
      </c>
      <c r="V663">
        <v>101</v>
      </c>
      <c r="W663">
        <v>13001</v>
      </c>
      <c r="X663">
        <v>245011</v>
      </c>
      <c r="Y663">
        <v>9999</v>
      </c>
      <c r="Z663">
        <v>999</v>
      </c>
      <c r="AA663">
        <v>999</v>
      </c>
      <c r="AB663">
        <v>9999</v>
      </c>
      <c r="AC663">
        <v>9999</v>
      </c>
      <c r="AD663" t="s">
        <v>1</v>
      </c>
      <c r="AE663" t="s">
        <v>227</v>
      </c>
      <c r="AF663" t="s">
        <v>227</v>
      </c>
      <c r="AG663" t="s">
        <v>286</v>
      </c>
      <c r="AI663" t="s">
        <v>227</v>
      </c>
      <c r="AJ663">
        <v>46148</v>
      </c>
      <c r="AK663" t="s">
        <v>287</v>
      </c>
      <c r="AL663" t="s">
        <v>288</v>
      </c>
    </row>
    <row r="664" spans="1:38" x14ac:dyDescent="0.2">
      <c r="A664">
        <v>42</v>
      </c>
      <c r="B664" t="s">
        <v>47</v>
      </c>
      <c r="D664" t="s">
        <v>2554</v>
      </c>
      <c r="E664" t="s">
        <v>230</v>
      </c>
      <c r="F664" t="s">
        <v>2555</v>
      </c>
      <c r="G664" t="s">
        <v>2556</v>
      </c>
      <c r="H664" t="s">
        <v>17</v>
      </c>
      <c r="I664" t="s">
        <v>391</v>
      </c>
      <c r="J664" s="91">
        <v>-219010.4</v>
      </c>
      <c r="K664" s="91">
        <v>-219010.4</v>
      </c>
      <c r="L664" s="91">
        <v>-219010.4</v>
      </c>
      <c r="M664" t="s">
        <v>278</v>
      </c>
      <c r="N664" t="s">
        <v>278</v>
      </c>
      <c r="O664" t="s">
        <v>2557</v>
      </c>
      <c r="P664" t="s">
        <v>280</v>
      </c>
      <c r="Q664" t="s">
        <v>281</v>
      </c>
      <c r="R664" t="s">
        <v>282</v>
      </c>
      <c r="S664" t="s">
        <v>294</v>
      </c>
      <c r="T664" t="s">
        <v>305</v>
      </c>
      <c r="U664" t="s">
        <v>2558</v>
      </c>
      <c r="V664">
        <v>101</v>
      </c>
      <c r="W664">
        <v>13002</v>
      </c>
      <c r="X664">
        <v>245011</v>
      </c>
      <c r="Y664">
        <v>9999</v>
      </c>
      <c r="Z664">
        <v>999</v>
      </c>
      <c r="AA664">
        <v>999</v>
      </c>
      <c r="AB664">
        <v>9999</v>
      </c>
      <c r="AC664">
        <v>9999</v>
      </c>
      <c r="AD664" t="s">
        <v>1</v>
      </c>
      <c r="AE664" t="s">
        <v>227</v>
      </c>
      <c r="AF664" t="s">
        <v>227</v>
      </c>
      <c r="AG664" t="s">
        <v>286</v>
      </c>
      <c r="AI664" t="s">
        <v>227</v>
      </c>
      <c r="AJ664">
        <v>46142</v>
      </c>
      <c r="AK664" t="s">
        <v>287</v>
      </c>
      <c r="AL664" t="s">
        <v>288</v>
      </c>
    </row>
    <row r="665" spans="1:38" x14ac:dyDescent="0.2">
      <c r="A665">
        <v>42</v>
      </c>
      <c r="B665" t="s">
        <v>47</v>
      </c>
      <c r="D665" t="s">
        <v>2559</v>
      </c>
      <c r="E665" t="s">
        <v>230</v>
      </c>
      <c r="F665" t="s">
        <v>2560</v>
      </c>
      <c r="G665" t="s">
        <v>2561</v>
      </c>
      <c r="H665" t="s">
        <v>17</v>
      </c>
      <c r="I665" t="s">
        <v>391</v>
      </c>
      <c r="J665" s="91">
        <v>-204625.26</v>
      </c>
      <c r="K665" s="91">
        <v>-204625.26</v>
      </c>
      <c r="L665" s="91">
        <v>-204625.26</v>
      </c>
      <c r="M665" t="s">
        <v>278</v>
      </c>
      <c r="N665" t="s">
        <v>278</v>
      </c>
      <c r="O665" t="s">
        <v>2562</v>
      </c>
      <c r="P665" t="s">
        <v>280</v>
      </c>
      <c r="Q665" t="s">
        <v>281</v>
      </c>
      <c r="R665" t="s">
        <v>282</v>
      </c>
      <c r="S665" t="s">
        <v>294</v>
      </c>
      <c r="T665" t="s">
        <v>305</v>
      </c>
      <c r="U665" t="s">
        <v>2558</v>
      </c>
      <c r="V665">
        <v>101</v>
      </c>
      <c r="W665">
        <v>13002</v>
      </c>
      <c r="X665">
        <v>245011</v>
      </c>
      <c r="Y665">
        <v>9999</v>
      </c>
      <c r="Z665">
        <v>999</v>
      </c>
      <c r="AA665">
        <v>999</v>
      </c>
      <c r="AB665">
        <v>9999</v>
      </c>
      <c r="AC665">
        <v>9999</v>
      </c>
      <c r="AD665" t="s">
        <v>1</v>
      </c>
      <c r="AE665" t="s">
        <v>227</v>
      </c>
      <c r="AF665" t="s">
        <v>227</v>
      </c>
      <c r="AG665" t="s">
        <v>286</v>
      </c>
      <c r="AI665" t="s">
        <v>227</v>
      </c>
      <c r="AJ665">
        <v>46142</v>
      </c>
      <c r="AK665" t="s">
        <v>287</v>
      </c>
      <c r="AL665" t="s">
        <v>288</v>
      </c>
    </row>
    <row r="666" spans="1:38" x14ac:dyDescent="0.2">
      <c r="E666" t="s">
        <v>230</v>
      </c>
      <c r="F666" t="s">
        <v>2563</v>
      </c>
      <c r="G666" t="s">
        <v>2564</v>
      </c>
      <c r="H666" t="s">
        <v>17</v>
      </c>
      <c r="I666" t="s">
        <v>419</v>
      </c>
      <c r="J666" s="91">
        <v>219010.4</v>
      </c>
      <c r="K666" s="91">
        <v>219010.4</v>
      </c>
      <c r="L666" s="91">
        <v>219010.4</v>
      </c>
      <c r="M666" t="s">
        <v>278</v>
      </c>
      <c r="N666" t="s">
        <v>278</v>
      </c>
      <c r="O666" t="s">
        <v>2565</v>
      </c>
      <c r="P666" t="s">
        <v>280</v>
      </c>
      <c r="Q666" t="s">
        <v>281</v>
      </c>
      <c r="R666" t="s">
        <v>282</v>
      </c>
      <c r="S666" t="s">
        <v>294</v>
      </c>
      <c r="T666" t="s">
        <v>305</v>
      </c>
      <c r="U666" t="s">
        <v>2558</v>
      </c>
      <c r="V666">
        <v>101</v>
      </c>
      <c r="W666">
        <v>13002</v>
      </c>
      <c r="X666">
        <v>245011</v>
      </c>
      <c r="Y666">
        <v>9999</v>
      </c>
      <c r="Z666">
        <v>999</v>
      </c>
      <c r="AA666">
        <v>999</v>
      </c>
      <c r="AB666">
        <v>9999</v>
      </c>
      <c r="AC666">
        <v>9999</v>
      </c>
      <c r="AD666" t="s">
        <v>1</v>
      </c>
      <c r="AE666" t="s">
        <v>227</v>
      </c>
      <c r="AF666" t="s">
        <v>227</v>
      </c>
      <c r="AG666" t="s">
        <v>286</v>
      </c>
      <c r="AI666" t="s">
        <v>227</v>
      </c>
      <c r="AJ666">
        <v>46148</v>
      </c>
      <c r="AK666" t="s">
        <v>287</v>
      </c>
      <c r="AL666" t="s">
        <v>288</v>
      </c>
    </row>
    <row r="667" spans="1:38" x14ac:dyDescent="0.2">
      <c r="E667" t="s">
        <v>230</v>
      </c>
      <c r="F667" t="s">
        <v>2566</v>
      </c>
      <c r="G667" t="s">
        <v>2567</v>
      </c>
      <c r="H667" t="s">
        <v>17</v>
      </c>
      <c r="I667" t="s">
        <v>419</v>
      </c>
      <c r="J667" s="91">
        <v>204625.26</v>
      </c>
      <c r="K667" s="91">
        <v>204625.26</v>
      </c>
      <c r="L667" s="91">
        <v>204625.26</v>
      </c>
      <c r="M667" t="s">
        <v>278</v>
      </c>
      <c r="N667" t="s">
        <v>278</v>
      </c>
      <c r="O667" t="s">
        <v>2568</v>
      </c>
      <c r="P667" t="s">
        <v>280</v>
      </c>
      <c r="Q667" t="s">
        <v>281</v>
      </c>
      <c r="R667" t="s">
        <v>282</v>
      </c>
      <c r="S667" t="s">
        <v>294</v>
      </c>
      <c r="T667" t="s">
        <v>305</v>
      </c>
      <c r="U667" t="s">
        <v>2558</v>
      </c>
      <c r="V667">
        <v>101</v>
      </c>
      <c r="W667">
        <v>13002</v>
      </c>
      <c r="X667">
        <v>245011</v>
      </c>
      <c r="Y667">
        <v>9999</v>
      </c>
      <c r="Z667">
        <v>999</v>
      </c>
      <c r="AA667">
        <v>999</v>
      </c>
      <c r="AB667">
        <v>9999</v>
      </c>
      <c r="AC667">
        <v>9999</v>
      </c>
      <c r="AD667" t="s">
        <v>1</v>
      </c>
      <c r="AE667" t="s">
        <v>227</v>
      </c>
      <c r="AF667" t="s">
        <v>227</v>
      </c>
      <c r="AG667" t="s">
        <v>286</v>
      </c>
      <c r="AI667" t="s">
        <v>227</v>
      </c>
      <c r="AJ667">
        <v>46148</v>
      </c>
      <c r="AK667" t="s">
        <v>287</v>
      </c>
      <c r="AL667" t="s">
        <v>288</v>
      </c>
    </row>
    <row r="668" spans="1:38" x14ac:dyDescent="0.2">
      <c r="A668">
        <v>40</v>
      </c>
      <c r="B668" t="s">
        <v>47</v>
      </c>
      <c r="D668" t="s">
        <v>2569</v>
      </c>
      <c r="E668" t="s">
        <v>18</v>
      </c>
      <c r="F668" t="s">
        <v>2570</v>
      </c>
      <c r="G668" t="s">
        <v>2571</v>
      </c>
      <c r="H668" t="s">
        <v>16</v>
      </c>
      <c r="I668" t="s">
        <v>419</v>
      </c>
      <c r="J668" s="91">
        <v>-12696707.65</v>
      </c>
      <c r="K668" s="91">
        <v>-12696707.65</v>
      </c>
      <c r="L668" s="91">
        <v>-12696707.65</v>
      </c>
      <c r="M668" t="s">
        <v>278</v>
      </c>
      <c r="N668" t="s">
        <v>278</v>
      </c>
      <c r="O668" t="s">
        <v>2572</v>
      </c>
      <c r="P668" t="s">
        <v>280</v>
      </c>
      <c r="Q668" t="s">
        <v>281</v>
      </c>
      <c r="R668" t="s">
        <v>282</v>
      </c>
      <c r="S668" t="s">
        <v>283</v>
      </c>
      <c r="T668" t="s">
        <v>313</v>
      </c>
      <c r="U668" t="s">
        <v>314</v>
      </c>
      <c r="V668">
        <v>101</v>
      </c>
      <c r="W668">
        <v>11002</v>
      </c>
      <c r="X668">
        <v>245011</v>
      </c>
      <c r="Y668">
        <v>9999</v>
      </c>
      <c r="Z668">
        <v>999</v>
      </c>
      <c r="AA668">
        <v>999</v>
      </c>
      <c r="AB668">
        <v>9999</v>
      </c>
      <c r="AC668">
        <v>9999</v>
      </c>
      <c r="AD668" t="s">
        <v>1</v>
      </c>
      <c r="AE668" t="s">
        <v>227</v>
      </c>
      <c r="AF668" t="s">
        <v>227</v>
      </c>
      <c r="AG668" t="s">
        <v>286</v>
      </c>
      <c r="AI668" t="s">
        <v>227</v>
      </c>
      <c r="AJ668">
        <v>46173</v>
      </c>
      <c r="AK668" t="s">
        <v>382</v>
      </c>
      <c r="AL668" t="s">
        <v>288</v>
      </c>
    </row>
    <row r="669" spans="1:38" x14ac:dyDescent="0.2">
      <c r="E669" t="s">
        <v>18</v>
      </c>
      <c r="F669" t="s">
        <v>2573</v>
      </c>
      <c r="G669" t="s">
        <v>2574</v>
      </c>
      <c r="H669" t="s">
        <v>16</v>
      </c>
      <c r="I669" t="s">
        <v>426</v>
      </c>
      <c r="J669" s="91">
        <v>12696707.65</v>
      </c>
      <c r="K669" s="91">
        <v>12696707.65</v>
      </c>
      <c r="L669" s="91">
        <v>12696707.65</v>
      </c>
      <c r="M669" t="s">
        <v>278</v>
      </c>
      <c r="N669" t="s">
        <v>278</v>
      </c>
      <c r="O669" t="s">
        <v>2575</v>
      </c>
      <c r="P669" t="s">
        <v>280</v>
      </c>
      <c r="Q669" t="s">
        <v>281</v>
      </c>
      <c r="R669" t="s">
        <v>282</v>
      </c>
      <c r="S669" t="s">
        <v>283</v>
      </c>
      <c r="T669" t="s">
        <v>313</v>
      </c>
      <c r="U669" t="s">
        <v>314</v>
      </c>
      <c r="V669">
        <v>101</v>
      </c>
      <c r="W669">
        <v>11002</v>
      </c>
      <c r="X669">
        <v>245011</v>
      </c>
      <c r="Y669">
        <v>9999</v>
      </c>
      <c r="Z669">
        <v>999</v>
      </c>
      <c r="AA669">
        <v>999</v>
      </c>
      <c r="AB669">
        <v>9999</v>
      </c>
      <c r="AC669">
        <v>9999</v>
      </c>
      <c r="AD669" t="s">
        <v>1</v>
      </c>
      <c r="AE669" t="s">
        <v>227</v>
      </c>
      <c r="AF669" t="s">
        <v>227</v>
      </c>
      <c r="AG669" t="s">
        <v>286</v>
      </c>
      <c r="AI669" t="s">
        <v>227</v>
      </c>
      <c r="AJ669">
        <v>46177</v>
      </c>
      <c r="AK669" t="s">
        <v>382</v>
      </c>
      <c r="AL669" t="s">
        <v>288</v>
      </c>
    </row>
    <row r="670" spans="1:38" x14ac:dyDescent="0.2">
      <c r="A670">
        <v>40</v>
      </c>
      <c r="B670" t="s">
        <v>47</v>
      </c>
      <c r="D670" t="s">
        <v>2576</v>
      </c>
      <c r="E670" t="s">
        <v>220</v>
      </c>
      <c r="F670" t="s">
        <v>2577</v>
      </c>
      <c r="G670" t="s">
        <v>2578</v>
      </c>
      <c r="H670" t="s">
        <v>16</v>
      </c>
      <c r="I670" t="s">
        <v>419</v>
      </c>
      <c r="J670" s="91">
        <v>96304.290000000008</v>
      </c>
      <c r="K670" s="91">
        <v>96304.290000000008</v>
      </c>
      <c r="L670" s="91">
        <v>96304.290000000008</v>
      </c>
      <c r="M670" t="s">
        <v>278</v>
      </c>
      <c r="N670" t="s">
        <v>278</v>
      </c>
      <c r="O670" t="s">
        <v>2579</v>
      </c>
      <c r="P670" t="s">
        <v>280</v>
      </c>
      <c r="Q670" t="s">
        <v>281</v>
      </c>
      <c r="R670" t="s">
        <v>282</v>
      </c>
      <c r="S670" t="s">
        <v>283</v>
      </c>
      <c r="T670" t="s">
        <v>313</v>
      </c>
      <c r="U670" t="s">
        <v>1739</v>
      </c>
      <c r="V670">
        <v>101</v>
      </c>
      <c r="W670">
        <v>11015</v>
      </c>
      <c r="X670">
        <v>245011</v>
      </c>
      <c r="Y670">
        <v>9999</v>
      </c>
      <c r="Z670">
        <v>999</v>
      </c>
      <c r="AA670">
        <v>999</v>
      </c>
      <c r="AB670">
        <v>9999</v>
      </c>
      <c r="AC670">
        <v>9999</v>
      </c>
      <c r="AD670" t="s">
        <v>1</v>
      </c>
      <c r="AE670" t="s">
        <v>227</v>
      </c>
      <c r="AF670" t="s">
        <v>227</v>
      </c>
      <c r="AG670" t="s">
        <v>286</v>
      </c>
      <c r="AI670" t="s">
        <v>227</v>
      </c>
      <c r="AJ670">
        <v>46173</v>
      </c>
      <c r="AK670" t="s">
        <v>287</v>
      </c>
      <c r="AL670" t="s">
        <v>288</v>
      </c>
    </row>
    <row r="671" spans="1:38" x14ac:dyDescent="0.2">
      <c r="E671" t="s">
        <v>220</v>
      </c>
      <c r="F671" t="s">
        <v>2580</v>
      </c>
      <c r="G671" t="s">
        <v>2581</v>
      </c>
      <c r="H671" t="s">
        <v>16</v>
      </c>
      <c r="I671" t="s">
        <v>426</v>
      </c>
      <c r="J671" s="91">
        <v>-96304.290000000008</v>
      </c>
      <c r="K671" s="91">
        <v>-96304.290000000008</v>
      </c>
      <c r="L671" s="91">
        <v>-96304.290000000008</v>
      </c>
      <c r="M671" t="s">
        <v>278</v>
      </c>
      <c r="N671" t="s">
        <v>278</v>
      </c>
      <c r="O671" t="s">
        <v>2582</v>
      </c>
      <c r="P671" t="s">
        <v>280</v>
      </c>
      <c r="Q671" t="s">
        <v>281</v>
      </c>
      <c r="R671" t="s">
        <v>282</v>
      </c>
      <c r="S671" t="s">
        <v>283</v>
      </c>
      <c r="T671" t="s">
        <v>313</v>
      </c>
      <c r="U671" t="s">
        <v>1739</v>
      </c>
      <c r="V671">
        <v>101</v>
      </c>
      <c r="W671">
        <v>11015</v>
      </c>
      <c r="X671">
        <v>245011</v>
      </c>
      <c r="Y671">
        <v>9999</v>
      </c>
      <c r="Z671">
        <v>999</v>
      </c>
      <c r="AA671">
        <v>999</v>
      </c>
      <c r="AB671">
        <v>9999</v>
      </c>
      <c r="AC671">
        <v>9999</v>
      </c>
      <c r="AD671" t="s">
        <v>1</v>
      </c>
      <c r="AE671" t="s">
        <v>227</v>
      </c>
      <c r="AF671" t="s">
        <v>227</v>
      </c>
      <c r="AG671" t="s">
        <v>286</v>
      </c>
      <c r="AI671" t="s">
        <v>227</v>
      </c>
      <c r="AJ671">
        <v>46177</v>
      </c>
      <c r="AK671" t="s">
        <v>287</v>
      </c>
      <c r="AL671" t="s">
        <v>288</v>
      </c>
    </row>
    <row r="672" spans="1:38" x14ac:dyDescent="0.2">
      <c r="A672">
        <v>40</v>
      </c>
      <c r="B672" t="s">
        <v>47</v>
      </c>
      <c r="D672" t="s">
        <v>2583</v>
      </c>
      <c r="E672" t="s">
        <v>38</v>
      </c>
      <c r="F672" t="s">
        <v>2584</v>
      </c>
      <c r="G672" t="s">
        <v>2585</v>
      </c>
      <c r="H672" t="s">
        <v>16</v>
      </c>
      <c r="I672" t="s">
        <v>419</v>
      </c>
      <c r="J672" s="91">
        <v>-1939918.36</v>
      </c>
      <c r="K672" s="91">
        <v>-1939918.36</v>
      </c>
      <c r="L672" s="91">
        <v>-1939918.36</v>
      </c>
      <c r="M672" t="s">
        <v>278</v>
      </c>
      <c r="N672" t="s">
        <v>278</v>
      </c>
      <c r="O672" t="s">
        <v>2586</v>
      </c>
      <c r="P672" t="s">
        <v>280</v>
      </c>
      <c r="Q672" t="s">
        <v>281</v>
      </c>
      <c r="R672" t="s">
        <v>282</v>
      </c>
      <c r="S672" t="s">
        <v>283</v>
      </c>
      <c r="T672" t="s">
        <v>313</v>
      </c>
      <c r="U672" t="s">
        <v>443</v>
      </c>
      <c r="V672">
        <v>101</v>
      </c>
      <c r="W672">
        <v>11023</v>
      </c>
      <c r="X672">
        <v>245011</v>
      </c>
      <c r="Y672">
        <v>9999</v>
      </c>
      <c r="Z672">
        <v>999</v>
      </c>
      <c r="AA672">
        <v>999</v>
      </c>
      <c r="AB672">
        <v>9999</v>
      </c>
      <c r="AC672">
        <v>9999</v>
      </c>
      <c r="AD672" t="s">
        <v>1</v>
      </c>
      <c r="AE672" t="s">
        <v>227</v>
      </c>
      <c r="AF672" t="s">
        <v>227</v>
      </c>
      <c r="AG672" t="s">
        <v>286</v>
      </c>
      <c r="AI672" t="s">
        <v>227</v>
      </c>
      <c r="AJ672">
        <v>46173</v>
      </c>
      <c r="AK672" t="s">
        <v>382</v>
      </c>
      <c r="AL672" t="s">
        <v>288</v>
      </c>
    </row>
    <row r="673" spans="1:39" x14ac:dyDescent="0.2">
      <c r="E673" t="s">
        <v>38</v>
      </c>
      <c r="F673" t="s">
        <v>2587</v>
      </c>
      <c r="G673" t="s">
        <v>2588</v>
      </c>
      <c r="H673" t="s">
        <v>16</v>
      </c>
      <c r="I673" t="s">
        <v>426</v>
      </c>
      <c r="J673" s="91">
        <v>1939918.36</v>
      </c>
      <c r="K673" s="91">
        <v>1939918.36</v>
      </c>
      <c r="L673" s="91">
        <v>1939918.36</v>
      </c>
      <c r="M673" t="s">
        <v>278</v>
      </c>
      <c r="N673" t="s">
        <v>278</v>
      </c>
      <c r="O673" t="s">
        <v>2589</v>
      </c>
      <c r="P673" t="s">
        <v>280</v>
      </c>
      <c r="Q673" t="s">
        <v>281</v>
      </c>
      <c r="R673" t="s">
        <v>282</v>
      </c>
      <c r="S673" t="s">
        <v>283</v>
      </c>
      <c r="T673" t="s">
        <v>313</v>
      </c>
      <c r="U673" t="s">
        <v>443</v>
      </c>
      <c r="V673">
        <v>101</v>
      </c>
      <c r="W673">
        <v>11023</v>
      </c>
      <c r="X673">
        <v>245011</v>
      </c>
      <c r="Y673">
        <v>9999</v>
      </c>
      <c r="Z673">
        <v>999</v>
      </c>
      <c r="AA673">
        <v>999</v>
      </c>
      <c r="AB673">
        <v>9999</v>
      </c>
      <c r="AC673">
        <v>9999</v>
      </c>
      <c r="AD673" t="s">
        <v>1</v>
      </c>
      <c r="AE673" t="s">
        <v>227</v>
      </c>
      <c r="AF673" t="s">
        <v>227</v>
      </c>
      <c r="AG673" t="s">
        <v>286</v>
      </c>
      <c r="AI673" t="s">
        <v>227</v>
      </c>
      <c r="AJ673">
        <v>46177</v>
      </c>
      <c r="AK673" t="s">
        <v>382</v>
      </c>
      <c r="AL673" t="s">
        <v>288</v>
      </c>
    </row>
    <row r="674" spans="1:39" x14ac:dyDescent="0.2">
      <c r="A674">
        <v>40</v>
      </c>
      <c r="B674" t="s">
        <v>47</v>
      </c>
      <c r="D674" t="s">
        <v>2576</v>
      </c>
      <c r="E674" t="s">
        <v>11</v>
      </c>
      <c r="F674" t="s">
        <v>2590</v>
      </c>
      <c r="G674" t="s">
        <v>2591</v>
      </c>
      <c r="H674" t="s">
        <v>16</v>
      </c>
      <c r="I674" t="s">
        <v>419</v>
      </c>
      <c r="J674" s="91">
        <v>276949.2</v>
      </c>
      <c r="K674" s="91">
        <v>276949.2</v>
      </c>
      <c r="L674" s="91">
        <v>276949.2</v>
      </c>
      <c r="M674" t="s">
        <v>278</v>
      </c>
      <c r="N674" t="s">
        <v>278</v>
      </c>
      <c r="O674" t="s">
        <v>2592</v>
      </c>
      <c r="P674" t="s">
        <v>280</v>
      </c>
      <c r="Q674" t="s">
        <v>281</v>
      </c>
      <c r="R674" t="s">
        <v>282</v>
      </c>
      <c r="S674" t="s">
        <v>283</v>
      </c>
      <c r="T674" t="s">
        <v>284</v>
      </c>
      <c r="U674" t="s">
        <v>285</v>
      </c>
      <c r="V674">
        <v>101</v>
      </c>
      <c r="W674">
        <v>12012</v>
      </c>
      <c r="X674">
        <v>245011</v>
      </c>
      <c r="Y674">
        <v>9999</v>
      </c>
      <c r="Z674">
        <v>999</v>
      </c>
      <c r="AA674">
        <v>999</v>
      </c>
      <c r="AB674">
        <v>9999</v>
      </c>
      <c r="AC674">
        <v>9999</v>
      </c>
      <c r="AD674" t="s">
        <v>1</v>
      </c>
      <c r="AE674" t="s">
        <v>227</v>
      </c>
      <c r="AF674" t="s">
        <v>227</v>
      </c>
      <c r="AG674" t="s">
        <v>286</v>
      </c>
      <c r="AI674" t="s">
        <v>227</v>
      </c>
      <c r="AJ674">
        <v>46173</v>
      </c>
      <c r="AK674" t="s">
        <v>287</v>
      </c>
      <c r="AL674" t="s">
        <v>288</v>
      </c>
    </row>
    <row r="675" spans="1:39" x14ac:dyDescent="0.2">
      <c r="E675" t="s">
        <v>11</v>
      </c>
      <c r="F675" t="s">
        <v>2593</v>
      </c>
      <c r="G675" t="s">
        <v>2594</v>
      </c>
      <c r="H675" t="s">
        <v>16</v>
      </c>
      <c r="I675" t="s">
        <v>426</v>
      </c>
      <c r="J675" s="91">
        <v>-276949.2</v>
      </c>
      <c r="K675" s="91">
        <v>-276949.2</v>
      </c>
      <c r="L675" s="91">
        <v>-276949.2</v>
      </c>
      <c r="M675" t="s">
        <v>278</v>
      </c>
      <c r="N675" t="s">
        <v>278</v>
      </c>
      <c r="O675" t="s">
        <v>2595</v>
      </c>
      <c r="P675" t="s">
        <v>280</v>
      </c>
      <c r="Q675" t="s">
        <v>281</v>
      </c>
      <c r="R675" t="s">
        <v>282</v>
      </c>
      <c r="S675" t="s">
        <v>283</v>
      </c>
      <c r="T675" t="s">
        <v>284</v>
      </c>
      <c r="U675" t="s">
        <v>285</v>
      </c>
      <c r="V675">
        <v>101</v>
      </c>
      <c r="W675">
        <v>12012</v>
      </c>
      <c r="X675">
        <v>245011</v>
      </c>
      <c r="Y675">
        <v>9999</v>
      </c>
      <c r="Z675">
        <v>999</v>
      </c>
      <c r="AA675">
        <v>999</v>
      </c>
      <c r="AB675">
        <v>9999</v>
      </c>
      <c r="AC675">
        <v>9999</v>
      </c>
      <c r="AD675" t="s">
        <v>1</v>
      </c>
      <c r="AE675" t="s">
        <v>227</v>
      </c>
      <c r="AF675" t="s">
        <v>227</v>
      </c>
      <c r="AG675" t="s">
        <v>286</v>
      </c>
      <c r="AI675" t="s">
        <v>227</v>
      </c>
      <c r="AJ675">
        <v>46177</v>
      </c>
      <c r="AK675" t="s">
        <v>287</v>
      </c>
      <c r="AL675" t="s">
        <v>288</v>
      </c>
    </row>
    <row r="676" spans="1:39" x14ac:dyDescent="0.2">
      <c r="A676">
        <v>40</v>
      </c>
      <c r="B676" t="s">
        <v>47</v>
      </c>
      <c r="D676" t="s">
        <v>2596</v>
      </c>
      <c r="E676" t="s">
        <v>37</v>
      </c>
      <c r="F676" t="s">
        <v>2597</v>
      </c>
      <c r="G676" t="s">
        <v>2598</v>
      </c>
      <c r="H676" t="s">
        <v>16</v>
      </c>
      <c r="I676" t="s">
        <v>419</v>
      </c>
      <c r="J676" s="91">
        <v>903087.96</v>
      </c>
      <c r="K676" s="91">
        <v>903087.96</v>
      </c>
      <c r="L676" s="91">
        <v>903087.96</v>
      </c>
      <c r="M676" t="s">
        <v>278</v>
      </c>
      <c r="N676" t="s">
        <v>278</v>
      </c>
      <c r="O676" t="s">
        <v>2599</v>
      </c>
      <c r="P676" t="s">
        <v>280</v>
      </c>
      <c r="Q676" t="s">
        <v>281</v>
      </c>
      <c r="R676" t="s">
        <v>282</v>
      </c>
      <c r="S676" t="s">
        <v>294</v>
      </c>
      <c r="T676" t="s">
        <v>305</v>
      </c>
      <c r="U676" t="s">
        <v>438</v>
      </c>
      <c r="V676">
        <v>101</v>
      </c>
      <c r="W676">
        <v>13001</v>
      </c>
      <c r="X676">
        <v>245011</v>
      </c>
      <c r="Y676">
        <v>9999</v>
      </c>
      <c r="Z676">
        <v>999</v>
      </c>
      <c r="AA676">
        <v>999</v>
      </c>
      <c r="AB676">
        <v>9999</v>
      </c>
      <c r="AC676">
        <v>9999</v>
      </c>
      <c r="AD676" t="s">
        <v>1</v>
      </c>
      <c r="AE676" t="s">
        <v>227</v>
      </c>
      <c r="AF676" t="s">
        <v>227</v>
      </c>
      <c r="AG676" t="s">
        <v>286</v>
      </c>
      <c r="AI676" t="s">
        <v>227</v>
      </c>
      <c r="AJ676">
        <v>46173</v>
      </c>
      <c r="AK676" t="s">
        <v>287</v>
      </c>
      <c r="AL676" t="s">
        <v>288</v>
      </c>
    </row>
    <row r="677" spans="1:39" x14ac:dyDescent="0.2">
      <c r="E677" t="s">
        <v>37</v>
      </c>
      <c r="F677" t="s">
        <v>2600</v>
      </c>
      <c r="G677" t="s">
        <v>2601</v>
      </c>
      <c r="H677" t="s">
        <v>16</v>
      </c>
      <c r="I677" t="s">
        <v>426</v>
      </c>
      <c r="J677" s="91">
        <v>-903087.96</v>
      </c>
      <c r="K677" s="91">
        <v>-903087.96</v>
      </c>
      <c r="L677" s="91">
        <v>-903087.96</v>
      </c>
      <c r="M677" t="s">
        <v>278</v>
      </c>
      <c r="N677" t="s">
        <v>278</v>
      </c>
      <c r="O677" t="s">
        <v>2602</v>
      </c>
      <c r="P677" t="s">
        <v>280</v>
      </c>
      <c r="Q677" t="s">
        <v>281</v>
      </c>
      <c r="R677" t="s">
        <v>282</v>
      </c>
      <c r="S677" t="s">
        <v>294</v>
      </c>
      <c r="T677" t="s">
        <v>305</v>
      </c>
      <c r="U677" t="s">
        <v>438</v>
      </c>
      <c r="V677">
        <v>101</v>
      </c>
      <c r="W677">
        <v>13001</v>
      </c>
      <c r="X677">
        <v>245011</v>
      </c>
      <c r="Y677">
        <v>9999</v>
      </c>
      <c r="Z677">
        <v>999</v>
      </c>
      <c r="AA677">
        <v>999</v>
      </c>
      <c r="AB677">
        <v>9999</v>
      </c>
      <c r="AC677">
        <v>9999</v>
      </c>
      <c r="AD677" t="s">
        <v>1</v>
      </c>
      <c r="AE677" t="s">
        <v>227</v>
      </c>
      <c r="AF677" t="s">
        <v>227</v>
      </c>
      <c r="AG677" t="s">
        <v>286</v>
      </c>
      <c r="AI677" t="s">
        <v>227</v>
      </c>
      <c r="AJ677">
        <v>46176</v>
      </c>
      <c r="AK677" t="s">
        <v>287</v>
      </c>
      <c r="AL677" t="s">
        <v>288</v>
      </c>
    </row>
    <row r="678" spans="1:39" x14ac:dyDescent="0.2">
      <c r="A678">
        <v>650</v>
      </c>
      <c r="B678" t="s">
        <v>54</v>
      </c>
      <c r="D678" t="s">
        <v>273</v>
      </c>
      <c r="E678" t="s">
        <v>274</v>
      </c>
      <c r="F678" t="s">
        <v>11</v>
      </c>
      <c r="G678" t="s">
        <v>2603</v>
      </c>
      <c r="H678" t="s">
        <v>2604</v>
      </c>
      <c r="I678" t="s">
        <v>9</v>
      </c>
      <c r="J678" s="91" t="s">
        <v>277</v>
      </c>
      <c r="K678" s="91">
        <v>-245120</v>
      </c>
      <c r="L678" s="91">
        <v>-245120</v>
      </c>
      <c r="M678">
        <v>-245120</v>
      </c>
      <c r="N678" t="s">
        <v>278</v>
      </c>
      <c r="O678" t="s">
        <v>278</v>
      </c>
      <c r="P678" t="s">
        <v>279</v>
      </c>
      <c r="Q678" t="s">
        <v>280</v>
      </c>
      <c r="R678" t="s">
        <v>281</v>
      </c>
      <c r="S678" t="s">
        <v>282</v>
      </c>
      <c r="T678" t="s">
        <v>283</v>
      </c>
      <c r="U678" t="s">
        <v>284</v>
      </c>
      <c r="V678" t="s">
        <v>285</v>
      </c>
      <c r="W678">
        <v>101</v>
      </c>
      <c r="X678">
        <v>12012</v>
      </c>
      <c r="Y678">
        <v>245011</v>
      </c>
      <c r="Z678">
        <v>9999</v>
      </c>
      <c r="AA678">
        <v>999</v>
      </c>
      <c r="AB678">
        <v>999</v>
      </c>
      <c r="AC678">
        <v>9999</v>
      </c>
      <c r="AD678">
        <v>9999</v>
      </c>
      <c r="AE678" t="s">
        <v>1</v>
      </c>
      <c r="AF678" t="s">
        <v>227</v>
      </c>
      <c r="AG678" t="s">
        <v>227</v>
      </c>
      <c r="AH678" t="s">
        <v>286</v>
      </c>
      <c r="AJ678" t="s">
        <v>227</v>
      </c>
      <c r="AK678">
        <v>45594</v>
      </c>
      <c r="AL678" t="s">
        <v>287</v>
      </c>
      <c r="AM678" t="s">
        <v>288</v>
      </c>
    </row>
    <row r="679" spans="1:39" x14ac:dyDescent="0.2">
      <c r="A679">
        <v>41</v>
      </c>
      <c r="B679" t="s">
        <v>47</v>
      </c>
      <c r="D679" t="s">
        <v>2605</v>
      </c>
      <c r="E679" t="s">
        <v>308</v>
      </c>
      <c r="F679" t="s">
        <v>220</v>
      </c>
      <c r="G679" t="s">
        <v>2606</v>
      </c>
      <c r="H679" t="s">
        <v>2607</v>
      </c>
      <c r="I679" t="s">
        <v>16</v>
      </c>
      <c r="J679" s="91" t="s">
        <v>426</v>
      </c>
      <c r="K679" s="91">
        <v>148909.29</v>
      </c>
      <c r="L679" s="91">
        <v>148909.29</v>
      </c>
      <c r="M679">
        <v>148909.29</v>
      </c>
      <c r="N679" t="s">
        <v>278</v>
      </c>
      <c r="O679" t="s">
        <v>278</v>
      </c>
      <c r="P679" t="s">
        <v>2608</v>
      </c>
      <c r="Q679" t="s">
        <v>280</v>
      </c>
      <c r="R679" t="s">
        <v>281</v>
      </c>
      <c r="S679" t="s">
        <v>282</v>
      </c>
      <c r="T679" t="s">
        <v>283</v>
      </c>
      <c r="U679" t="s">
        <v>313</v>
      </c>
      <c r="V679" t="s">
        <v>1739</v>
      </c>
      <c r="W679">
        <v>101</v>
      </c>
      <c r="X679">
        <v>11015</v>
      </c>
      <c r="Y679">
        <v>245011</v>
      </c>
      <c r="Z679">
        <v>9999</v>
      </c>
      <c r="AA679">
        <v>999</v>
      </c>
      <c r="AB679">
        <v>999</v>
      </c>
      <c r="AC679">
        <v>9999</v>
      </c>
      <c r="AD679">
        <v>9999</v>
      </c>
      <c r="AE679" t="s">
        <v>1</v>
      </c>
      <c r="AF679" t="s">
        <v>227</v>
      </c>
      <c r="AG679" t="s">
        <v>227</v>
      </c>
      <c r="AH679" t="s">
        <v>286</v>
      </c>
      <c r="AJ679" t="s">
        <v>227</v>
      </c>
      <c r="AK679">
        <v>46203</v>
      </c>
      <c r="AL679" t="s">
        <v>287</v>
      </c>
      <c r="AM679" t="s">
        <v>288</v>
      </c>
    </row>
    <row r="680" spans="1:39" x14ac:dyDescent="0.2">
      <c r="A680">
        <v>41</v>
      </c>
      <c r="B680" t="s">
        <v>47</v>
      </c>
      <c r="D680" t="s">
        <v>2605</v>
      </c>
      <c r="E680" t="s">
        <v>308</v>
      </c>
      <c r="F680" t="s">
        <v>39</v>
      </c>
      <c r="G680" t="s">
        <v>2609</v>
      </c>
      <c r="H680" t="s">
        <v>2610</v>
      </c>
      <c r="I680" t="s">
        <v>27</v>
      </c>
      <c r="J680" s="91" t="s">
        <v>426</v>
      </c>
      <c r="K680" s="91">
        <v>-55137962.869999997</v>
      </c>
      <c r="L680" s="91">
        <v>-55137962.869999997</v>
      </c>
      <c r="M680">
        <v>-55137962.869999997</v>
      </c>
      <c r="N680" t="s">
        <v>278</v>
      </c>
      <c r="O680" t="s">
        <v>278</v>
      </c>
      <c r="P680" t="s">
        <v>2611</v>
      </c>
      <c r="Q680" t="s">
        <v>280</v>
      </c>
      <c r="R680" t="s">
        <v>281</v>
      </c>
      <c r="S680" t="s">
        <v>282</v>
      </c>
      <c r="T680" t="s">
        <v>283</v>
      </c>
      <c r="U680" t="s">
        <v>366</v>
      </c>
      <c r="V680" t="s">
        <v>733</v>
      </c>
      <c r="W680">
        <v>101</v>
      </c>
      <c r="X680">
        <v>12013</v>
      </c>
      <c r="Y680">
        <v>245011</v>
      </c>
      <c r="Z680">
        <v>9999</v>
      </c>
      <c r="AA680">
        <v>999</v>
      </c>
      <c r="AB680">
        <v>999</v>
      </c>
      <c r="AC680">
        <v>9999</v>
      </c>
      <c r="AD680">
        <v>9999</v>
      </c>
      <c r="AE680" t="s">
        <v>1</v>
      </c>
      <c r="AF680" t="s">
        <v>227</v>
      </c>
      <c r="AG680" t="s">
        <v>227</v>
      </c>
      <c r="AH680" t="s">
        <v>286</v>
      </c>
      <c r="AJ680" t="s">
        <v>227</v>
      </c>
      <c r="AK680">
        <v>46203</v>
      </c>
      <c r="AL680" t="s">
        <v>287</v>
      </c>
      <c r="AM680" t="s">
        <v>288</v>
      </c>
    </row>
    <row r="681" spans="1:39" x14ac:dyDescent="0.2">
      <c r="A681">
        <v>41</v>
      </c>
      <c r="B681" t="s">
        <v>47</v>
      </c>
      <c r="D681" t="s">
        <v>2605</v>
      </c>
      <c r="E681" t="s">
        <v>290</v>
      </c>
      <c r="F681" t="s">
        <v>30</v>
      </c>
      <c r="G681" t="s">
        <v>2612</v>
      </c>
      <c r="H681" t="s">
        <v>2613</v>
      </c>
      <c r="I681" t="s">
        <v>27</v>
      </c>
      <c r="J681" s="91" t="s">
        <v>426</v>
      </c>
      <c r="K681" s="91">
        <v>-2449294</v>
      </c>
      <c r="L681" s="91">
        <v>-2449294</v>
      </c>
      <c r="M681">
        <v>-2449294</v>
      </c>
      <c r="N681" t="s">
        <v>278</v>
      </c>
      <c r="O681" t="s">
        <v>278</v>
      </c>
      <c r="P681" t="s">
        <v>2614</v>
      </c>
      <c r="Q681" t="s">
        <v>280</v>
      </c>
      <c r="R681" t="s">
        <v>281</v>
      </c>
      <c r="S681" t="s">
        <v>282</v>
      </c>
      <c r="T681" t="s">
        <v>294</v>
      </c>
      <c r="U681" t="s">
        <v>295</v>
      </c>
      <c r="V681" t="s">
        <v>387</v>
      </c>
      <c r="W681">
        <v>101</v>
      </c>
      <c r="X681">
        <v>13018</v>
      </c>
      <c r="Y681">
        <v>245011</v>
      </c>
      <c r="Z681">
        <v>9999</v>
      </c>
      <c r="AA681">
        <v>999</v>
      </c>
      <c r="AB681">
        <v>999</v>
      </c>
      <c r="AC681">
        <v>9999</v>
      </c>
      <c r="AD681">
        <v>9999</v>
      </c>
      <c r="AE681" t="s">
        <v>1</v>
      </c>
      <c r="AF681" t="s">
        <v>227</v>
      </c>
      <c r="AG681" t="s">
        <v>227</v>
      </c>
      <c r="AH681" t="s">
        <v>286</v>
      </c>
      <c r="AJ681" t="s">
        <v>227</v>
      </c>
      <c r="AK681">
        <v>46203</v>
      </c>
      <c r="AL681" t="s">
        <v>287</v>
      </c>
      <c r="AM681" t="s">
        <v>288</v>
      </c>
    </row>
    <row r="682" spans="1:39" x14ac:dyDescent="0.2">
      <c r="A682">
        <v>41</v>
      </c>
      <c r="B682" t="s">
        <v>47</v>
      </c>
      <c r="D682" t="s">
        <v>2615</v>
      </c>
      <c r="E682" t="s">
        <v>274</v>
      </c>
      <c r="F682" t="s">
        <v>224</v>
      </c>
      <c r="G682" t="s">
        <v>2616</v>
      </c>
      <c r="H682" t="s">
        <v>2617</v>
      </c>
      <c r="I682" t="s">
        <v>16</v>
      </c>
      <c r="J682" s="91" t="s">
        <v>426</v>
      </c>
      <c r="K682" s="91">
        <v>-22500</v>
      </c>
      <c r="L682" s="91">
        <v>-22500</v>
      </c>
      <c r="M682">
        <v>-22500</v>
      </c>
      <c r="N682" t="s">
        <v>278</v>
      </c>
      <c r="O682" t="s">
        <v>278</v>
      </c>
      <c r="P682" t="s">
        <v>2618</v>
      </c>
      <c r="Q682" t="s">
        <v>280</v>
      </c>
      <c r="R682" t="s">
        <v>281</v>
      </c>
      <c r="S682" t="s">
        <v>282</v>
      </c>
      <c r="T682" t="s">
        <v>283</v>
      </c>
      <c r="U682" t="s">
        <v>313</v>
      </c>
      <c r="V682" t="s">
        <v>594</v>
      </c>
      <c r="W682">
        <v>101</v>
      </c>
      <c r="X682">
        <v>11001</v>
      </c>
      <c r="Y682">
        <v>245011</v>
      </c>
      <c r="Z682">
        <v>9999</v>
      </c>
      <c r="AA682">
        <v>999</v>
      </c>
      <c r="AB682">
        <v>999</v>
      </c>
      <c r="AC682">
        <v>9999</v>
      </c>
      <c r="AD682">
        <v>9999</v>
      </c>
      <c r="AE682" t="s">
        <v>1</v>
      </c>
      <c r="AF682" t="s">
        <v>227</v>
      </c>
      <c r="AG682" t="s">
        <v>227</v>
      </c>
      <c r="AH682" t="s">
        <v>286</v>
      </c>
      <c r="AJ682" t="s">
        <v>227</v>
      </c>
      <c r="AK682">
        <v>46203</v>
      </c>
      <c r="AL682" t="s">
        <v>315</v>
      </c>
      <c r="AM682" t="s">
        <v>288</v>
      </c>
    </row>
    <row r="683" spans="1:39" x14ac:dyDescent="0.2">
      <c r="A683">
        <v>19</v>
      </c>
      <c r="B683" t="s">
        <v>46</v>
      </c>
      <c r="D683" t="s">
        <v>2619</v>
      </c>
      <c r="F683" t="s">
        <v>11</v>
      </c>
      <c r="G683" t="s">
        <v>2620</v>
      </c>
      <c r="H683" t="s">
        <v>2621</v>
      </c>
      <c r="I683" t="s">
        <v>222</v>
      </c>
      <c r="J683" s="91" t="s">
        <v>454</v>
      </c>
      <c r="K683" s="91">
        <v>245120</v>
      </c>
      <c r="L683" s="91">
        <v>245120</v>
      </c>
      <c r="M683">
        <v>245120</v>
      </c>
      <c r="N683" t="s">
        <v>278</v>
      </c>
      <c r="O683" t="s">
        <v>278</v>
      </c>
      <c r="P683" t="s">
        <v>2619</v>
      </c>
      <c r="Q683" t="s">
        <v>280</v>
      </c>
      <c r="R683" t="s">
        <v>281</v>
      </c>
      <c r="S683" t="s">
        <v>282</v>
      </c>
      <c r="T683" t="s">
        <v>283</v>
      </c>
      <c r="U683" t="s">
        <v>284</v>
      </c>
      <c r="V683" t="s">
        <v>285</v>
      </c>
      <c r="W683">
        <v>101</v>
      </c>
      <c r="X683">
        <v>12012</v>
      </c>
      <c r="Y683">
        <v>245011</v>
      </c>
      <c r="Z683">
        <v>9999</v>
      </c>
      <c r="AA683">
        <v>999</v>
      </c>
      <c r="AB683">
        <v>999</v>
      </c>
      <c r="AC683">
        <v>9999</v>
      </c>
      <c r="AD683">
        <v>9999</v>
      </c>
      <c r="AE683" t="s">
        <v>1</v>
      </c>
      <c r="AF683" t="s">
        <v>227</v>
      </c>
      <c r="AG683" t="s">
        <v>227</v>
      </c>
      <c r="AH683" t="s">
        <v>286</v>
      </c>
      <c r="AJ683" t="s">
        <v>227</v>
      </c>
      <c r="AK683">
        <v>46225</v>
      </c>
      <c r="AL683" t="s">
        <v>287</v>
      </c>
      <c r="AM683" t="s">
        <v>288</v>
      </c>
    </row>
    <row r="684" spans="1:39" x14ac:dyDescent="0.2">
      <c r="A684">
        <v>17</v>
      </c>
      <c r="B684" t="s">
        <v>46</v>
      </c>
      <c r="D684" t="s">
        <v>2622</v>
      </c>
      <c r="F684" t="s">
        <v>224</v>
      </c>
      <c r="G684" t="s">
        <v>2623</v>
      </c>
      <c r="H684" t="s">
        <v>2624</v>
      </c>
      <c r="I684" t="s">
        <v>16</v>
      </c>
      <c r="J684" s="91" t="s">
        <v>454</v>
      </c>
      <c r="K684" s="91">
        <v>22500</v>
      </c>
      <c r="L684" s="91">
        <v>22500</v>
      </c>
      <c r="M684">
        <v>22500</v>
      </c>
      <c r="N684" t="s">
        <v>278</v>
      </c>
      <c r="O684" t="s">
        <v>278</v>
      </c>
      <c r="P684" t="s">
        <v>2622</v>
      </c>
      <c r="Q684" t="s">
        <v>280</v>
      </c>
      <c r="R684" t="s">
        <v>281</v>
      </c>
      <c r="S684" t="s">
        <v>282</v>
      </c>
      <c r="T684" t="s">
        <v>283</v>
      </c>
      <c r="U684" t="s">
        <v>313</v>
      </c>
      <c r="V684" t="s">
        <v>594</v>
      </c>
      <c r="W684">
        <v>101</v>
      </c>
      <c r="X684">
        <v>11001</v>
      </c>
      <c r="Y684">
        <v>245011</v>
      </c>
      <c r="Z684">
        <v>9999</v>
      </c>
      <c r="AA684">
        <v>999</v>
      </c>
      <c r="AB684">
        <v>999</v>
      </c>
      <c r="AC684">
        <v>9999</v>
      </c>
      <c r="AD684">
        <v>9999</v>
      </c>
      <c r="AE684" t="s">
        <v>1</v>
      </c>
      <c r="AF684" t="s">
        <v>227</v>
      </c>
      <c r="AG684" t="s">
        <v>227</v>
      </c>
      <c r="AH684" t="s">
        <v>286</v>
      </c>
      <c r="AJ684" t="s">
        <v>227</v>
      </c>
      <c r="AK684">
        <v>46227</v>
      </c>
      <c r="AL684" t="s">
        <v>315</v>
      </c>
      <c r="AM684" t="s">
        <v>288</v>
      </c>
    </row>
    <row r="685" spans="1:39" x14ac:dyDescent="0.2">
      <c r="A685">
        <v>32</v>
      </c>
      <c r="B685" t="s">
        <v>47</v>
      </c>
      <c r="D685" t="s">
        <v>2625</v>
      </c>
      <c r="F685" t="s">
        <v>220</v>
      </c>
      <c r="G685" t="s">
        <v>2626</v>
      </c>
      <c r="H685" t="s">
        <v>2627</v>
      </c>
      <c r="I685" t="s">
        <v>16</v>
      </c>
      <c r="J685" s="91" t="s">
        <v>454</v>
      </c>
      <c r="K685" s="91">
        <v>-148909.29</v>
      </c>
      <c r="L685" s="91">
        <v>-148909.29</v>
      </c>
      <c r="M685">
        <v>-148909.29</v>
      </c>
      <c r="N685" t="s">
        <v>278</v>
      </c>
      <c r="O685" t="s">
        <v>278</v>
      </c>
      <c r="P685" t="s">
        <v>2625</v>
      </c>
      <c r="Q685" t="s">
        <v>280</v>
      </c>
      <c r="R685" t="s">
        <v>281</v>
      </c>
      <c r="S685" t="s">
        <v>282</v>
      </c>
      <c r="T685" t="s">
        <v>283</v>
      </c>
      <c r="U685" t="s">
        <v>313</v>
      </c>
      <c r="V685" t="s">
        <v>1739</v>
      </c>
      <c r="W685">
        <v>101</v>
      </c>
      <c r="X685">
        <v>11015</v>
      </c>
      <c r="Y685">
        <v>245011</v>
      </c>
      <c r="Z685">
        <v>9999</v>
      </c>
      <c r="AA685">
        <v>999</v>
      </c>
      <c r="AB685">
        <v>999</v>
      </c>
      <c r="AC685">
        <v>9999</v>
      </c>
      <c r="AD685">
        <v>9999</v>
      </c>
      <c r="AE685" t="s">
        <v>1</v>
      </c>
      <c r="AF685" t="s">
        <v>227</v>
      </c>
      <c r="AG685" t="s">
        <v>227</v>
      </c>
      <c r="AH685" t="s">
        <v>286</v>
      </c>
      <c r="AJ685" t="s">
        <v>227</v>
      </c>
      <c r="AK685">
        <v>46212</v>
      </c>
      <c r="AL685" t="s">
        <v>287</v>
      </c>
      <c r="AM685" t="s">
        <v>288</v>
      </c>
    </row>
    <row r="686" spans="1:39" x14ac:dyDescent="0.2">
      <c r="A686">
        <v>34</v>
      </c>
      <c r="B686" t="s">
        <v>47</v>
      </c>
      <c r="D686" t="s">
        <v>2628</v>
      </c>
      <c r="F686" t="s">
        <v>30</v>
      </c>
      <c r="G686" t="s">
        <v>2629</v>
      </c>
      <c r="H686" t="s">
        <v>2630</v>
      </c>
      <c r="I686" t="s">
        <v>27</v>
      </c>
      <c r="J686" s="91" t="s">
        <v>454</v>
      </c>
      <c r="K686" s="91">
        <v>2449294</v>
      </c>
      <c r="L686" s="91">
        <v>2449294</v>
      </c>
      <c r="M686">
        <v>2449294</v>
      </c>
      <c r="N686" t="s">
        <v>278</v>
      </c>
      <c r="O686" t="s">
        <v>278</v>
      </c>
      <c r="P686" t="s">
        <v>2628</v>
      </c>
      <c r="Q686" t="s">
        <v>280</v>
      </c>
      <c r="R686" t="s">
        <v>281</v>
      </c>
      <c r="S686" t="s">
        <v>282</v>
      </c>
      <c r="T686" t="s">
        <v>294</v>
      </c>
      <c r="U686" t="s">
        <v>295</v>
      </c>
      <c r="V686" t="s">
        <v>387</v>
      </c>
      <c r="W686">
        <v>101</v>
      </c>
      <c r="X686">
        <v>13018</v>
      </c>
      <c r="Y686">
        <v>245011</v>
      </c>
      <c r="Z686">
        <v>9999</v>
      </c>
      <c r="AA686">
        <v>999</v>
      </c>
      <c r="AB686">
        <v>999</v>
      </c>
      <c r="AC686">
        <v>9999</v>
      </c>
      <c r="AD686">
        <v>9999</v>
      </c>
      <c r="AE686" t="s">
        <v>1</v>
      </c>
      <c r="AF686" t="s">
        <v>227</v>
      </c>
      <c r="AG686" t="s">
        <v>227</v>
      </c>
      <c r="AH686" t="s">
        <v>286</v>
      </c>
      <c r="AJ686" t="s">
        <v>227</v>
      </c>
      <c r="AK686">
        <v>46210</v>
      </c>
      <c r="AL686" t="s">
        <v>287</v>
      </c>
      <c r="AM686" t="s">
        <v>288</v>
      </c>
    </row>
    <row r="687" spans="1:39" x14ac:dyDescent="0.2">
      <c r="A687">
        <v>34</v>
      </c>
      <c r="B687" t="s">
        <v>47</v>
      </c>
      <c r="D687" t="s">
        <v>2631</v>
      </c>
      <c r="F687" t="s">
        <v>39</v>
      </c>
      <c r="G687" t="s">
        <v>2632</v>
      </c>
      <c r="H687" t="s">
        <v>2633</v>
      </c>
      <c r="I687" t="s">
        <v>27</v>
      </c>
      <c r="J687" s="91" t="s">
        <v>454</v>
      </c>
      <c r="K687" s="91">
        <v>55137962.869999997</v>
      </c>
      <c r="L687" s="91">
        <v>55137962.869999997</v>
      </c>
      <c r="M687">
        <v>55137962.869999997</v>
      </c>
      <c r="N687" t="s">
        <v>278</v>
      </c>
      <c r="O687" t="s">
        <v>278</v>
      </c>
      <c r="P687" t="s">
        <v>2631</v>
      </c>
      <c r="Q687" t="s">
        <v>280</v>
      </c>
      <c r="R687" t="s">
        <v>281</v>
      </c>
      <c r="S687" t="s">
        <v>282</v>
      </c>
      <c r="T687" t="s">
        <v>283</v>
      </c>
      <c r="U687" t="s">
        <v>366</v>
      </c>
      <c r="V687" t="s">
        <v>733</v>
      </c>
      <c r="W687">
        <v>101</v>
      </c>
      <c r="X687">
        <v>12013</v>
      </c>
      <c r="Y687">
        <v>245011</v>
      </c>
      <c r="Z687">
        <v>9999</v>
      </c>
      <c r="AA687">
        <v>999</v>
      </c>
      <c r="AB687">
        <v>999</v>
      </c>
      <c r="AC687">
        <v>9999</v>
      </c>
      <c r="AD687">
        <v>9999</v>
      </c>
      <c r="AE687" t="s">
        <v>1</v>
      </c>
      <c r="AF687" t="s">
        <v>227</v>
      </c>
      <c r="AG687" t="s">
        <v>227</v>
      </c>
      <c r="AH687" t="s">
        <v>286</v>
      </c>
      <c r="AJ687" t="s">
        <v>227</v>
      </c>
      <c r="AK687">
        <v>46210</v>
      </c>
      <c r="AL687" t="s">
        <v>287</v>
      </c>
      <c r="AM687" t="s">
        <v>288</v>
      </c>
    </row>
    <row r="688" spans="1:39" s="203" customFormat="1" x14ac:dyDescent="0.2">
      <c r="A688" s="203">
        <v>317</v>
      </c>
      <c r="B688" s="203" t="s">
        <v>52</v>
      </c>
      <c r="D688" s="203" t="s">
        <v>2634</v>
      </c>
      <c r="E688" s="203" t="s">
        <v>290</v>
      </c>
      <c r="F688" s="203" t="s">
        <v>25</v>
      </c>
      <c r="G688" s="203" t="s">
        <v>2635</v>
      </c>
      <c r="H688" s="203" t="s">
        <v>2636</v>
      </c>
      <c r="I688" s="203" t="s">
        <v>26</v>
      </c>
      <c r="J688" s="161" t="s">
        <v>338</v>
      </c>
      <c r="K688" s="161">
        <v>-245000</v>
      </c>
      <c r="L688" s="161">
        <v>-245000</v>
      </c>
      <c r="M688" s="203">
        <v>-245000</v>
      </c>
      <c r="N688" s="203" t="s">
        <v>278</v>
      </c>
      <c r="O688" s="203" t="s">
        <v>278</v>
      </c>
      <c r="P688" s="203" t="s">
        <v>2637</v>
      </c>
      <c r="Q688" s="203" t="s">
        <v>280</v>
      </c>
      <c r="R688" s="203" t="s">
        <v>281</v>
      </c>
      <c r="S688" s="203" t="s">
        <v>282</v>
      </c>
      <c r="T688" s="203" t="s">
        <v>294</v>
      </c>
      <c r="U688" s="203" t="s">
        <v>295</v>
      </c>
      <c r="V688" s="203" t="s">
        <v>474</v>
      </c>
      <c r="W688" s="203">
        <v>101</v>
      </c>
      <c r="X688" s="203">
        <v>13006</v>
      </c>
      <c r="Y688" s="203">
        <v>245011</v>
      </c>
      <c r="Z688" s="203">
        <v>9999</v>
      </c>
      <c r="AA688" s="203">
        <v>999</v>
      </c>
      <c r="AB688" s="203">
        <v>999</v>
      </c>
      <c r="AC688" s="203">
        <v>9999</v>
      </c>
      <c r="AD688" s="203">
        <v>9999</v>
      </c>
      <c r="AE688" s="203" t="s">
        <v>1</v>
      </c>
      <c r="AF688" s="203" t="s">
        <v>227</v>
      </c>
      <c r="AG688" s="203" t="s">
        <v>227</v>
      </c>
      <c r="AH688" s="203" t="s">
        <v>286</v>
      </c>
      <c r="AJ688" s="203" t="s">
        <v>227</v>
      </c>
      <c r="AK688" s="203">
        <v>45930</v>
      </c>
      <c r="AL688" s="203" t="s">
        <v>287</v>
      </c>
      <c r="AM688" s="203" t="s">
        <v>288</v>
      </c>
    </row>
    <row r="689" spans="1:39" s="203" customFormat="1" x14ac:dyDescent="0.2">
      <c r="A689" s="203">
        <v>13</v>
      </c>
      <c r="B689" s="203" t="s">
        <v>46</v>
      </c>
      <c r="D689" s="203" t="s">
        <v>2638</v>
      </c>
      <c r="F689" s="203" t="s">
        <v>25</v>
      </c>
      <c r="G689" s="203" t="s">
        <v>2639</v>
      </c>
      <c r="H689" s="203" t="s">
        <v>2640</v>
      </c>
      <c r="I689" s="203" t="s">
        <v>17</v>
      </c>
      <c r="J689" s="161" t="s">
        <v>454</v>
      </c>
      <c r="K689" s="161">
        <v>245000</v>
      </c>
      <c r="L689" s="161">
        <v>245000</v>
      </c>
      <c r="M689" s="203">
        <v>245000</v>
      </c>
      <c r="N689" s="203" t="s">
        <v>278</v>
      </c>
      <c r="O689" s="203" t="s">
        <v>278</v>
      </c>
      <c r="P689" s="203" t="s">
        <v>2638</v>
      </c>
      <c r="Q689" s="203" t="s">
        <v>280</v>
      </c>
      <c r="R689" s="203" t="s">
        <v>281</v>
      </c>
      <c r="S689" s="203" t="s">
        <v>282</v>
      </c>
      <c r="T689" s="203" t="s">
        <v>294</v>
      </c>
      <c r="U689" s="203" t="s">
        <v>295</v>
      </c>
      <c r="V689" s="203" t="s">
        <v>474</v>
      </c>
      <c r="W689" s="203">
        <v>101</v>
      </c>
      <c r="X689" s="203">
        <v>13006</v>
      </c>
      <c r="Y689" s="203">
        <v>245011</v>
      </c>
      <c r="Z689" s="203">
        <v>9999</v>
      </c>
      <c r="AA689" s="203">
        <v>999</v>
      </c>
      <c r="AB689" s="203">
        <v>999</v>
      </c>
      <c r="AC689" s="203">
        <v>9999</v>
      </c>
      <c r="AD689" s="203">
        <v>9999</v>
      </c>
      <c r="AE689" s="203" t="s">
        <v>1</v>
      </c>
      <c r="AF689" s="203" t="s">
        <v>227</v>
      </c>
      <c r="AG689" s="203" t="s">
        <v>227</v>
      </c>
      <c r="AH689" s="203" t="s">
        <v>286</v>
      </c>
      <c r="AJ689" s="203" t="s">
        <v>227</v>
      </c>
      <c r="AK689" s="203">
        <v>46234</v>
      </c>
      <c r="AL689" s="203" t="s">
        <v>382</v>
      </c>
      <c r="AM689" s="203" t="s">
        <v>288</v>
      </c>
    </row>
  </sheetData>
  <autoFilter ref="A3:AL486" xr:uid="{00000000-0009-0000-0000-000022000000}"/>
  <pageMargins left="0.7" right="0.7" top="0.75" bottom="0.75" header="0.3" footer="0.3"/>
  <headerFooter>
    <oddFooter>&amp;C&amp;"Calibri"&amp;10 &amp;K000000_x000D_# CONFIDENTIAL_x000D_&amp;1#&amp;"Aptos"&amp;10&amp;K0000FF PUBLIC</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
  <dimension ref="A1:Z416"/>
  <sheetViews>
    <sheetView zoomScale="70" zoomScaleNormal="70" workbookViewId="0">
      <pane ySplit="3" topLeftCell="A220" activePane="bottomLeft" state="frozen"/>
      <selection pane="bottomLeft" activeCell="R9" sqref="R8:R9"/>
    </sheetView>
  </sheetViews>
  <sheetFormatPr defaultColWidth="9.140625" defaultRowHeight="12.75" outlineLevelCol="1" x14ac:dyDescent="0.2"/>
  <cols>
    <col min="1" max="1" width="15.140625" style="14" customWidth="1"/>
    <col min="2" max="2" width="24.42578125" style="14" customWidth="1"/>
    <col min="3" max="3" width="12.42578125" style="14" customWidth="1" outlineLevel="1"/>
    <col min="4" max="4" width="7.85546875" style="14" bestFit="1" customWidth="1"/>
    <col min="5" max="5" width="9.140625" style="14" customWidth="1" outlineLevel="1"/>
    <col min="6" max="6" width="21.140625" style="14" customWidth="1" outlineLevel="1"/>
    <col min="7" max="7" width="21.5703125" style="14" customWidth="1" outlineLevel="1"/>
    <col min="8" max="8" width="26.5703125" style="14" bestFit="1" customWidth="1"/>
    <col min="9" max="9" width="18" style="14" customWidth="1" outlineLevel="1"/>
    <col min="10" max="10" width="5.5703125" style="15" bestFit="1" customWidth="1"/>
    <col min="11" max="11" width="9.42578125" style="16" bestFit="1" customWidth="1"/>
    <col min="12" max="12" width="10.42578125" style="17" bestFit="1" customWidth="1"/>
    <col min="13" max="13" width="6.42578125" style="17" bestFit="1" customWidth="1"/>
    <col min="14" max="14" width="16.140625" style="14" customWidth="1"/>
    <col min="15" max="16" width="14.85546875" style="18" bestFit="1" customWidth="1"/>
    <col min="17" max="17" width="23.5703125" style="14" customWidth="1"/>
    <col min="18" max="18" width="36.42578125" style="14" customWidth="1"/>
    <col min="19" max="19" width="11.5703125" style="14" bestFit="1" customWidth="1"/>
    <col min="20" max="20" width="13.5703125" style="14" customWidth="1" outlineLevel="1"/>
    <col min="21" max="21" width="60.5703125" style="14" customWidth="1" outlineLevel="1"/>
    <col min="22" max="22" width="12.42578125" style="14" customWidth="1" outlineLevel="1"/>
    <col min="23" max="23" width="5.42578125" style="14" customWidth="1" outlineLevel="1"/>
    <col min="24" max="24" width="14" style="14" customWidth="1" outlineLevel="1"/>
    <col min="25" max="25" width="13.42578125" style="14" customWidth="1" outlineLevel="1"/>
    <col min="26" max="26" width="11.85546875" style="14" customWidth="1" outlineLevel="1"/>
    <col min="27" max="27" width="9.140625" style="14" customWidth="1"/>
    <col min="28" max="16384" width="9.140625" style="14"/>
  </cols>
  <sheetData>
    <row r="1" spans="1:26" ht="27.6" customHeight="1" x14ac:dyDescent="0.2">
      <c r="A1" s="13" t="s">
        <v>2641</v>
      </c>
    </row>
    <row r="2" spans="1:26" ht="16.350000000000001" customHeight="1" x14ac:dyDescent="0.2">
      <c r="A2" s="19"/>
      <c r="O2" s="20">
        <f>SUBTOTAL(9,O417:O1048576)</f>
        <v>0</v>
      </c>
      <c r="P2" s="20">
        <f>SUBTOTAL(9,P4:P3045)</f>
        <v>0</v>
      </c>
      <c r="U2" s="14" t="s">
        <v>2642</v>
      </c>
    </row>
    <row r="3" spans="1:26" s="27" customFormat="1" ht="25.5" customHeight="1" x14ac:dyDescent="0.2">
      <c r="A3" s="21" t="s">
        <v>2643</v>
      </c>
      <c r="B3" s="22" t="s">
        <v>2644</v>
      </c>
      <c r="C3" s="22" t="s">
        <v>2645</v>
      </c>
      <c r="D3" s="22" t="s">
        <v>2646</v>
      </c>
      <c r="E3" s="22" t="s">
        <v>2647</v>
      </c>
      <c r="F3" s="22" t="s">
        <v>2648</v>
      </c>
      <c r="G3" s="22" t="s">
        <v>2649</v>
      </c>
      <c r="H3" s="22" t="s">
        <v>2650</v>
      </c>
      <c r="I3" s="22" t="s">
        <v>2651</v>
      </c>
      <c r="J3" s="23" t="s">
        <v>2652</v>
      </c>
      <c r="K3" s="24" t="s">
        <v>2653</v>
      </c>
      <c r="L3" s="25" t="s">
        <v>2654</v>
      </c>
      <c r="M3" s="25" t="s">
        <v>2655</v>
      </c>
      <c r="N3" s="22" t="s">
        <v>2656</v>
      </c>
      <c r="O3" s="26" t="s">
        <v>244</v>
      </c>
      <c r="P3" s="26" t="s">
        <v>2657</v>
      </c>
      <c r="Q3" s="21" t="s">
        <v>2658</v>
      </c>
      <c r="R3" s="22" t="s">
        <v>2659</v>
      </c>
      <c r="S3" s="22" t="s">
        <v>2660</v>
      </c>
      <c r="T3" s="22" t="s">
        <v>2661</v>
      </c>
      <c r="U3" s="22" t="s">
        <v>2662</v>
      </c>
      <c r="V3" s="22" t="s">
        <v>2663</v>
      </c>
      <c r="W3" s="22" t="s">
        <v>2664</v>
      </c>
      <c r="X3" s="22" t="s">
        <v>2665</v>
      </c>
      <c r="Y3" s="22" t="s">
        <v>2666</v>
      </c>
      <c r="Z3" s="22" t="s">
        <v>2667</v>
      </c>
    </row>
    <row r="4" spans="1:26" x14ac:dyDescent="0.2">
      <c r="A4" s="14" t="s">
        <v>227</v>
      </c>
      <c r="B4" s="14" t="s">
        <v>227</v>
      </c>
      <c r="D4" s="14" t="s">
        <v>934</v>
      </c>
      <c r="E4" s="14" t="s">
        <v>282</v>
      </c>
      <c r="F4" s="14" t="s">
        <v>294</v>
      </c>
      <c r="G4" s="14" t="s">
        <v>295</v>
      </c>
      <c r="H4" s="14" t="s">
        <v>8</v>
      </c>
      <c r="I4" s="14" t="s">
        <v>296</v>
      </c>
      <c r="J4" s="14">
        <v>101</v>
      </c>
      <c r="K4" s="14">
        <v>13008</v>
      </c>
      <c r="L4" s="14">
        <v>245011</v>
      </c>
      <c r="M4" s="14">
        <v>9999</v>
      </c>
      <c r="N4" s="14" t="s">
        <v>1</v>
      </c>
      <c r="O4" s="18">
        <v>760.24</v>
      </c>
      <c r="P4" s="18">
        <v>760.24</v>
      </c>
      <c r="Q4" s="14" t="s">
        <v>2668</v>
      </c>
      <c r="R4" s="14" t="s">
        <v>2669</v>
      </c>
      <c r="S4" s="14" t="s">
        <v>280</v>
      </c>
      <c r="U4" s="14" t="s">
        <v>2670</v>
      </c>
      <c r="V4" s="14" t="s">
        <v>315</v>
      </c>
      <c r="W4" s="14" t="s">
        <v>2671</v>
      </c>
      <c r="X4" s="14" t="s">
        <v>227</v>
      </c>
      <c r="Y4" s="28">
        <v>44561</v>
      </c>
      <c r="Z4" s="28">
        <v>44568</v>
      </c>
    </row>
    <row r="5" spans="1:26" x14ac:dyDescent="0.2">
      <c r="A5" s="14" t="s">
        <v>227</v>
      </c>
      <c r="B5" s="14" t="s">
        <v>227</v>
      </c>
      <c r="D5" s="14" t="s">
        <v>934</v>
      </c>
      <c r="E5" s="14" t="s">
        <v>282</v>
      </c>
      <c r="F5" s="14" t="s">
        <v>294</v>
      </c>
      <c r="G5" s="14" t="s">
        <v>295</v>
      </c>
      <c r="H5" s="14" t="s">
        <v>8</v>
      </c>
      <c r="I5" s="14" t="s">
        <v>296</v>
      </c>
      <c r="J5" s="14">
        <v>101</v>
      </c>
      <c r="K5" s="14">
        <v>13008</v>
      </c>
      <c r="L5" s="14">
        <v>245011</v>
      </c>
      <c r="M5" s="14">
        <v>9999</v>
      </c>
      <c r="N5" s="14" t="s">
        <v>1</v>
      </c>
      <c r="O5" s="18">
        <v>646.80000000000007</v>
      </c>
      <c r="P5" s="18">
        <v>646.80000000000007</v>
      </c>
      <c r="Q5" s="14" t="s">
        <v>2668</v>
      </c>
      <c r="R5" s="14" t="s">
        <v>2672</v>
      </c>
      <c r="S5" s="14" t="s">
        <v>280</v>
      </c>
      <c r="U5" s="14" t="s">
        <v>2673</v>
      </c>
      <c r="V5" s="14" t="s">
        <v>315</v>
      </c>
      <c r="W5" s="14" t="s">
        <v>2674</v>
      </c>
      <c r="X5" s="14" t="s">
        <v>227</v>
      </c>
      <c r="Y5" s="28">
        <v>44561</v>
      </c>
      <c r="Z5" s="28">
        <v>44568</v>
      </c>
    </row>
    <row r="6" spans="1:26" x14ac:dyDescent="0.2">
      <c r="A6" s="14" t="s">
        <v>227</v>
      </c>
      <c r="B6" s="14" t="s">
        <v>227</v>
      </c>
      <c r="D6" s="14" t="s">
        <v>2675</v>
      </c>
      <c r="E6" s="14" t="s">
        <v>282</v>
      </c>
      <c r="F6" s="14" t="s">
        <v>283</v>
      </c>
      <c r="G6" s="14" t="s">
        <v>313</v>
      </c>
      <c r="H6" s="14" t="s">
        <v>23</v>
      </c>
      <c r="I6" s="14" t="s">
        <v>415</v>
      </c>
      <c r="J6" s="14">
        <v>101</v>
      </c>
      <c r="K6" s="14">
        <v>11003</v>
      </c>
      <c r="L6" s="14">
        <v>245011</v>
      </c>
      <c r="M6" s="14">
        <v>9999</v>
      </c>
      <c r="N6" s="14" t="s">
        <v>1</v>
      </c>
      <c r="O6" s="18">
        <v>81585.48</v>
      </c>
      <c r="P6" s="18">
        <v>81585.48</v>
      </c>
      <c r="Q6" s="14" t="s">
        <v>2668</v>
      </c>
      <c r="R6" s="14" t="s">
        <v>2676</v>
      </c>
      <c r="S6" s="14" t="s">
        <v>280</v>
      </c>
      <c r="U6" s="14" t="s">
        <v>2677</v>
      </c>
      <c r="V6" s="14" t="s">
        <v>315</v>
      </c>
      <c r="W6" s="14" t="s">
        <v>227</v>
      </c>
      <c r="X6" s="14" t="s">
        <v>227</v>
      </c>
      <c r="Y6" s="28">
        <v>44500</v>
      </c>
      <c r="Z6" s="28">
        <v>44503</v>
      </c>
    </row>
    <row r="7" spans="1:26" x14ac:dyDescent="0.2">
      <c r="A7" s="14" t="s">
        <v>227</v>
      </c>
      <c r="B7" s="14" t="s">
        <v>227</v>
      </c>
      <c r="D7" s="14" t="s">
        <v>934</v>
      </c>
      <c r="E7" s="14" t="s">
        <v>282</v>
      </c>
      <c r="F7" s="14" t="s">
        <v>283</v>
      </c>
      <c r="G7" s="14" t="s">
        <v>313</v>
      </c>
      <c r="H7" s="14" t="s">
        <v>23</v>
      </c>
      <c r="I7" s="14" t="s">
        <v>415</v>
      </c>
      <c r="J7" s="14">
        <v>101</v>
      </c>
      <c r="K7" s="14">
        <v>11003</v>
      </c>
      <c r="L7" s="14">
        <v>245011</v>
      </c>
      <c r="M7" s="14">
        <v>9999</v>
      </c>
      <c r="N7" s="14" t="s">
        <v>1</v>
      </c>
      <c r="O7" s="18">
        <v>22138.74</v>
      </c>
      <c r="P7" s="18">
        <v>22138.74</v>
      </c>
      <c r="Q7" s="14" t="s">
        <v>2668</v>
      </c>
      <c r="R7" s="14" t="s">
        <v>2678</v>
      </c>
      <c r="S7" s="14" t="s">
        <v>280</v>
      </c>
      <c r="U7" s="14" t="s">
        <v>2679</v>
      </c>
      <c r="V7" s="14" t="s">
        <v>315</v>
      </c>
      <c r="W7" s="14" t="s">
        <v>2680</v>
      </c>
      <c r="X7" s="14" t="s">
        <v>227</v>
      </c>
      <c r="Y7" s="28">
        <v>44561</v>
      </c>
      <c r="Z7" s="28">
        <v>44568</v>
      </c>
    </row>
    <row r="8" spans="1:26" x14ac:dyDescent="0.2">
      <c r="A8" s="14" t="s">
        <v>227</v>
      </c>
      <c r="B8" s="14" t="s">
        <v>227</v>
      </c>
      <c r="D8" s="14" t="s">
        <v>930</v>
      </c>
      <c r="E8" s="14" t="s">
        <v>282</v>
      </c>
      <c r="F8" s="14" t="s">
        <v>294</v>
      </c>
      <c r="G8" s="14" t="s">
        <v>305</v>
      </c>
      <c r="H8" s="14" t="s">
        <v>40</v>
      </c>
      <c r="I8" s="14" t="s">
        <v>479</v>
      </c>
      <c r="J8" s="14">
        <v>101</v>
      </c>
      <c r="K8" s="14">
        <v>13004</v>
      </c>
      <c r="L8" s="14">
        <v>245011</v>
      </c>
      <c r="M8" s="14">
        <v>9999</v>
      </c>
      <c r="N8" s="14" t="s">
        <v>1</v>
      </c>
      <c r="O8" s="18">
        <v>75405.900000000009</v>
      </c>
      <c r="P8" s="18">
        <v>75405.900000000009</v>
      </c>
      <c r="Q8" s="14" t="s">
        <v>2668</v>
      </c>
      <c r="R8" s="14" t="s">
        <v>2681</v>
      </c>
      <c r="S8" s="14" t="s">
        <v>280</v>
      </c>
      <c r="U8" s="14" t="s">
        <v>2682</v>
      </c>
      <c r="V8" s="14" t="s">
        <v>287</v>
      </c>
      <c r="W8" s="14" t="s">
        <v>227</v>
      </c>
      <c r="X8" s="14" t="s">
        <v>227</v>
      </c>
      <c r="Y8" s="28">
        <v>44530</v>
      </c>
      <c r="Z8" s="28">
        <v>44536</v>
      </c>
    </row>
    <row r="9" spans="1:26" x14ac:dyDescent="0.2">
      <c r="A9" s="14" t="s">
        <v>227</v>
      </c>
      <c r="B9" s="14" t="s">
        <v>227</v>
      </c>
      <c r="D9" s="14" t="s">
        <v>934</v>
      </c>
      <c r="E9" s="14" t="s">
        <v>282</v>
      </c>
      <c r="F9" s="14" t="s">
        <v>294</v>
      </c>
      <c r="G9" s="14" t="s">
        <v>305</v>
      </c>
      <c r="H9" s="14" t="s">
        <v>40</v>
      </c>
      <c r="I9" s="14" t="s">
        <v>479</v>
      </c>
      <c r="J9" s="14">
        <v>101</v>
      </c>
      <c r="K9" s="14">
        <v>13004</v>
      </c>
      <c r="L9" s="14">
        <v>245011</v>
      </c>
      <c r="M9" s="14">
        <v>9999</v>
      </c>
      <c r="N9" s="14" t="s">
        <v>1</v>
      </c>
      <c r="O9" s="18">
        <v>-75405.900000000009</v>
      </c>
      <c r="P9" s="18">
        <v>-75405.900000000009</v>
      </c>
      <c r="Q9" s="14" t="s">
        <v>2668</v>
      </c>
      <c r="R9" s="14" t="s">
        <v>2683</v>
      </c>
      <c r="S9" s="14" t="s">
        <v>280</v>
      </c>
      <c r="U9" s="14" t="s">
        <v>2684</v>
      </c>
      <c r="V9" s="14" t="s">
        <v>287</v>
      </c>
      <c r="W9" s="14" t="s">
        <v>227</v>
      </c>
      <c r="X9" s="14" t="s">
        <v>227</v>
      </c>
      <c r="Y9" s="28">
        <v>44543</v>
      </c>
      <c r="Z9" s="28">
        <v>44544</v>
      </c>
    </row>
    <row r="10" spans="1:26" x14ac:dyDescent="0.2">
      <c r="A10" s="14" t="s">
        <v>227</v>
      </c>
      <c r="B10" s="14" t="s">
        <v>227</v>
      </c>
      <c r="D10" s="14" t="s">
        <v>2685</v>
      </c>
      <c r="E10" s="14" t="s">
        <v>282</v>
      </c>
      <c r="F10" s="14" t="s">
        <v>283</v>
      </c>
      <c r="G10" s="14" t="s">
        <v>366</v>
      </c>
      <c r="H10" s="14" t="s">
        <v>73</v>
      </c>
      <c r="I10" s="14" t="s">
        <v>602</v>
      </c>
      <c r="J10" s="14">
        <v>101</v>
      </c>
      <c r="K10" s="14">
        <v>12021</v>
      </c>
      <c r="L10" s="14">
        <v>245011</v>
      </c>
      <c r="M10" s="14">
        <v>9999</v>
      </c>
      <c r="N10" s="14" t="s">
        <v>1</v>
      </c>
      <c r="O10" s="18">
        <v>475200</v>
      </c>
      <c r="P10" s="18">
        <v>475200</v>
      </c>
      <c r="Q10" s="14" t="s">
        <v>2668</v>
      </c>
      <c r="R10" s="14" t="s">
        <v>2686</v>
      </c>
      <c r="S10" s="14" t="s">
        <v>280</v>
      </c>
      <c r="U10" s="14" t="s">
        <v>2687</v>
      </c>
      <c r="V10" s="14" t="s">
        <v>287</v>
      </c>
      <c r="W10" s="14" t="s">
        <v>227</v>
      </c>
      <c r="X10" s="14" t="s">
        <v>227</v>
      </c>
      <c r="Y10" s="28">
        <v>44316</v>
      </c>
      <c r="Z10" s="28">
        <v>44322</v>
      </c>
    </row>
    <row r="11" spans="1:26" x14ac:dyDescent="0.2">
      <c r="A11" s="14" t="s">
        <v>227</v>
      </c>
      <c r="B11" s="14" t="s">
        <v>227</v>
      </c>
      <c r="D11" s="14" t="s">
        <v>934</v>
      </c>
      <c r="E11" s="14" t="s">
        <v>282</v>
      </c>
      <c r="F11" s="14" t="s">
        <v>283</v>
      </c>
      <c r="G11" s="14" t="s">
        <v>313</v>
      </c>
      <c r="H11" s="14" t="s">
        <v>68</v>
      </c>
      <c r="I11" s="14" t="s">
        <v>547</v>
      </c>
      <c r="J11" s="14">
        <v>101</v>
      </c>
      <c r="K11" s="14">
        <v>12022</v>
      </c>
      <c r="L11" s="14">
        <v>245011</v>
      </c>
      <c r="M11" s="14">
        <v>9999</v>
      </c>
      <c r="N11" s="14" t="s">
        <v>1</v>
      </c>
      <c r="O11" s="18">
        <v>6568037.6600000001</v>
      </c>
      <c r="P11" s="18">
        <v>6568037.6600000001</v>
      </c>
      <c r="Q11" s="14" t="s">
        <v>2668</v>
      </c>
      <c r="R11" s="14" t="s">
        <v>2688</v>
      </c>
      <c r="S11" s="14" t="s">
        <v>280</v>
      </c>
      <c r="U11" s="14" t="s">
        <v>2689</v>
      </c>
      <c r="V11" s="14" t="s">
        <v>287</v>
      </c>
      <c r="W11" s="14" t="s">
        <v>227</v>
      </c>
      <c r="X11" s="14" t="s">
        <v>227</v>
      </c>
      <c r="Y11" s="28">
        <v>44561</v>
      </c>
      <c r="Z11" s="28">
        <v>44568</v>
      </c>
    </row>
    <row r="12" spans="1:26" x14ac:dyDescent="0.2">
      <c r="A12" s="14" t="s">
        <v>227</v>
      </c>
      <c r="B12" s="14" t="s">
        <v>227</v>
      </c>
      <c r="D12" s="14" t="s">
        <v>934</v>
      </c>
      <c r="E12" s="14" t="s">
        <v>282</v>
      </c>
      <c r="F12" s="14" t="s">
        <v>283</v>
      </c>
      <c r="G12" s="14" t="s">
        <v>313</v>
      </c>
      <c r="H12" s="14" t="s">
        <v>77</v>
      </c>
      <c r="I12" s="14" t="s">
        <v>594</v>
      </c>
      <c r="J12" s="14">
        <v>101</v>
      </c>
      <c r="K12" s="14">
        <v>11001</v>
      </c>
      <c r="L12" s="14">
        <v>245011</v>
      </c>
      <c r="M12" s="14">
        <v>9999</v>
      </c>
      <c r="N12" s="14" t="s">
        <v>1</v>
      </c>
      <c r="O12" s="18">
        <v>265219.5</v>
      </c>
      <c r="P12" s="18">
        <v>265219.5</v>
      </c>
      <c r="Q12" s="14" t="s">
        <v>2668</v>
      </c>
      <c r="R12" s="14" t="s">
        <v>2690</v>
      </c>
      <c r="S12" s="14" t="s">
        <v>280</v>
      </c>
      <c r="U12" s="14" t="s">
        <v>2691</v>
      </c>
      <c r="V12" s="14" t="s">
        <v>315</v>
      </c>
      <c r="W12" s="14" t="s">
        <v>227</v>
      </c>
      <c r="X12" s="14" t="s">
        <v>227</v>
      </c>
      <c r="Y12" s="28">
        <v>44561</v>
      </c>
      <c r="Z12" s="28">
        <v>44568</v>
      </c>
    </row>
    <row r="13" spans="1:26" x14ac:dyDescent="0.2">
      <c r="A13" s="14" t="s">
        <v>227</v>
      </c>
      <c r="B13" s="14" t="s">
        <v>227</v>
      </c>
      <c r="D13" s="14" t="s">
        <v>934</v>
      </c>
      <c r="E13" s="14" t="s">
        <v>282</v>
      </c>
      <c r="F13" s="14" t="s">
        <v>294</v>
      </c>
      <c r="G13" s="14" t="s">
        <v>295</v>
      </c>
      <c r="H13" s="14" t="s">
        <v>8</v>
      </c>
      <c r="I13" s="14" t="s">
        <v>296</v>
      </c>
      <c r="J13" s="14">
        <v>101</v>
      </c>
      <c r="K13" s="14">
        <v>13008</v>
      </c>
      <c r="L13" s="14">
        <v>245011</v>
      </c>
      <c r="M13" s="14">
        <v>9999</v>
      </c>
      <c r="N13" s="14" t="s">
        <v>1</v>
      </c>
      <c r="O13" s="18">
        <v>5392.9000000000005</v>
      </c>
      <c r="P13" s="18">
        <v>5392.9000000000005</v>
      </c>
      <c r="Q13" s="14" t="s">
        <v>2668</v>
      </c>
      <c r="R13" s="14" t="s">
        <v>2692</v>
      </c>
      <c r="S13" s="14" t="s">
        <v>280</v>
      </c>
      <c r="U13" s="14" t="s">
        <v>2693</v>
      </c>
      <c r="V13" s="14" t="s">
        <v>315</v>
      </c>
      <c r="W13" s="14" t="s">
        <v>2671</v>
      </c>
      <c r="X13" s="14" t="s">
        <v>227</v>
      </c>
      <c r="Y13" s="28">
        <v>44561</v>
      </c>
      <c r="Z13" s="28">
        <v>44568</v>
      </c>
    </row>
    <row r="14" spans="1:26" x14ac:dyDescent="0.2">
      <c r="A14" s="14" t="s">
        <v>227</v>
      </c>
      <c r="B14" s="14" t="s">
        <v>227</v>
      </c>
      <c r="D14" s="14" t="s">
        <v>934</v>
      </c>
      <c r="E14" s="14" t="s">
        <v>282</v>
      </c>
      <c r="F14" s="14" t="s">
        <v>294</v>
      </c>
      <c r="G14" s="14" t="s">
        <v>295</v>
      </c>
      <c r="H14" s="14" t="s">
        <v>8</v>
      </c>
      <c r="I14" s="14" t="s">
        <v>296</v>
      </c>
      <c r="J14" s="14">
        <v>101</v>
      </c>
      <c r="K14" s="14">
        <v>13008</v>
      </c>
      <c r="L14" s="14">
        <v>245011</v>
      </c>
      <c r="M14" s="14">
        <v>9999</v>
      </c>
      <c r="N14" s="14" t="s">
        <v>1</v>
      </c>
      <c r="O14" s="18">
        <v>39872.44</v>
      </c>
      <c r="P14" s="18">
        <v>39872.44</v>
      </c>
      <c r="Q14" s="14" t="s">
        <v>2668</v>
      </c>
      <c r="R14" s="14" t="s">
        <v>2694</v>
      </c>
      <c r="S14" s="14" t="s">
        <v>280</v>
      </c>
      <c r="U14" s="14" t="s">
        <v>2695</v>
      </c>
      <c r="V14" s="14" t="s">
        <v>315</v>
      </c>
      <c r="W14" s="14" t="s">
        <v>2671</v>
      </c>
      <c r="X14" s="14" t="s">
        <v>227</v>
      </c>
      <c r="Y14" s="28">
        <v>44561</v>
      </c>
      <c r="Z14" s="28">
        <v>44568</v>
      </c>
    </row>
    <row r="15" spans="1:26" x14ac:dyDescent="0.2">
      <c r="A15" s="14" t="s">
        <v>227</v>
      </c>
      <c r="B15" s="14" t="s">
        <v>227</v>
      </c>
      <c r="D15" s="14" t="s">
        <v>934</v>
      </c>
      <c r="E15" s="14" t="s">
        <v>282</v>
      </c>
      <c r="F15" s="14" t="s">
        <v>294</v>
      </c>
      <c r="G15" s="14" t="s">
        <v>305</v>
      </c>
      <c r="H15" s="14" t="s">
        <v>37</v>
      </c>
      <c r="I15" s="14" t="s">
        <v>438</v>
      </c>
      <c r="J15" s="14">
        <v>101</v>
      </c>
      <c r="K15" s="14">
        <v>13001</v>
      </c>
      <c r="L15" s="14">
        <v>245011</v>
      </c>
      <c r="M15" s="14">
        <v>9999</v>
      </c>
      <c r="N15" s="14" t="s">
        <v>1</v>
      </c>
      <c r="O15" s="18">
        <v>203797.08</v>
      </c>
      <c r="P15" s="18">
        <v>203797.08</v>
      </c>
      <c r="Q15" s="14" t="s">
        <v>2668</v>
      </c>
      <c r="R15" s="14" t="s">
        <v>2696</v>
      </c>
      <c r="S15" s="14" t="s">
        <v>280</v>
      </c>
      <c r="U15" s="14" t="s">
        <v>2697</v>
      </c>
      <c r="V15" s="14" t="s">
        <v>315</v>
      </c>
      <c r="W15" s="14" t="s">
        <v>227</v>
      </c>
      <c r="X15" s="14" t="s">
        <v>227</v>
      </c>
      <c r="Y15" s="28">
        <v>44561</v>
      </c>
      <c r="Z15" s="28">
        <v>44571</v>
      </c>
    </row>
    <row r="16" spans="1:26" x14ac:dyDescent="0.2">
      <c r="A16" s="14" t="s">
        <v>227</v>
      </c>
      <c r="B16" s="14" t="s">
        <v>227</v>
      </c>
      <c r="D16" s="14" t="s">
        <v>934</v>
      </c>
      <c r="E16" s="14" t="s">
        <v>282</v>
      </c>
      <c r="F16" s="14" t="s">
        <v>294</v>
      </c>
      <c r="G16" s="14" t="s">
        <v>305</v>
      </c>
      <c r="H16" s="14" t="s">
        <v>40</v>
      </c>
      <c r="I16" s="14" t="s">
        <v>479</v>
      </c>
      <c r="J16" s="14">
        <v>101</v>
      </c>
      <c r="K16" s="14">
        <v>13004</v>
      </c>
      <c r="L16" s="14">
        <v>245011</v>
      </c>
      <c r="M16" s="14">
        <v>9999</v>
      </c>
      <c r="N16" s="14" t="s">
        <v>1</v>
      </c>
      <c r="O16" s="18">
        <v>12950.01</v>
      </c>
      <c r="P16" s="18">
        <v>12950.01</v>
      </c>
      <c r="Q16" s="14" t="s">
        <v>2668</v>
      </c>
      <c r="R16" s="14" t="s">
        <v>2698</v>
      </c>
      <c r="S16" s="14" t="s">
        <v>280</v>
      </c>
      <c r="U16" s="14" t="s">
        <v>2699</v>
      </c>
      <c r="V16" s="14" t="s">
        <v>315</v>
      </c>
      <c r="W16" s="14" t="s">
        <v>227</v>
      </c>
      <c r="X16" s="14" t="s">
        <v>227</v>
      </c>
      <c r="Y16" s="28">
        <v>44561</v>
      </c>
      <c r="Z16" s="28">
        <v>44571</v>
      </c>
    </row>
    <row r="17" spans="1:26" x14ac:dyDescent="0.2">
      <c r="A17" s="14" t="s">
        <v>227</v>
      </c>
      <c r="B17" s="14" t="s">
        <v>227</v>
      </c>
      <c r="D17" s="14" t="s">
        <v>934</v>
      </c>
      <c r="E17" s="14" t="s">
        <v>282</v>
      </c>
      <c r="F17" s="14" t="s">
        <v>294</v>
      </c>
      <c r="G17" s="14" t="s">
        <v>305</v>
      </c>
      <c r="H17" s="14" t="s">
        <v>40</v>
      </c>
      <c r="I17" s="14" t="s">
        <v>479</v>
      </c>
      <c r="J17" s="14">
        <v>101</v>
      </c>
      <c r="K17" s="14">
        <v>13004</v>
      </c>
      <c r="L17" s="14">
        <v>245011</v>
      </c>
      <c r="M17" s="14">
        <v>9999</v>
      </c>
      <c r="N17" s="14" t="s">
        <v>1</v>
      </c>
      <c r="O17" s="18">
        <v>10592.82</v>
      </c>
      <c r="P17" s="18">
        <v>10592.82</v>
      </c>
      <c r="Q17" s="14" t="s">
        <v>2668</v>
      </c>
      <c r="R17" s="14" t="s">
        <v>2700</v>
      </c>
      <c r="S17" s="14" t="s">
        <v>280</v>
      </c>
      <c r="U17" s="14" t="s">
        <v>2701</v>
      </c>
      <c r="V17" s="14" t="s">
        <v>315</v>
      </c>
      <c r="W17" s="14" t="s">
        <v>227</v>
      </c>
      <c r="X17" s="14" t="s">
        <v>227</v>
      </c>
      <c r="Y17" s="28">
        <v>44561</v>
      </c>
      <c r="Z17" s="28">
        <v>44571</v>
      </c>
    </row>
    <row r="18" spans="1:26" x14ac:dyDescent="0.2">
      <c r="A18" s="14" t="s">
        <v>227</v>
      </c>
      <c r="B18" s="14" t="s">
        <v>227</v>
      </c>
      <c r="D18" s="14" t="s">
        <v>934</v>
      </c>
      <c r="E18" s="14" t="s">
        <v>282</v>
      </c>
      <c r="F18" s="14" t="s">
        <v>294</v>
      </c>
      <c r="G18" s="14" t="s">
        <v>305</v>
      </c>
      <c r="H18" s="14" t="s">
        <v>40</v>
      </c>
      <c r="I18" s="14" t="s">
        <v>479</v>
      </c>
      <c r="J18" s="14">
        <v>101</v>
      </c>
      <c r="K18" s="14">
        <v>13004</v>
      </c>
      <c r="L18" s="14">
        <v>245011</v>
      </c>
      <c r="M18" s="14">
        <v>9999</v>
      </c>
      <c r="N18" s="14" t="s">
        <v>1</v>
      </c>
      <c r="O18" s="18">
        <v>19438.900000000001</v>
      </c>
      <c r="P18" s="18">
        <v>19438.900000000001</v>
      </c>
      <c r="Q18" s="14" t="s">
        <v>2668</v>
      </c>
      <c r="R18" s="14" t="s">
        <v>2702</v>
      </c>
      <c r="S18" s="14" t="s">
        <v>280</v>
      </c>
      <c r="U18" s="14" t="s">
        <v>2703</v>
      </c>
      <c r="V18" s="14" t="s">
        <v>315</v>
      </c>
      <c r="W18" s="14" t="s">
        <v>227</v>
      </c>
      <c r="X18" s="14" t="s">
        <v>227</v>
      </c>
      <c r="Y18" s="28">
        <v>44561</v>
      </c>
      <c r="Z18" s="28">
        <v>44571</v>
      </c>
    </row>
    <row r="19" spans="1:26" x14ac:dyDescent="0.2">
      <c r="A19" s="14" t="s">
        <v>227</v>
      </c>
      <c r="B19" s="14" t="s">
        <v>227</v>
      </c>
      <c r="D19" s="14" t="s">
        <v>859</v>
      </c>
      <c r="E19" s="14" t="s">
        <v>282</v>
      </c>
      <c r="F19" s="14" t="s">
        <v>294</v>
      </c>
      <c r="G19" s="14" t="s">
        <v>295</v>
      </c>
      <c r="H19" s="14" t="s">
        <v>8</v>
      </c>
      <c r="I19" s="14" t="s">
        <v>296</v>
      </c>
      <c r="J19" s="14">
        <v>101</v>
      </c>
      <c r="K19" s="14">
        <v>13008</v>
      </c>
      <c r="L19" s="14">
        <v>245011</v>
      </c>
      <c r="M19" s="14">
        <v>9999</v>
      </c>
      <c r="N19" s="14" t="s">
        <v>1</v>
      </c>
      <c r="O19" s="18">
        <v>-760.24</v>
      </c>
      <c r="P19" s="18">
        <v>-760.24</v>
      </c>
      <c r="Q19" s="14" t="s">
        <v>2668</v>
      </c>
      <c r="R19" s="14" t="s">
        <v>2704</v>
      </c>
      <c r="S19" s="14" t="s">
        <v>280</v>
      </c>
      <c r="U19" s="14" t="s">
        <v>2705</v>
      </c>
      <c r="V19" s="14" t="s">
        <v>315</v>
      </c>
      <c r="W19" s="14" t="s">
        <v>2671</v>
      </c>
      <c r="X19" s="14" t="s">
        <v>227</v>
      </c>
      <c r="Y19" s="28">
        <v>44592</v>
      </c>
      <c r="Z19" s="28">
        <v>44592</v>
      </c>
    </row>
    <row r="20" spans="1:26" x14ac:dyDescent="0.2">
      <c r="A20" s="14" t="s">
        <v>227</v>
      </c>
      <c r="B20" s="14" t="s">
        <v>227</v>
      </c>
      <c r="D20" s="14" t="s">
        <v>859</v>
      </c>
      <c r="E20" s="14" t="s">
        <v>282</v>
      </c>
      <c r="F20" s="14" t="s">
        <v>294</v>
      </c>
      <c r="G20" s="14" t="s">
        <v>295</v>
      </c>
      <c r="H20" s="14" t="s">
        <v>8</v>
      </c>
      <c r="I20" s="14" t="s">
        <v>296</v>
      </c>
      <c r="J20" s="14">
        <v>101</v>
      </c>
      <c r="K20" s="14">
        <v>13008</v>
      </c>
      <c r="L20" s="14">
        <v>245011</v>
      </c>
      <c r="M20" s="14">
        <v>9999</v>
      </c>
      <c r="N20" s="14" t="s">
        <v>1</v>
      </c>
      <c r="O20" s="18">
        <v>-39872.44</v>
      </c>
      <c r="P20" s="18">
        <v>-39872.44</v>
      </c>
      <c r="Q20" s="14" t="s">
        <v>2668</v>
      </c>
      <c r="R20" s="14" t="s">
        <v>2706</v>
      </c>
      <c r="S20" s="14" t="s">
        <v>280</v>
      </c>
      <c r="U20" s="14" t="s">
        <v>2707</v>
      </c>
      <c r="V20" s="14" t="s">
        <v>315</v>
      </c>
      <c r="W20" s="14" t="s">
        <v>2671</v>
      </c>
      <c r="X20" s="14" t="s">
        <v>227</v>
      </c>
      <c r="Y20" s="28">
        <v>44592</v>
      </c>
      <c r="Z20" s="28">
        <v>44594</v>
      </c>
    </row>
    <row r="21" spans="1:26" x14ac:dyDescent="0.2">
      <c r="A21" s="14" t="s">
        <v>227</v>
      </c>
      <c r="B21" s="14" t="s">
        <v>227</v>
      </c>
      <c r="D21" s="14" t="s">
        <v>859</v>
      </c>
      <c r="E21" s="14" t="s">
        <v>282</v>
      </c>
      <c r="F21" s="14" t="s">
        <v>294</v>
      </c>
      <c r="G21" s="14" t="s">
        <v>295</v>
      </c>
      <c r="H21" s="14" t="s">
        <v>8</v>
      </c>
      <c r="I21" s="14" t="s">
        <v>296</v>
      </c>
      <c r="J21" s="14">
        <v>101</v>
      </c>
      <c r="K21" s="14">
        <v>13008</v>
      </c>
      <c r="L21" s="14">
        <v>245011</v>
      </c>
      <c r="M21" s="14">
        <v>9999</v>
      </c>
      <c r="N21" s="14" t="s">
        <v>1</v>
      </c>
      <c r="O21" s="18">
        <v>-646.80000000000007</v>
      </c>
      <c r="P21" s="18">
        <v>-646.80000000000007</v>
      </c>
      <c r="Q21" s="14" t="s">
        <v>2668</v>
      </c>
      <c r="R21" s="14" t="s">
        <v>2708</v>
      </c>
      <c r="S21" s="14" t="s">
        <v>280</v>
      </c>
      <c r="U21" s="14" t="s">
        <v>2709</v>
      </c>
      <c r="V21" s="14" t="s">
        <v>315</v>
      </c>
      <c r="W21" s="14" t="s">
        <v>2674</v>
      </c>
      <c r="X21" s="14" t="s">
        <v>227</v>
      </c>
      <c r="Y21" s="28">
        <v>44592</v>
      </c>
      <c r="Z21" s="28">
        <v>44592</v>
      </c>
    </row>
    <row r="22" spans="1:26" x14ac:dyDescent="0.2">
      <c r="A22" s="29" t="s">
        <v>227</v>
      </c>
      <c r="B22" s="29" t="s">
        <v>227</v>
      </c>
      <c r="C22" s="29"/>
      <c r="D22" s="29" t="s">
        <v>859</v>
      </c>
      <c r="E22" s="29" t="s">
        <v>282</v>
      </c>
      <c r="F22" s="29" t="s">
        <v>283</v>
      </c>
      <c r="G22" s="29" t="s">
        <v>313</v>
      </c>
      <c r="H22" s="29" t="s">
        <v>23</v>
      </c>
      <c r="I22" s="29" t="s">
        <v>415</v>
      </c>
      <c r="J22" s="29">
        <v>101</v>
      </c>
      <c r="K22" s="29">
        <v>11003</v>
      </c>
      <c r="L22" s="29">
        <v>245011</v>
      </c>
      <c r="M22" s="29">
        <v>9999</v>
      </c>
      <c r="N22" s="29" t="s">
        <v>1</v>
      </c>
      <c r="O22" s="18">
        <v>-22138.74</v>
      </c>
      <c r="P22" s="18">
        <v>-22138.74</v>
      </c>
      <c r="Q22" s="29" t="s">
        <v>2668</v>
      </c>
      <c r="R22" s="29" t="s">
        <v>2710</v>
      </c>
      <c r="S22" s="29" t="s">
        <v>280</v>
      </c>
      <c r="T22" s="29"/>
      <c r="U22" s="29" t="s">
        <v>2711</v>
      </c>
      <c r="V22" s="29" t="s">
        <v>315</v>
      </c>
      <c r="W22" s="29" t="s">
        <v>2680</v>
      </c>
      <c r="X22" s="29" t="s">
        <v>227</v>
      </c>
      <c r="Y22" s="29">
        <v>44592</v>
      </c>
      <c r="Z22" s="29">
        <v>44592</v>
      </c>
    </row>
    <row r="23" spans="1:26" x14ac:dyDescent="0.2">
      <c r="A23" s="14" t="s">
        <v>227</v>
      </c>
      <c r="B23" s="14" t="s">
        <v>227</v>
      </c>
      <c r="D23" s="14" t="s">
        <v>859</v>
      </c>
      <c r="E23" s="14" t="s">
        <v>282</v>
      </c>
      <c r="F23" s="14" t="s">
        <v>294</v>
      </c>
      <c r="G23" s="14" t="s">
        <v>295</v>
      </c>
      <c r="H23" s="14" t="s">
        <v>8</v>
      </c>
      <c r="I23" s="14" t="s">
        <v>296</v>
      </c>
      <c r="J23" s="14">
        <v>101</v>
      </c>
      <c r="K23" s="14">
        <v>13008</v>
      </c>
      <c r="L23" s="14">
        <v>245011</v>
      </c>
      <c r="M23" s="14">
        <v>9999</v>
      </c>
      <c r="N23" s="14" t="s">
        <v>1</v>
      </c>
      <c r="O23" s="18">
        <v>-5392.9000000000005</v>
      </c>
      <c r="P23" s="18">
        <v>-5392.9000000000005</v>
      </c>
      <c r="Q23" s="14" t="s">
        <v>2668</v>
      </c>
      <c r="R23" s="14" t="s">
        <v>2712</v>
      </c>
      <c r="S23" s="14" t="s">
        <v>280</v>
      </c>
      <c r="U23" s="14" t="s">
        <v>2713</v>
      </c>
      <c r="V23" s="14" t="s">
        <v>315</v>
      </c>
      <c r="W23" s="14" t="s">
        <v>2671</v>
      </c>
      <c r="X23" s="14" t="s">
        <v>227</v>
      </c>
      <c r="Y23" s="28">
        <v>44592</v>
      </c>
      <c r="Z23" s="28">
        <v>44594</v>
      </c>
    </row>
    <row r="24" spans="1:26" x14ac:dyDescent="0.2">
      <c r="A24" s="14" t="s">
        <v>227</v>
      </c>
      <c r="B24" s="14" t="s">
        <v>227</v>
      </c>
      <c r="D24" s="14" t="s">
        <v>859</v>
      </c>
      <c r="E24" s="14" t="s">
        <v>282</v>
      </c>
      <c r="F24" s="14" t="s">
        <v>283</v>
      </c>
      <c r="G24" s="14" t="s">
        <v>313</v>
      </c>
      <c r="H24" s="14" t="s">
        <v>77</v>
      </c>
      <c r="I24" s="14" t="s">
        <v>594</v>
      </c>
      <c r="J24" s="14">
        <v>101</v>
      </c>
      <c r="K24" s="14">
        <v>11001</v>
      </c>
      <c r="L24" s="14">
        <v>245011</v>
      </c>
      <c r="M24" s="14">
        <v>9999</v>
      </c>
      <c r="N24" s="14" t="s">
        <v>1</v>
      </c>
      <c r="O24" s="18">
        <v>-265219.5</v>
      </c>
      <c r="P24" s="18">
        <v>-265219.5</v>
      </c>
      <c r="Q24" s="14" t="s">
        <v>2668</v>
      </c>
      <c r="R24" s="14" t="s">
        <v>2714</v>
      </c>
      <c r="S24" s="14" t="s">
        <v>280</v>
      </c>
      <c r="U24" s="14" t="s">
        <v>2715</v>
      </c>
      <c r="V24" s="14" t="s">
        <v>315</v>
      </c>
      <c r="W24" s="14" t="s">
        <v>227</v>
      </c>
      <c r="X24" s="14" t="s">
        <v>227</v>
      </c>
      <c r="Y24" s="28">
        <v>44592</v>
      </c>
      <c r="Z24" s="28">
        <v>44594</v>
      </c>
    </row>
    <row r="25" spans="1:26" x14ac:dyDescent="0.2">
      <c r="A25" s="29" t="s">
        <v>227</v>
      </c>
      <c r="B25" s="29" t="s">
        <v>227</v>
      </c>
      <c r="C25" s="29"/>
      <c r="D25" s="29" t="s">
        <v>859</v>
      </c>
      <c r="E25" s="29" t="s">
        <v>282</v>
      </c>
      <c r="F25" s="29" t="s">
        <v>283</v>
      </c>
      <c r="G25" s="29" t="s">
        <v>313</v>
      </c>
      <c r="H25" s="29" t="s">
        <v>23</v>
      </c>
      <c r="I25" s="29" t="s">
        <v>415</v>
      </c>
      <c r="J25" s="29">
        <v>101</v>
      </c>
      <c r="K25" s="29">
        <v>11003</v>
      </c>
      <c r="L25" s="29">
        <v>245011</v>
      </c>
      <c r="M25" s="29">
        <v>9999</v>
      </c>
      <c r="N25" s="29" t="s">
        <v>1</v>
      </c>
      <c r="O25" s="18">
        <v>-81585.48</v>
      </c>
      <c r="P25" s="18">
        <v>-81585.48</v>
      </c>
      <c r="Q25" s="29" t="s">
        <v>2668</v>
      </c>
      <c r="R25" s="29" t="s">
        <v>2716</v>
      </c>
      <c r="S25" s="29" t="s">
        <v>280</v>
      </c>
      <c r="T25" s="29"/>
      <c r="U25" s="29" t="s">
        <v>2717</v>
      </c>
      <c r="V25" s="29" t="s">
        <v>315</v>
      </c>
      <c r="W25" s="29" t="s">
        <v>227</v>
      </c>
      <c r="X25" s="29" t="s">
        <v>227</v>
      </c>
      <c r="Y25" s="29">
        <v>44592</v>
      </c>
      <c r="Z25" s="29">
        <v>44592</v>
      </c>
    </row>
    <row r="26" spans="1:26" x14ac:dyDescent="0.2">
      <c r="A26" s="14" t="s">
        <v>227</v>
      </c>
      <c r="B26" s="14" t="s">
        <v>227</v>
      </c>
      <c r="D26" s="14" t="s">
        <v>859</v>
      </c>
      <c r="E26" s="14" t="s">
        <v>282</v>
      </c>
      <c r="F26" s="14" t="s">
        <v>283</v>
      </c>
      <c r="G26" s="14" t="s">
        <v>366</v>
      </c>
      <c r="H26" s="14" t="s">
        <v>73</v>
      </c>
      <c r="I26" s="14" t="s">
        <v>602</v>
      </c>
      <c r="J26" s="14">
        <v>101</v>
      </c>
      <c r="K26" s="14">
        <v>12021</v>
      </c>
      <c r="L26" s="14">
        <v>245011</v>
      </c>
      <c r="M26" s="14">
        <v>9999</v>
      </c>
      <c r="N26" s="14" t="s">
        <v>1</v>
      </c>
      <c r="O26" s="18">
        <v>-475200</v>
      </c>
      <c r="P26" s="18">
        <v>-475200</v>
      </c>
      <c r="Q26" s="14" t="s">
        <v>2668</v>
      </c>
      <c r="R26" s="14" t="s">
        <v>2718</v>
      </c>
      <c r="S26" s="14" t="s">
        <v>280</v>
      </c>
      <c r="U26" s="14" t="s">
        <v>2719</v>
      </c>
      <c r="V26" s="14" t="s">
        <v>287</v>
      </c>
      <c r="W26" s="14" t="s">
        <v>227</v>
      </c>
      <c r="X26" s="14" t="s">
        <v>227</v>
      </c>
      <c r="Y26" s="28">
        <v>44581</v>
      </c>
      <c r="Z26" s="28">
        <v>44582</v>
      </c>
    </row>
    <row r="27" spans="1:26" x14ac:dyDescent="0.2">
      <c r="A27" s="14" t="s">
        <v>227</v>
      </c>
      <c r="B27" s="14" t="s">
        <v>227</v>
      </c>
      <c r="D27" s="14" t="s">
        <v>859</v>
      </c>
      <c r="E27" s="14" t="s">
        <v>282</v>
      </c>
      <c r="F27" s="14" t="s">
        <v>283</v>
      </c>
      <c r="G27" s="14" t="s">
        <v>313</v>
      </c>
      <c r="H27" s="14" t="s">
        <v>68</v>
      </c>
      <c r="I27" s="14" t="s">
        <v>547</v>
      </c>
      <c r="J27" s="14">
        <v>101</v>
      </c>
      <c r="K27" s="14">
        <v>12022</v>
      </c>
      <c r="L27" s="14">
        <v>245011</v>
      </c>
      <c r="M27" s="14">
        <v>9999</v>
      </c>
      <c r="N27" s="14" t="s">
        <v>1</v>
      </c>
      <c r="O27" s="18">
        <v>-6568037.6600000001</v>
      </c>
      <c r="P27" s="18">
        <v>-6568037.6600000001</v>
      </c>
      <c r="Q27" s="14" t="s">
        <v>2668</v>
      </c>
      <c r="R27" s="14" t="s">
        <v>2720</v>
      </c>
      <c r="S27" s="14" t="s">
        <v>280</v>
      </c>
      <c r="U27" s="14" t="s">
        <v>2721</v>
      </c>
      <c r="V27" s="14" t="s">
        <v>287</v>
      </c>
      <c r="W27" s="14" t="s">
        <v>227</v>
      </c>
      <c r="X27" s="14" t="s">
        <v>227</v>
      </c>
      <c r="Y27" s="28">
        <v>44588</v>
      </c>
      <c r="Z27" s="28">
        <v>44590</v>
      </c>
    </row>
    <row r="28" spans="1:26" x14ac:dyDescent="0.2">
      <c r="A28" s="14" t="s">
        <v>227</v>
      </c>
      <c r="B28" s="14" t="s">
        <v>227</v>
      </c>
      <c r="D28" s="30" t="s">
        <v>859</v>
      </c>
      <c r="E28" s="14" t="s">
        <v>282</v>
      </c>
      <c r="F28" s="14" t="s">
        <v>294</v>
      </c>
      <c r="G28" s="14" t="s">
        <v>305</v>
      </c>
      <c r="H28" s="14" t="s">
        <v>37</v>
      </c>
      <c r="I28" s="14" t="s">
        <v>438</v>
      </c>
      <c r="J28" s="14">
        <v>101</v>
      </c>
      <c r="K28" s="14">
        <v>13001</v>
      </c>
      <c r="L28" s="14">
        <v>245011</v>
      </c>
      <c r="M28" s="14">
        <v>9999</v>
      </c>
      <c r="N28" s="14" t="s">
        <v>1</v>
      </c>
      <c r="O28" s="18">
        <v>-203797.08</v>
      </c>
      <c r="P28" s="18">
        <v>-203797.08</v>
      </c>
      <c r="Q28" s="14" t="s">
        <v>2668</v>
      </c>
      <c r="R28" s="14" t="s">
        <v>2722</v>
      </c>
      <c r="S28" s="14" t="s">
        <v>280</v>
      </c>
      <c r="U28" s="14" t="s">
        <v>2723</v>
      </c>
      <c r="V28" s="14" t="s">
        <v>315</v>
      </c>
      <c r="W28" s="14" t="s">
        <v>227</v>
      </c>
      <c r="X28" s="14" t="s">
        <v>227</v>
      </c>
      <c r="Y28" s="28">
        <v>44592</v>
      </c>
      <c r="Z28" s="28">
        <v>44596</v>
      </c>
    </row>
    <row r="29" spans="1:26" x14ac:dyDescent="0.2">
      <c r="A29" s="14" t="s">
        <v>227</v>
      </c>
      <c r="B29" s="14" t="s">
        <v>227</v>
      </c>
      <c r="D29" s="14" t="s">
        <v>859</v>
      </c>
      <c r="E29" s="14" t="s">
        <v>282</v>
      </c>
      <c r="F29" s="14" t="s">
        <v>294</v>
      </c>
      <c r="G29" s="14" t="s">
        <v>305</v>
      </c>
      <c r="H29" s="14" t="s">
        <v>40</v>
      </c>
      <c r="I29" s="14" t="s">
        <v>479</v>
      </c>
      <c r="J29" s="14">
        <v>101</v>
      </c>
      <c r="K29" s="14">
        <v>13004</v>
      </c>
      <c r="L29" s="14">
        <v>245011</v>
      </c>
      <c r="M29" s="14">
        <v>9999</v>
      </c>
      <c r="N29" s="14" t="s">
        <v>1</v>
      </c>
      <c r="O29" s="18">
        <v>-19438.900000000001</v>
      </c>
      <c r="P29" s="18">
        <v>-19438.900000000001</v>
      </c>
      <c r="Q29" s="14" t="s">
        <v>2668</v>
      </c>
      <c r="R29" s="14" t="s">
        <v>2724</v>
      </c>
      <c r="S29" s="14" t="s">
        <v>280</v>
      </c>
      <c r="U29" s="14" t="s">
        <v>2725</v>
      </c>
      <c r="V29" s="14" t="s">
        <v>315</v>
      </c>
      <c r="W29" s="14" t="s">
        <v>227</v>
      </c>
      <c r="X29" s="14" t="s">
        <v>227</v>
      </c>
      <c r="Y29" s="28">
        <v>44592</v>
      </c>
      <c r="Z29" s="28">
        <v>44596</v>
      </c>
    </row>
    <row r="30" spans="1:26" x14ac:dyDescent="0.2">
      <c r="A30" s="14" t="s">
        <v>227</v>
      </c>
      <c r="B30" s="14" t="s">
        <v>227</v>
      </c>
      <c r="D30" s="14" t="s">
        <v>859</v>
      </c>
      <c r="E30" s="14" t="s">
        <v>282</v>
      </c>
      <c r="F30" s="14" t="s">
        <v>294</v>
      </c>
      <c r="G30" s="14" t="s">
        <v>305</v>
      </c>
      <c r="H30" s="14" t="s">
        <v>40</v>
      </c>
      <c r="I30" s="14" t="s">
        <v>479</v>
      </c>
      <c r="J30" s="14">
        <v>101</v>
      </c>
      <c r="K30" s="14">
        <v>13004</v>
      </c>
      <c r="L30" s="14">
        <v>245011</v>
      </c>
      <c r="M30" s="14">
        <v>9999</v>
      </c>
      <c r="N30" s="14" t="s">
        <v>1</v>
      </c>
      <c r="O30" s="18">
        <v>-10592.82</v>
      </c>
      <c r="P30" s="18">
        <v>-10592.82</v>
      </c>
      <c r="Q30" s="14" t="s">
        <v>2668</v>
      </c>
      <c r="R30" s="14" t="s">
        <v>2726</v>
      </c>
      <c r="S30" s="14" t="s">
        <v>280</v>
      </c>
      <c r="U30" s="14" t="s">
        <v>2727</v>
      </c>
      <c r="V30" s="14" t="s">
        <v>315</v>
      </c>
      <c r="W30" s="14" t="s">
        <v>227</v>
      </c>
      <c r="X30" s="14" t="s">
        <v>227</v>
      </c>
      <c r="Y30" s="14">
        <v>44592</v>
      </c>
      <c r="Z30" s="14">
        <v>44596</v>
      </c>
    </row>
    <row r="31" spans="1:26" x14ac:dyDescent="0.2">
      <c r="A31" s="14" t="s">
        <v>227</v>
      </c>
      <c r="B31" s="14" t="s">
        <v>227</v>
      </c>
      <c r="D31" s="14" t="s">
        <v>859</v>
      </c>
      <c r="E31" s="14" t="s">
        <v>282</v>
      </c>
      <c r="F31" s="14" t="s">
        <v>294</v>
      </c>
      <c r="G31" s="14" t="s">
        <v>305</v>
      </c>
      <c r="H31" s="14" t="s">
        <v>40</v>
      </c>
      <c r="I31" s="14" t="s">
        <v>479</v>
      </c>
      <c r="J31" s="14">
        <v>101</v>
      </c>
      <c r="K31" s="14">
        <v>13004</v>
      </c>
      <c r="L31" s="14">
        <v>245011</v>
      </c>
      <c r="M31" s="14">
        <v>9999</v>
      </c>
      <c r="N31" s="14" t="s">
        <v>1</v>
      </c>
      <c r="O31" s="18">
        <v>-12950.01</v>
      </c>
      <c r="P31" s="18">
        <v>-12950.01</v>
      </c>
      <c r="Q31" s="14" t="s">
        <v>2668</v>
      </c>
      <c r="R31" s="14" t="s">
        <v>2728</v>
      </c>
      <c r="S31" s="14" t="s">
        <v>280</v>
      </c>
      <c r="U31" s="14" t="s">
        <v>2729</v>
      </c>
      <c r="V31" s="14" t="s">
        <v>315</v>
      </c>
      <c r="W31" s="14" t="s">
        <v>227</v>
      </c>
      <c r="X31" s="14" t="s">
        <v>227</v>
      </c>
      <c r="Y31" s="28">
        <v>44592</v>
      </c>
      <c r="Z31" s="28">
        <v>44596</v>
      </c>
    </row>
    <row r="32" spans="1:26" x14ac:dyDescent="0.2">
      <c r="A32" s="14" t="s">
        <v>227</v>
      </c>
      <c r="B32" s="14" t="s">
        <v>227</v>
      </c>
      <c r="D32" s="14" t="s">
        <v>934</v>
      </c>
      <c r="E32" s="14" t="s">
        <v>282</v>
      </c>
      <c r="F32" s="14" t="s">
        <v>283</v>
      </c>
      <c r="G32" s="14" t="s">
        <v>313</v>
      </c>
      <c r="H32" s="14" t="s">
        <v>89</v>
      </c>
      <c r="I32" s="14" t="s">
        <v>741</v>
      </c>
      <c r="J32" s="14">
        <v>101</v>
      </c>
      <c r="K32" s="14">
        <v>11024</v>
      </c>
      <c r="L32" s="14">
        <v>245011</v>
      </c>
      <c r="M32" s="14">
        <v>9999</v>
      </c>
      <c r="N32" s="14" t="s">
        <v>1</v>
      </c>
      <c r="O32" s="18">
        <v>48350</v>
      </c>
      <c r="P32" s="18">
        <v>48350</v>
      </c>
      <c r="Q32" s="14" t="s">
        <v>2668</v>
      </c>
      <c r="R32" s="14" t="s">
        <v>2730</v>
      </c>
      <c r="S32" s="14" t="s">
        <v>280</v>
      </c>
      <c r="U32" s="14" t="s">
        <v>2731</v>
      </c>
      <c r="V32" s="14" t="s">
        <v>315</v>
      </c>
      <c r="W32" s="14" t="s">
        <v>2732</v>
      </c>
      <c r="X32" s="14" t="s">
        <v>227</v>
      </c>
      <c r="Y32" s="28">
        <v>44561</v>
      </c>
      <c r="Z32" s="28">
        <v>44568</v>
      </c>
    </row>
    <row r="33" spans="1:26" x14ac:dyDescent="0.2">
      <c r="A33" s="14" t="s">
        <v>227</v>
      </c>
      <c r="B33" s="14" t="s">
        <v>227</v>
      </c>
      <c r="D33" s="30" t="s">
        <v>934</v>
      </c>
      <c r="E33" s="14" t="s">
        <v>282</v>
      </c>
      <c r="F33" s="14" t="s">
        <v>283</v>
      </c>
      <c r="G33" s="14" t="s">
        <v>313</v>
      </c>
      <c r="H33" s="14" t="s">
        <v>89</v>
      </c>
      <c r="I33" s="14" t="s">
        <v>741</v>
      </c>
      <c r="J33" s="14">
        <v>101</v>
      </c>
      <c r="K33" s="14">
        <v>11024</v>
      </c>
      <c r="L33" s="14">
        <v>245011</v>
      </c>
      <c r="M33" s="14">
        <v>9999</v>
      </c>
      <c r="N33" s="14" t="s">
        <v>1</v>
      </c>
      <c r="O33" s="18">
        <v>3825</v>
      </c>
      <c r="P33" s="18">
        <v>3825</v>
      </c>
      <c r="Q33" s="14" t="s">
        <v>2668</v>
      </c>
      <c r="R33" s="14" t="s">
        <v>2733</v>
      </c>
      <c r="S33" s="14" t="s">
        <v>280</v>
      </c>
      <c r="U33" s="14" t="s">
        <v>2734</v>
      </c>
      <c r="V33" s="14" t="s">
        <v>315</v>
      </c>
      <c r="W33" s="14" t="s">
        <v>2735</v>
      </c>
      <c r="X33" s="14" t="s">
        <v>227</v>
      </c>
      <c r="Y33" s="28">
        <v>44561</v>
      </c>
      <c r="Z33" s="28">
        <v>44568</v>
      </c>
    </row>
    <row r="34" spans="1:26" x14ac:dyDescent="0.2">
      <c r="A34" s="14" t="s">
        <v>227</v>
      </c>
      <c r="B34" s="14" t="s">
        <v>227</v>
      </c>
      <c r="D34" s="30" t="s">
        <v>934</v>
      </c>
      <c r="E34" s="14" t="s">
        <v>282</v>
      </c>
      <c r="F34" s="14" t="s">
        <v>283</v>
      </c>
      <c r="G34" s="14" t="s">
        <v>313</v>
      </c>
      <c r="H34" s="14" t="s">
        <v>2736</v>
      </c>
      <c r="I34" s="14" t="s">
        <v>1739</v>
      </c>
      <c r="J34" s="14">
        <v>101</v>
      </c>
      <c r="K34" s="14">
        <v>11015</v>
      </c>
      <c r="L34" s="14">
        <v>245011</v>
      </c>
      <c r="M34" s="14">
        <v>9999</v>
      </c>
      <c r="N34" s="14" t="s">
        <v>1</v>
      </c>
      <c r="O34" s="18">
        <v>1087.44</v>
      </c>
      <c r="P34" s="18">
        <v>1087.44</v>
      </c>
      <c r="Q34" s="14" t="s">
        <v>2668</v>
      </c>
      <c r="R34" s="14" t="s">
        <v>2737</v>
      </c>
      <c r="S34" s="14" t="s">
        <v>280</v>
      </c>
      <c r="U34" s="14" t="s">
        <v>2738</v>
      </c>
      <c r="V34" s="14" t="s">
        <v>315</v>
      </c>
      <c r="W34" s="14" t="s">
        <v>2739</v>
      </c>
      <c r="X34" s="14" t="s">
        <v>227</v>
      </c>
      <c r="Y34" s="28">
        <v>44561</v>
      </c>
      <c r="Z34" s="28">
        <v>44568</v>
      </c>
    </row>
    <row r="35" spans="1:26" x14ac:dyDescent="0.2">
      <c r="A35" s="14" t="s">
        <v>227</v>
      </c>
      <c r="B35" s="14" t="s">
        <v>227</v>
      </c>
      <c r="D35" s="14" t="s">
        <v>934</v>
      </c>
      <c r="E35" s="14" t="s">
        <v>282</v>
      </c>
      <c r="F35" s="14" t="s">
        <v>283</v>
      </c>
      <c r="G35" s="14" t="s">
        <v>313</v>
      </c>
      <c r="H35" s="14" t="s">
        <v>89</v>
      </c>
      <c r="I35" s="14" t="s">
        <v>741</v>
      </c>
      <c r="J35" s="14">
        <v>101</v>
      </c>
      <c r="K35" s="14">
        <v>11024</v>
      </c>
      <c r="L35" s="14">
        <v>245011</v>
      </c>
      <c r="M35" s="14">
        <v>9999</v>
      </c>
      <c r="N35" s="14" t="s">
        <v>1</v>
      </c>
      <c r="O35" s="18">
        <v>-1987.14</v>
      </c>
      <c r="P35" s="18">
        <v>-1987.14</v>
      </c>
      <c r="Q35" s="14" t="s">
        <v>2668</v>
      </c>
      <c r="R35" s="14" t="s">
        <v>2740</v>
      </c>
      <c r="S35" s="14" t="s">
        <v>280</v>
      </c>
      <c r="U35" s="14" t="s">
        <v>2741</v>
      </c>
      <c r="V35" s="14" t="s">
        <v>315</v>
      </c>
      <c r="W35" s="14" t="s">
        <v>2742</v>
      </c>
      <c r="X35" s="14" t="s">
        <v>227</v>
      </c>
      <c r="Y35" s="28">
        <v>44561</v>
      </c>
      <c r="Z35" s="28">
        <v>44568</v>
      </c>
    </row>
    <row r="36" spans="1:26" x14ac:dyDescent="0.2">
      <c r="A36" s="14" t="s">
        <v>227</v>
      </c>
      <c r="B36" s="14" t="s">
        <v>227</v>
      </c>
      <c r="D36" s="14" t="s">
        <v>2675</v>
      </c>
      <c r="E36" s="14" t="s">
        <v>282</v>
      </c>
      <c r="F36" s="14" t="s">
        <v>283</v>
      </c>
      <c r="G36" s="14" t="s">
        <v>366</v>
      </c>
      <c r="H36" s="14" t="s">
        <v>57</v>
      </c>
      <c r="I36" s="14" t="s">
        <v>461</v>
      </c>
      <c r="J36" s="14">
        <v>101</v>
      </c>
      <c r="K36" s="14">
        <v>12014</v>
      </c>
      <c r="L36" s="14">
        <v>245011</v>
      </c>
      <c r="M36" s="14">
        <v>9999</v>
      </c>
      <c r="N36" s="14" t="s">
        <v>1</v>
      </c>
      <c r="O36" s="18">
        <v>11977344</v>
      </c>
      <c r="P36" s="18">
        <v>11977344</v>
      </c>
      <c r="Q36" s="14" t="s">
        <v>2668</v>
      </c>
      <c r="R36" s="14" t="s">
        <v>2743</v>
      </c>
      <c r="S36" s="14" t="s">
        <v>280</v>
      </c>
      <c r="U36" s="14" t="s">
        <v>2744</v>
      </c>
      <c r="V36" s="14" t="s">
        <v>287</v>
      </c>
      <c r="W36" s="14" t="s">
        <v>227</v>
      </c>
      <c r="X36" s="14" t="s">
        <v>227</v>
      </c>
      <c r="Y36" s="28">
        <v>44500</v>
      </c>
      <c r="Z36" s="28">
        <v>44504</v>
      </c>
    </row>
    <row r="37" spans="1:26" x14ac:dyDescent="0.2">
      <c r="A37" s="14" t="s">
        <v>227</v>
      </c>
      <c r="B37" s="14" t="s">
        <v>227</v>
      </c>
      <c r="D37" s="14" t="s">
        <v>930</v>
      </c>
      <c r="E37" s="14" t="s">
        <v>282</v>
      </c>
      <c r="F37" s="14" t="s">
        <v>283</v>
      </c>
      <c r="G37" s="14" t="s">
        <v>366</v>
      </c>
      <c r="H37" s="14" t="s">
        <v>57</v>
      </c>
      <c r="I37" s="14" t="s">
        <v>461</v>
      </c>
      <c r="J37" s="14">
        <v>101</v>
      </c>
      <c r="K37" s="14">
        <v>12014</v>
      </c>
      <c r="L37" s="14">
        <v>245011</v>
      </c>
      <c r="M37" s="14">
        <v>9999</v>
      </c>
      <c r="N37" s="14" t="s">
        <v>1</v>
      </c>
      <c r="O37" s="18">
        <v>-11776320</v>
      </c>
      <c r="P37" s="18">
        <v>-11776320</v>
      </c>
      <c r="Q37" s="14" t="s">
        <v>2668</v>
      </c>
      <c r="R37" s="14" t="s">
        <v>2745</v>
      </c>
      <c r="S37" s="14" t="s">
        <v>280</v>
      </c>
      <c r="U37" s="14" t="s">
        <v>2746</v>
      </c>
      <c r="V37" s="14" t="s">
        <v>287</v>
      </c>
      <c r="W37" s="14" t="s">
        <v>227</v>
      </c>
      <c r="X37" s="14" t="s">
        <v>227</v>
      </c>
      <c r="Y37" s="14">
        <v>44530</v>
      </c>
      <c r="Z37" s="14">
        <v>44536</v>
      </c>
    </row>
    <row r="38" spans="1:26" x14ac:dyDescent="0.2">
      <c r="A38" s="29" t="s">
        <v>227</v>
      </c>
      <c r="B38" s="29" t="s">
        <v>227</v>
      </c>
      <c r="C38" s="29"/>
      <c r="D38" s="29" t="s">
        <v>934</v>
      </c>
      <c r="E38" s="29" t="s">
        <v>282</v>
      </c>
      <c r="F38" s="29" t="s">
        <v>283</v>
      </c>
      <c r="G38" s="29" t="s">
        <v>366</v>
      </c>
      <c r="H38" s="29" t="s">
        <v>35</v>
      </c>
      <c r="I38" s="29" t="s">
        <v>490</v>
      </c>
      <c r="J38" s="29">
        <v>101</v>
      </c>
      <c r="K38" s="29">
        <v>11010</v>
      </c>
      <c r="L38" s="29">
        <v>245011</v>
      </c>
      <c r="M38" s="29">
        <v>9999</v>
      </c>
      <c r="N38" s="29" t="s">
        <v>1</v>
      </c>
      <c r="O38" s="18">
        <v>67567.7</v>
      </c>
      <c r="P38" s="18">
        <v>67567.7</v>
      </c>
      <c r="Q38" s="29" t="s">
        <v>2668</v>
      </c>
      <c r="R38" s="29" t="s">
        <v>2747</v>
      </c>
      <c r="S38" s="29" t="s">
        <v>227</v>
      </c>
      <c r="T38" s="29"/>
      <c r="U38" s="29" t="s">
        <v>2748</v>
      </c>
      <c r="V38" s="29" t="s">
        <v>328</v>
      </c>
      <c r="W38" s="29" t="s">
        <v>227</v>
      </c>
      <c r="X38" s="29" t="s">
        <v>227</v>
      </c>
      <c r="Y38" s="29">
        <v>44561</v>
      </c>
      <c r="Z38" s="29">
        <v>44570</v>
      </c>
    </row>
    <row r="39" spans="1:26" x14ac:dyDescent="0.2">
      <c r="A39" s="29" t="s">
        <v>227</v>
      </c>
      <c r="B39" s="29" t="s">
        <v>227</v>
      </c>
      <c r="C39" s="29"/>
      <c r="D39" s="29" t="s">
        <v>859</v>
      </c>
      <c r="E39" s="29" t="s">
        <v>282</v>
      </c>
      <c r="F39" s="29" t="s">
        <v>283</v>
      </c>
      <c r="G39" s="29" t="s">
        <v>366</v>
      </c>
      <c r="H39" s="29" t="s">
        <v>35</v>
      </c>
      <c r="I39" s="29" t="s">
        <v>404</v>
      </c>
      <c r="J39" s="29">
        <v>101</v>
      </c>
      <c r="K39" s="29">
        <v>11010</v>
      </c>
      <c r="L39" s="29">
        <v>245011</v>
      </c>
      <c r="M39" s="29">
        <v>9999</v>
      </c>
      <c r="N39" s="29" t="s">
        <v>1</v>
      </c>
      <c r="O39" s="18">
        <v>7900.67</v>
      </c>
      <c r="P39" s="18">
        <v>7900.67</v>
      </c>
      <c r="Q39" s="29" t="s">
        <v>2668</v>
      </c>
      <c r="R39" s="29" t="s">
        <v>2747</v>
      </c>
      <c r="S39" s="29" t="s">
        <v>227</v>
      </c>
      <c r="T39" s="29"/>
      <c r="U39" s="29" t="s">
        <v>2749</v>
      </c>
      <c r="V39" s="29" t="s">
        <v>328</v>
      </c>
      <c r="W39" s="29" t="s">
        <v>227</v>
      </c>
      <c r="X39" s="29" t="s">
        <v>227</v>
      </c>
      <c r="Y39" s="29">
        <v>44592</v>
      </c>
      <c r="Z39" s="29">
        <v>44596</v>
      </c>
    </row>
    <row r="40" spans="1:26" x14ac:dyDescent="0.2">
      <c r="A40" s="14" t="s">
        <v>227</v>
      </c>
      <c r="B40" s="14" t="s">
        <v>227</v>
      </c>
      <c r="D40" s="30" t="s">
        <v>934</v>
      </c>
      <c r="E40" s="14" t="s">
        <v>282</v>
      </c>
      <c r="F40" s="14" t="s">
        <v>283</v>
      </c>
      <c r="G40" s="14" t="s">
        <v>366</v>
      </c>
      <c r="H40" s="14" t="s">
        <v>35</v>
      </c>
      <c r="I40" s="14" t="s">
        <v>490</v>
      </c>
      <c r="J40" s="14">
        <v>101</v>
      </c>
      <c r="K40" s="14">
        <v>11010</v>
      </c>
      <c r="L40" s="14">
        <v>245011</v>
      </c>
      <c r="M40" s="14">
        <v>9999</v>
      </c>
      <c r="N40" s="14" t="s">
        <v>1</v>
      </c>
      <c r="O40" s="18">
        <v>21560</v>
      </c>
      <c r="P40" s="18">
        <v>21560</v>
      </c>
      <c r="Q40" s="14" t="s">
        <v>2668</v>
      </c>
      <c r="R40" s="14" t="s">
        <v>2750</v>
      </c>
      <c r="S40" s="14" t="s">
        <v>280</v>
      </c>
      <c r="U40" s="14" t="s">
        <v>2751</v>
      </c>
      <c r="V40" s="14" t="s">
        <v>315</v>
      </c>
      <c r="W40" s="14" t="s">
        <v>941</v>
      </c>
      <c r="X40" s="14" t="s">
        <v>227</v>
      </c>
      <c r="Y40" s="28">
        <v>44561</v>
      </c>
      <c r="Z40" s="28">
        <v>44568</v>
      </c>
    </row>
    <row r="41" spans="1:26" x14ac:dyDescent="0.2">
      <c r="A41" s="14" t="s">
        <v>227</v>
      </c>
      <c r="B41" s="14" t="s">
        <v>227</v>
      </c>
      <c r="D41" s="14" t="s">
        <v>859</v>
      </c>
      <c r="E41" s="14" t="s">
        <v>282</v>
      </c>
      <c r="F41" s="14" t="s">
        <v>283</v>
      </c>
      <c r="G41" s="14" t="s">
        <v>366</v>
      </c>
      <c r="H41" s="14" t="s">
        <v>35</v>
      </c>
      <c r="I41" s="14" t="s">
        <v>490</v>
      </c>
      <c r="J41" s="14">
        <v>101</v>
      </c>
      <c r="K41" s="14">
        <v>11010</v>
      </c>
      <c r="L41" s="14">
        <v>245011</v>
      </c>
      <c r="M41" s="14">
        <v>9999</v>
      </c>
      <c r="N41" s="14" t="s">
        <v>1</v>
      </c>
      <c r="O41" s="18">
        <v>-21560</v>
      </c>
      <c r="P41" s="18">
        <v>-21560</v>
      </c>
      <c r="Q41" s="14" t="s">
        <v>2668</v>
      </c>
      <c r="R41" s="14" t="s">
        <v>2752</v>
      </c>
      <c r="S41" s="14" t="s">
        <v>280</v>
      </c>
      <c r="U41" s="14" t="s">
        <v>2753</v>
      </c>
      <c r="V41" s="14" t="s">
        <v>315</v>
      </c>
      <c r="W41" s="14" t="s">
        <v>941</v>
      </c>
      <c r="X41" s="14" t="s">
        <v>227</v>
      </c>
      <c r="Y41" s="14">
        <v>44585</v>
      </c>
      <c r="Z41" s="14">
        <v>44585</v>
      </c>
    </row>
    <row r="42" spans="1:26" x14ac:dyDescent="0.2">
      <c r="A42" s="14" t="s">
        <v>227</v>
      </c>
      <c r="B42" s="14" t="s">
        <v>227</v>
      </c>
      <c r="D42" s="14" t="s">
        <v>2754</v>
      </c>
      <c r="E42" s="14" t="s">
        <v>282</v>
      </c>
      <c r="F42" s="14" t="s">
        <v>283</v>
      </c>
      <c r="G42" s="14" t="s">
        <v>366</v>
      </c>
      <c r="H42" s="14" t="s">
        <v>35</v>
      </c>
      <c r="I42" s="14" t="s">
        <v>404</v>
      </c>
      <c r="J42" s="14">
        <v>101</v>
      </c>
      <c r="K42" s="14">
        <v>11010</v>
      </c>
      <c r="L42" s="14">
        <v>245011</v>
      </c>
      <c r="M42" s="14">
        <v>9999</v>
      </c>
      <c r="N42" s="14" t="s">
        <v>1</v>
      </c>
      <c r="O42" s="18">
        <v>-7900.67</v>
      </c>
      <c r="P42" s="18">
        <v>-7900.67</v>
      </c>
      <c r="Q42" s="14" t="s">
        <v>2668</v>
      </c>
      <c r="R42" s="14" t="s">
        <v>2755</v>
      </c>
      <c r="S42" s="14" t="s">
        <v>227</v>
      </c>
      <c r="U42" s="14" t="s">
        <v>2756</v>
      </c>
      <c r="V42" s="14" t="s">
        <v>328</v>
      </c>
      <c r="W42" s="14" t="s">
        <v>227</v>
      </c>
      <c r="X42" s="14" t="s">
        <v>227</v>
      </c>
      <c r="Y42" s="28">
        <v>44620</v>
      </c>
      <c r="Z42" s="28">
        <v>44623</v>
      </c>
    </row>
    <row r="43" spans="1:26" x14ac:dyDescent="0.2">
      <c r="A43" s="14" t="s">
        <v>227</v>
      </c>
      <c r="B43" s="14" t="s">
        <v>227</v>
      </c>
      <c r="D43" s="14" t="s">
        <v>2754</v>
      </c>
      <c r="E43" s="14" t="s">
        <v>282</v>
      </c>
      <c r="F43" s="14" t="s">
        <v>283</v>
      </c>
      <c r="G43" s="14" t="s">
        <v>366</v>
      </c>
      <c r="H43" s="14" t="s">
        <v>35</v>
      </c>
      <c r="I43" s="14" t="s">
        <v>490</v>
      </c>
      <c r="J43" s="14">
        <v>101</v>
      </c>
      <c r="K43" s="14">
        <v>11010</v>
      </c>
      <c r="L43" s="14">
        <v>245011</v>
      </c>
      <c r="M43" s="14">
        <v>9999</v>
      </c>
      <c r="N43" s="14" t="s">
        <v>1</v>
      </c>
      <c r="O43" s="18">
        <v>414006</v>
      </c>
      <c r="P43" s="18">
        <v>414006</v>
      </c>
      <c r="Q43" s="14" t="s">
        <v>2668</v>
      </c>
      <c r="R43" s="14" t="s">
        <v>2757</v>
      </c>
      <c r="S43" s="14" t="s">
        <v>280</v>
      </c>
      <c r="U43" s="14" t="s">
        <v>2758</v>
      </c>
      <c r="V43" s="14" t="s">
        <v>287</v>
      </c>
      <c r="W43" s="14" t="s">
        <v>227</v>
      </c>
      <c r="X43" s="14" t="s">
        <v>227</v>
      </c>
      <c r="Y43" s="28">
        <v>44620</v>
      </c>
      <c r="Z43" s="28">
        <v>44624</v>
      </c>
    </row>
    <row r="44" spans="1:26" x14ac:dyDescent="0.2">
      <c r="A44" s="14" t="s">
        <v>227</v>
      </c>
      <c r="B44" s="14" t="s">
        <v>227</v>
      </c>
      <c r="D44" s="14" t="s">
        <v>2754</v>
      </c>
      <c r="E44" s="14" t="s">
        <v>282</v>
      </c>
      <c r="F44" s="14" t="s">
        <v>283</v>
      </c>
      <c r="G44" s="14" t="s">
        <v>366</v>
      </c>
      <c r="H44" s="14" t="s">
        <v>35</v>
      </c>
      <c r="I44" s="14" t="s">
        <v>490</v>
      </c>
      <c r="J44" s="14">
        <v>101</v>
      </c>
      <c r="K44" s="14">
        <v>11010</v>
      </c>
      <c r="L44" s="14">
        <v>245011</v>
      </c>
      <c r="M44" s="14">
        <v>9999</v>
      </c>
      <c r="N44" s="14" t="s">
        <v>1</v>
      </c>
      <c r="O44" s="18">
        <v>-414006</v>
      </c>
      <c r="P44" s="18">
        <v>-414006</v>
      </c>
      <c r="Q44" s="14" t="s">
        <v>2668</v>
      </c>
      <c r="R44" s="14" t="s">
        <v>2759</v>
      </c>
      <c r="S44" s="14" t="s">
        <v>280</v>
      </c>
      <c r="U44" s="14" t="s">
        <v>2760</v>
      </c>
      <c r="V44" s="14" t="s">
        <v>287</v>
      </c>
      <c r="W44" s="14" t="s">
        <v>227</v>
      </c>
      <c r="X44" s="14" t="s">
        <v>227</v>
      </c>
      <c r="Y44" s="28">
        <v>44620</v>
      </c>
      <c r="Z44" s="28">
        <v>44624</v>
      </c>
    </row>
    <row r="45" spans="1:26" x14ac:dyDescent="0.2">
      <c r="A45" s="14" t="s">
        <v>227</v>
      </c>
      <c r="B45" s="14" t="s">
        <v>227</v>
      </c>
      <c r="D45" s="30" t="s">
        <v>2754</v>
      </c>
      <c r="E45" s="14" t="s">
        <v>282</v>
      </c>
      <c r="F45" s="14" t="s">
        <v>283</v>
      </c>
      <c r="G45" s="14" t="s">
        <v>366</v>
      </c>
      <c r="H45" s="14" t="s">
        <v>35</v>
      </c>
      <c r="I45" s="14" t="s">
        <v>490</v>
      </c>
      <c r="J45" s="14">
        <v>101</v>
      </c>
      <c r="K45" s="14">
        <v>11010</v>
      </c>
      <c r="L45" s="14">
        <v>245011</v>
      </c>
      <c r="M45" s="14">
        <v>9999</v>
      </c>
      <c r="N45" s="14" t="s">
        <v>1</v>
      </c>
      <c r="O45" s="18">
        <v>-67567.7</v>
      </c>
      <c r="P45" s="18">
        <v>-67567.7</v>
      </c>
      <c r="Q45" s="14" t="s">
        <v>2668</v>
      </c>
      <c r="R45" s="14" t="s">
        <v>2761</v>
      </c>
      <c r="S45" s="14" t="s">
        <v>227</v>
      </c>
      <c r="U45" s="14" t="s">
        <v>2762</v>
      </c>
      <c r="V45" s="14" t="s">
        <v>328</v>
      </c>
      <c r="W45" s="14" t="s">
        <v>227</v>
      </c>
      <c r="X45" s="14" t="s">
        <v>227</v>
      </c>
      <c r="Y45" s="28">
        <v>44617</v>
      </c>
      <c r="Z45" s="28">
        <v>44620</v>
      </c>
    </row>
    <row r="46" spans="1:26" x14ac:dyDescent="0.2">
      <c r="A46" s="14" t="s">
        <v>227</v>
      </c>
      <c r="B46" s="14" t="s">
        <v>227</v>
      </c>
      <c r="D46" s="30" t="s">
        <v>2754</v>
      </c>
      <c r="E46" s="14" t="s">
        <v>282</v>
      </c>
      <c r="F46" s="14" t="s">
        <v>283</v>
      </c>
      <c r="G46" s="14" t="s">
        <v>313</v>
      </c>
      <c r="H46" s="14" t="s">
        <v>2736</v>
      </c>
      <c r="I46" s="14" t="s">
        <v>1739</v>
      </c>
      <c r="J46" s="14">
        <v>101</v>
      </c>
      <c r="K46" s="14">
        <v>11015</v>
      </c>
      <c r="L46" s="14">
        <v>245011</v>
      </c>
      <c r="M46" s="14">
        <v>9999</v>
      </c>
      <c r="N46" s="14" t="s">
        <v>1</v>
      </c>
      <c r="O46" s="18">
        <v>-1087.44</v>
      </c>
      <c r="P46" s="18">
        <v>-1087.44</v>
      </c>
      <c r="Q46" s="14" t="s">
        <v>2668</v>
      </c>
      <c r="R46" s="14" t="s">
        <v>2763</v>
      </c>
      <c r="S46" s="14" t="s">
        <v>280</v>
      </c>
      <c r="U46" s="14" t="s">
        <v>2764</v>
      </c>
      <c r="V46" s="14" t="s">
        <v>315</v>
      </c>
      <c r="W46" s="14" t="s">
        <v>2739</v>
      </c>
      <c r="X46" s="14" t="s">
        <v>227</v>
      </c>
      <c r="Y46" s="28">
        <v>44616</v>
      </c>
      <c r="Z46" s="28">
        <v>44616</v>
      </c>
    </row>
    <row r="47" spans="1:26" x14ac:dyDescent="0.2">
      <c r="A47" s="14" t="s">
        <v>227</v>
      </c>
      <c r="B47" s="14" t="s">
        <v>227</v>
      </c>
      <c r="D47" s="30" t="s">
        <v>2754</v>
      </c>
      <c r="E47" s="14" t="s">
        <v>282</v>
      </c>
      <c r="F47" s="14" t="s">
        <v>283</v>
      </c>
      <c r="G47" s="14" t="s">
        <v>366</v>
      </c>
      <c r="H47" s="14" t="s">
        <v>57</v>
      </c>
      <c r="I47" s="14" t="s">
        <v>461</v>
      </c>
      <c r="J47" s="14">
        <v>101</v>
      </c>
      <c r="K47" s="14">
        <v>12014</v>
      </c>
      <c r="L47" s="14">
        <v>245011</v>
      </c>
      <c r="M47" s="14">
        <v>9999</v>
      </c>
      <c r="N47" s="14" t="s">
        <v>1</v>
      </c>
      <c r="O47" s="18">
        <v>-201024</v>
      </c>
      <c r="P47" s="18">
        <v>-201024</v>
      </c>
      <c r="Q47" s="14" t="s">
        <v>2668</v>
      </c>
      <c r="R47" s="14" t="s">
        <v>2765</v>
      </c>
      <c r="S47" s="14" t="s">
        <v>280</v>
      </c>
      <c r="U47" s="14" t="s">
        <v>2766</v>
      </c>
      <c r="V47" s="14" t="s">
        <v>287</v>
      </c>
      <c r="W47" s="14" t="s">
        <v>227</v>
      </c>
      <c r="X47" s="14" t="s">
        <v>227</v>
      </c>
      <c r="Y47" s="28">
        <v>44608</v>
      </c>
      <c r="Z47" s="28">
        <v>44609</v>
      </c>
    </row>
    <row r="48" spans="1:26" x14ac:dyDescent="0.2">
      <c r="A48" s="14" t="s">
        <v>227</v>
      </c>
      <c r="B48" s="14" t="s">
        <v>227</v>
      </c>
      <c r="D48" s="14" t="s">
        <v>2754</v>
      </c>
      <c r="E48" s="14" t="s">
        <v>282</v>
      </c>
      <c r="F48" s="14" t="s">
        <v>283</v>
      </c>
      <c r="G48" s="14" t="s">
        <v>313</v>
      </c>
      <c r="H48" s="14" t="s">
        <v>89</v>
      </c>
      <c r="I48" s="14" t="s">
        <v>741</v>
      </c>
      <c r="J48" s="14">
        <v>101</v>
      </c>
      <c r="K48" s="14">
        <v>11024</v>
      </c>
      <c r="L48" s="14">
        <v>245011</v>
      </c>
      <c r="M48" s="14">
        <v>9999</v>
      </c>
      <c r="N48" s="14" t="s">
        <v>1</v>
      </c>
      <c r="O48" s="18">
        <v>1987.14</v>
      </c>
      <c r="P48" s="18">
        <v>1987.14</v>
      </c>
      <c r="Q48" s="14" t="s">
        <v>2668</v>
      </c>
      <c r="R48" s="14" t="s">
        <v>2767</v>
      </c>
      <c r="S48" s="14" t="s">
        <v>280</v>
      </c>
      <c r="U48" s="14" t="s">
        <v>2768</v>
      </c>
      <c r="V48" s="14" t="s">
        <v>315</v>
      </c>
      <c r="W48" s="14" t="s">
        <v>2742</v>
      </c>
      <c r="X48" s="14" t="s">
        <v>227</v>
      </c>
      <c r="Y48" s="14">
        <v>44616</v>
      </c>
      <c r="Z48" s="14">
        <v>44616</v>
      </c>
    </row>
    <row r="49" spans="1:26" x14ac:dyDescent="0.2">
      <c r="A49" s="14" t="s">
        <v>227</v>
      </c>
      <c r="B49" s="14" t="s">
        <v>227</v>
      </c>
      <c r="D49" s="14" t="s">
        <v>2754</v>
      </c>
      <c r="E49" s="14" t="s">
        <v>282</v>
      </c>
      <c r="F49" s="14" t="s">
        <v>283</v>
      </c>
      <c r="G49" s="14" t="s">
        <v>313</v>
      </c>
      <c r="H49" s="14" t="s">
        <v>89</v>
      </c>
      <c r="I49" s="14" t="s">
        <v>741</v>
      </c>
      <c r="J49" s="14">
        <v>101</v>
      </c>
      <c r="K49" s="14">
        <v>11024</v>
      </c>
      <c r="L49" s="14">
        <v>245011</v>
      </c>
      <c r="M49" s="14">
        <v>9999</v>
      </c>
      <c r="N49" s="14" t="s">
        <v>1</v>
      </c>
      <c r="O49" s="18">
        <v>-48350</v>
      </c>
      <c r="P49" s="18">
        <v>-48350</v>
      </c>
      <c r="Q49" s="14" t="s">
        <v>2668</v>
      </c>
      <c r="R49" s="14" t="s">
        <v>2769</v>
      </c>
      <c r="S49" s="14" t="s">
        <v>280</v>
      </c>
      <c r="U49" s="14" t="s">
        <v>2770</v>
      </c>
      <c r="V49" s="14" t="s">
        <v>315</v>
      </c>
      <c r="W49" s="14" t="s">
        <v>2732</v>
      </c>
      <c r="X49" s="14" t="s">
        <v>227</v>
      </c>
      <c r="Y49" s="14">
        <v>44617</v>
      </c>
      <c r="Z49" s="14">
        <v>44617</v>
      </c>
    </row>
    <row r="50" spans="1:26" x14ac:dyDescent="0.2">
      <c r="A50" s="14" t="s">
        <v>227</v>
      </c>
      <c r="B50" s="14" t="s">
        <v>227</v>
      </c>
      <c r="D50" s="14" t="s">
        <v>2754</v>
      </c>
      <c r="E50" s="14" t="s">
        <v>282</v>
      </c>
      <c r="F50" s="14" t="s">
        <v>283</v>
      </c>
      <c r="G50" s="14" t="s">
        <v>313</v>
      </c>
      <c r="H50" s="14" t="s">
        <v>89</v>
      </c>
      <c r="I50" s="14" t="s">
        <v>741</v>
      </c>
      <c r="J50" s="14">
        <v>101</v>
      </c>
      <c r="K50" s="14">
        <v>11024</v>
      </c>
      <c r="L50" s="14">
        <v>245011</v>
      </c>
      <c r="M50" s="14">
        <v>9999</v>
      </c>
      <c r="N50" s="14" t="s">
        <v>1</v>
      </c>
      <c r="O50" s="18">
        <v>-3825</v>
      </c>
      <c r="P50" s="18">
        <v>-3825</v>
      </c>
      <c r="Q50" s="14" t="s">
        <v>2668</v>
      </c>
      <c r="R50" s="14" t="s">
        <v>2771</v>
      </c>
      <c r="S50" s="14" t="s">
        <v>280</v>
      </c>
      <c r="U50" s="14" t="s">
        <v>2772</v>
      </c>
      <c r="V50" s="14" t="s">
        <v>315</v>
      </c>
      <c r="W50" s="14" t="s">
        <v>2735</v>
      </c>
      <c r="X50" s="14" t="s">
        <v>227</v>
      </c>
      <c r="Y50" s="28">
        <v>44616</v>
      </c>
      <c r="Z50" s="28">
        <v>44616</v>
      </c>
    </row>
    <row r="51" spans="1:26" x14ac:dyDescent="0.2">
      <c r="A51" s="14" t="s">
        <v>227</v>
      </c>
      <c r="B51" s="14" t="s">
        <v>227</v>
      </c>
      <c r="D51" s="14" t="s">
        <v>859</v>
      </c>
      <c r="E51" s="14" t="s">
        <v>282</v>
      </c>
      <c r="F51" s="14" t="s">
        <v>283</v>
      </c>
      <c r="G51" s="14" t="s">
        <v>313</v>
      </c>
      <c r="H51" s="14" t="s">
        <v>71</v>
      </c>
      <c r="I51" s="14" t="s">
        <v>443</v>
      </c>
      <c r="J51" s="14">
        <v>101</v>
      </c>
      <c r="K51" s="14">
        <v>11023</v>
      </c>
      <c r="L51" s="14">
        <v>245011</v>
      </c>
      <c r="M51" s="14">
        <v>9999</v>
      </c>
      <c r="N51" s="14" t="s">
        <v>1</v>
      </c>
      <c r="O51" s="18">
        <v>-109665</v>
      </c>
      <c r="P51" s="18">
        <v>-109665</v>
      </c>
      <c r="Q51" s="14" t="s">
        <v>2668</v>
      </c>
      <c r="R51" s="14" t="s">
        <v>2773</v>
      </c>
      <c r="S51" s="14" t="s">
        <v>280</v>
      </c>
      <c r="U51" s="14" t="s">
        <v>2774</v>
      </c>
      <c r="V51" s="14" t="s">
        <v>287</v>
      </c>
      <c r="W51" s="14" t="s">
        <v>227</v>
      </c>
      <c r="X51" s="14" t="s">
        <v>227</v>
      </c>
      <c r="Y51" s="28">
        <v>44592</v>
      </c>
      <c r="Z51" s="28">
        <v>44596</v>
      </c>
    </row>
    <row r="52" spans="1:26" x14ac:dyDescent="0.2">
      <c r="A52" s="29" t="s">
        <v>227</v>
      </c>
      <c r="B52" s="29" t="s">
        <v>227</v>
      </c>
      <c r="C52" s="29"/>
      <c r="D52" s="29" t="s">
        <v>934</v>
      </c>
      <c r="E52" s="29" t="s">
        <v>282</v>
      </c>
      <c r="F52" s="29" t="s">
        <v>283</v>
      </c>
      <c r="G52" s="29" t="s">
        <v>313</v>
      </c>
      <c r="H52" s="29" t="s">
        <v>77</v>
      </c>
      <c r="I52" s="29" t="s">
        <v>594</v>
      </c>
      <c r="J52" s="29">
        <v>101</v>
      </c>
      <c r="K52" s="29">
        <v>11001</v>
      </c>
      <c r="L52" s="29">
        <v>245011</v>
      </c>
      <c r="M52" s="29">
        <v>9999</v>
      </c>
      <c r="N52" s="29" t="s">
        <v>1</v>
      </c>
      <c r="O52" s="18">
        <v>284163.75</v>
      </c>
      <c r="P52" s="18">
        <v>284163.75</v>
      </c>
      <c r="Q52" s="29" t="s">
        <v>2668</v>
      </c>
      <c r="R52" s="29" t="s">
        <v>2690</v>
      </c>
      <c r="S52" s="29" t="s">
        <v>280</v>
      </c>
      <c r="T52" s="29"/>
      <c r="U52" s="29" t="s">
        <v>2775</v>
      </c>
      <c r="V52" s="29" t="s">
        <v>315</v>
      </c>
      <c r="W52" s="29" t="s">
        <v>227</v>
      </c>
      <c r="X52" s="29" t="s">
        <v>227</v>
      </c>
      <c r="Y52" s="29">
        <v>44561</v>
      </c>
      <c r="Z52" s="29">
        <v>44568</v>
      </c>
    </row>
    <row r="53" spans="1:26" x14ac:dyDescent="0.2">
      <c r="A53" s="14" t="s">
        <v>227</v>
      </c>
      <c r="B53" s="14" t="s">
        <v>227</v>
      </c>
      <c r="D53" s="30" t="s">
        <v>930</v>
      </c>
      <c r="E53" s="14" t="s">
        <v>282</v>
      </c>
      <c r="F53" s="14" t="s">
        <v>283</v>
      </c>
      <c r="G53" s="14" t="s">
        <v>366</v>
      </c>
      <c r="H53" s="14" t="s">
        <v>39</v>
      </c>
      <c r="I53" s="14" t="s">
        <v>733</v>
      </c>
      <c r="J53" s="14">
        <v>101</v>
      </c>
      <c r="K53" s="14">
        <v>12013</v>
      </c>
      <c r="L53" s="14">
        <v>245011</v>
      </c>
      <c r="M53" s="14">
        <v>9999</v>
      </c>
      <c r="N53" s="14" t="s">
        <v>1</v>
      </c>
      <c r="O53" s="18">
        <v>150900</v>
      </c>
      <c r="P53" s="18">
        <v>150900</v>
      </c>
      <c r="Q53" s="14" t="s">
        <v>2668</v>
      </c>
      <c r="R53" s="14" t="s">
        <v>2776</v>
      </c>
      <c r="S53" s="14" t="s">
        <v>280</v>
      </c>
      <c r="U53" s="14" t="s">
        <v>2777</v>
      </c>
      <c r="V53" s="14" t="s">
        <v>287</v>
      </c>
      <c r="W53" s="14" t="s">
        <v>227</v>
      </c>
      <c r="X53" s="14" t="s">
        <v>227</v>
      </c>
      <c r="Y53" s="28">
        <v>44530</v>
      </c>
      <c r="Z53" s="28">
        <v>44536</v>
      </c>
    </row>
    <row r="54" spans="1:26" x14ac:dyDescent="0.2">
      <c r="A54" s="14" t="s">
        <v>227</v>
      </c>
      <c r="B54" s="14" t="s">
        <v>227</v>
      </c>
      <c r="D54" s="14" t="s">
        <v>2754</v>
      </c>
      <c r="E54" s="14" t="s">
        <v>282</v>
      </c>
      <c r="F54" s="14" t="s">
        <v>283</v>
      </c>
      <c r="G54" s="14" t="s">
        <v>313</v>
      </c>
      <c r="H54" s="14" t="s">
        <v>71</v>
      </c>
      <c r="I54" s="14" t="s">
        <v>443</v>
      </c>
      <c r="J54" s="14">
        <v>101</v>
      </c>
      <c r="K54" s="14">
        <v>11023</v>
      </c>
      <c r="L54" s="14">
        <v>245011</v>
      </c>
      <c r="M54" s="14">
        <v>9999</v>
      </c>
      <c r="N54" s="14" t="s">
        <v>1</v>
      </c>
      <c r="O54" s="18">
        <v>109665</v>
      </c>
      <c r="P54" s="18">
        <v>109665</v>
      </c>
      <c r="Q54" s="14" t="s">
        <v>2668</v>
      </c>
      <c r="R54" s="14" t="s">
        <v>2778</v>
      </c>
      <c r="S54" s="14" t="s">
        <v>280</v>
      </c>
      <c r="U54" s="14" t="s">
        <v>2779</v>
      </c>
      <c r="V54" s="14" t="s">
        <v>287</v>
      </c>
      <c r="W54" s="14" t="s">
        <v>227</v>
      </c>
      <c r="X54" s="14" t="s">
        <v>227</v>
      </c>
      <c r="Y54" s="28">
        <v>44620</v>
      </c>
      <c r="Z54" s="28">
        <v>44622</v>
      </c>
    </row>
    <row r="55" spans="1:26" x14ac:dyDescent="0.2">
      <c r="A55" s="14" t="s">
        <v>227</v>
      </c>
      <c r="B55" s="14" t="s">
        <v>227</v>
      </c>
      <c r="D55" s="14" t="s">
        <v>2754</v>
      </c>
      <c r="E55" s="14" t="s">
        <v>282</v>
      </c>
      <c r="F55" s="14" t="s">
        <v>283</v>
      </c>
      <c r="G55" s="14" t="s">
        <v>313</v>
      </c>
      <c r="H55" s="14" t="s">
        <v>77</v>
      </c>
      <c r="I55" s="14" t="s">
        <v>594</v>
      </c>
      <c r="J55" s="14">
        <v>101</v>
      </c>
      <c r="K55" s="14">
        <v>11001</v>
      </c>
      <c r="L55" s="14">
        <v>245011</v>
      </c>
      <c r="M55" s="14">
        <v>9999</v>
      </c>
      <c r="N55" s="14" t="s">
        <v>1</v>
      </c>
      <c r="O55" s="18">
        <v>-284163.75</v>
      </c>
      <c r="P55" s="18">
        <v>-284163.75</v>
      </c>
      <c r="Q55" s="14" t="s">
        <v>2668</v>
      </c>
      <c r="R55" s="14" t="s">
        <v>2780</v>
      </c>
      <c r="S55" s="14" t="s">
        <v>280</v>
      </c>
      <c r="U55" s="14" t="s">
        <v>2781</v>
      </c>
      <c r="V55" s="14" t="s">
        <v>315</v>
      </c>
      <c r="W55" s="14" t="s">
        <v>227</v>
      </c>
      <c r="X55" s="14" t="s">
        <v>227</v>
      </c>
      <c r="Y55" s="28">
        <v>44620</v>
      </c>
      <c r="Z55" s="28">
        <v>44622</v>
      </c>
    </row>
    <row r="56" spans="1:26" x14ac:dyDescent="0.2">
      <c r="A56" s="14" t="s">
        <v>227</v>
      </c>
      <c r="B56" s="14" t="s">
        <v>227</v>
      </c>
      <c r="D56" s="14" t="s">
        <v>2754</v>
      </c>
      <c r="E56" s="14" t="s">
        <v>282</v>
      </c>
      <c r="F56" s="14" t="s">
        <v>283</v>
      </c>
      <c r="G56" s="14" t="s">
        <v>366</v>
      </c>
      <c r="H56" s="14" t="s">
        <v>39</v>
      </c>
      <c r="I56" s="14" t="s">
        <v>733</v>
      </c>
      <c r="J56" s="14">
        <v>101</v>
      </c>
      <c r="K56" s="14">
        <v>12013</v>
      </c>
      <c r="L56" s="14">
        <v>245011</v>
      </c>
      <c r="M56" s="14">
        <v>9999</v>
      </c>
      <c r="N56" s="14" t="s">
        <v>1</v>
      </c>
      <c r="O56" s="18">
        <v>-150900</v>
      </c>
      <c r="P56" s="18">
        <v>-150900</v>
      </c>
      <c r="Q56" s="14" t="s">
        <v>2668</v>
      </c>
      <c r="R56" s="14" t="s">
        <v>2782</v>
      </c>
      <c r="S56" s="14" t="s">
        <v>280</v>
      </c>
      <c r="U56" s="14" t="s">
        <v>2783</v>
      </c>
      <c r="V56" s="14" t="s">
        <v>287</v>
      </c>
      <c r="W56" s="14" t="s">
        <v>227</v>
      </c>
      <c r="X56" s="14" t="s">
        <v>227</v>
      </c>
      <c r="Y56" s="14">
        <v>44620</v>
      </c>
      <c r="Z56" s="14">
        <v>44623</v>
      </c>
    </row>
    <row r="57" spans="1:26" x14ac:dyDescent="0.2">
      <c r="A57" s="14" t="s">
        <v>227</v>
      </c>
      <c r="B57" s="14" t="s">
        <v>227</v>
      </c>
      <c r="D57" s="14" t="s">
        <v>859</v>
      </c>
      <c r="E57" s="14" t="s">
        <v>282</v>
      </c>
      <c r="F57" s="14" t="s">
        <v>283</v>
      </c>
      <c r="G57" s="14" t="s">
        <v>313</v>
      </c>
      <c r="H57" s="14" t="s">
        <v>23</v>
      </c>
      <c r="I57" s="14" t="s">
        <v>345</v>
      </c>
      <c r="J57" s="14">
        <v>101</v>
      </c>
      <c r="K57" s="14">
        <v>11003</v>
      </c>
      <c r="L57" s="14">
        <v>245011</v>
      </c>
      <c r="M57" s="14">
        <v>9999</v>
      </c>
      <c r="N57" s="14" t="s">
        <v>1</v>
      </c>
      <c r="O57" s="18">
        <v>3382.18</v>
      </c>
      <c r="P57" s="18">
        <v>3382.18</v>
      </c>
      <c r="Q57" s="14" t="s">
        <v>2668</v>
      </c>
      <c r="R57" s="14" t="s">
        <v>2784</v>
      </c>
      <c r="S57" s="14" t="s">
        <v>227</v>
      </c>
      <c r="U57" s="14" t="s">
        <v>2785</v>
      </c>
      <c r="V57" s="14" t="s">
        <v>328</v>
      </c>
      <c r="W57" s="14" t="s">
        <v>227</v>
      </c>
      <c r="X57" s="14" t="s">
        <v>227</v>
      </c>
      <c r="Y57" s="28">
        <v>44592</v>
      </c>
      <c r="Z57" s="28">
        <v>44592</v>
      </c>
    </row>
    <row r="58" spans="1:26" x14ac:dyDescent="0.2">
      <c r="A58" s="14" t="s">
        <v>227</v>
      </c>
      <c r="B58" s="14" t="s">
        <v>227</v>
      </c>
      <c r="D58" s="14" t="s">
        <v>2675</v>
      </c>
      <c r="E58" s="14" t="s">
        <v>282</v>
      </c>
      <c r="F58" s="14" t="s">
        <v>283</v>
      </c>
      <c r="G58" s="14" t="s">
        <v>313</v>
      </c>
      <c r="H58" s="14" t="s">
        <v>23</v>
      </c>
      <c r="I58" s="14" t="s">
        <v>415</v>
      </c>
      <c r="J58" s="14">
        <v>101</v>
      </c>
      <c r="K58" s="14">
        <v>11003</v>
      </c>
      <c r="L58" s="14">
        <v>245011</v>
      </c>
      <c r="M58" s="14">
        <v>9999</v>
      </c>
      <c r="N58" s="14" t="s">
        <v>1</v>
      </c>
      <c r="O58" s="18">
        <v>13607.4</v>
      </c>
      <c r="P58" s="18">
        <v>13607.4</v>
      </c>
      <c r="Q58" s="14" t="s">
        <v>2668</v>
      </c>
      <c r="R58" s="14" t="s">
        <v>2786</v>
      </c>
      <c r="S58" s="14" t="s">
        <v>280</v>
      </c>
      <c r="U58" s="14" t="s">
        <v>2787</v>
      </c>
      <c r="V58" s="14" t="s">
        <v>315</v>
      </c>
      <c r="W58" s="14" t="s">
        <v>227</v>
      </c>
      <c r="X58" s="14" t="s">
        <v>227</v>
      </c>
      <c r="Y58" s="14">
        <v>44500</v>
      </c>
      <c r="Z58" s="14">
        <v>44503</v>
      </c>
    </row>
    <row r="59" spans="1:26" x14ac:dyDescent="0.2">
      <c r="A59" s="29" t="s">
        <v>227</v>
      </c>
      <c r="B59" s="29" t="s">
        <v>227</v>
      </c>
      <c r="C59" s="29"/>
      <c r="D59" s="29" t="s">
        <v>930</v>
      </c>
      <c r="E59" s="29" t="s">
        <v>282</v>
      </c>
      <c r="F59" s="29" t="s">
        <v>283</v>
      </c>
      <c r="G59" s="29" t="s">
        <v>313</v>
      </c>
      <c r="H59" s="29" t="s">
        <v>23</v>
      </c>
      <c r="I59" s="29" t="s">
        <v>415</v>
      </c>
      <c r="J59" s="29">
        <v>101</v>
      </c>
      <c r="K59" s="29">
        <v>11003</v>
      </c>
      <c r="L59" s="29">
        <v>245011</v>
      </c>
      <c r="M59" s="29">
        <v>9999</v>
      </c>
      <c r="N59" s="29" t="s">
        <v>1</v>
      </c>
      <c r="O59" s="18">
        <v>-12183.14</v>
      </c>
      <c r="P59" s="18">
        <v>-12183.14</v>
      </c>
      <c r="Q59" s="29" t="s">
        <v>2668</v>
      </c>
      <c r="R59" s="29" t="s">
        <v>2788</v>
      </c>
      <c r="S59" s="29" t="s">
        <v>227</v>
      </c>
      <c r="T59" s="29"/>
      <c r="U59" s="29" t="s">
        <v>2789</v>
      </c>
      <c r="V59" s="29" t="s">
        <v>328</v>
      </c>
      <c r="W59" s="29" t="s">
        <v>227</v>
      </c>
      <c r="X59" s="29" t="s">
        <v>227</v>
      </c>
      <c r="Y59" s="29">
        <v>44530</v>
      </c>
      <c r="Z59" s="29">
        <v>44533</v>
      </c>
    </row>
    <row r="60" spans="1:26" x14ac:dyDescent="0.2">
      <c r="A60" s="29" t="s">
        <v>227</v>
      </c>
      <c r="B60" s="29" t="s">
        <v>227</v>
      </c>
      <c r="C60" s="29"/>
      <c r="D60" s="29" t="s">
        <v>2754</v>
      </c>
      <c r="E60" s="29" t="s">
        <v>282</v>
      </c>
      <c r="F60" s="29" t="s">
        <v>283</v>
      </c>
      <c r="G60" s="29" t="s">
        <v>313</v>
      </c>
      <c r="H60" s="29" t="s">
        <v>23</v>
      </c>
      <c r="I60" s="29" t="s">
        <v>415</v>
      </c>
      <c r="J60" s="29">
        <v>101</v>
      </c>
      <c r="K60" s="29">
        <v>11003</v>
      </c>
      <c r="L60" s="29">
        <v>245011</v>
      </c>
      <c r="M60" s="29">
        <v>9999</v>
      </c>
      <c r="N60" s="29" t="s">
        <v>1</v>
      </c>
      <c r="O60" s="18">
        <v>1424.26</v>
      </c>
      <c r="P60" s="18">
        <v>1424.26</v>
      </c>
      <c r="Q60" s="29" t="s">
        <v>2668</v>
      </c>
      <c r="R60" s="29" t="s">
        <v>2790</v>
      </c>
      <c r="S60" s="29" t="s">
        <v>227</v>
      </c>
      <c r="T60" s="29"/>
      <c r="U60" s="29" t="s">
        <v>2791</v>
      </c>
      <c r="V60" s="29" t="s">
        <v>328</v>
      </c>
      <c r="W60" s="29" t="s">
        <v>227</v>
      </c>
      <c r="X60" s="29" t="s">
        <v>227</v>
      </c>
      <c r="Y60" s="29">
        <v>44620</v>
      </c>
      <c r="Z60" s="29">
        <v>44623</v>
      </c>
    </row>
    <row r="61" spans="1:26" x14ac:dyDescent="0.2">
      <c r="A61" s="14" t="s">
        <v>227</v>
      </c>
      <c r="B61" s="14" t="s">
        <v>227</v>
      </c>
      <c r="D61" s="14" t="s">
        <v>2754</v>
      </c>
      <c r="E61" s="14" t="s">
        <v>282</v>
      </c>
      <c r="F61" s="14" t="s">
        <v>283</v>
      </c>
      <c r="G61" s="14" t="s">
        <v>313</v>
      </c>
      <c r="H61" s="14" t="s">
        <v>23</v>
      </c>
      <c r="I61" s="14" t="s">
        <v>415</v>
      </c>
      <c r="J61" s="14">
        <v>101</v>
      </c>
      <c r="K61" s="14">
        <v>11003</v>
      </c>
      <c r="L61" s="14">
        <v>245011</v>
      </c>
      <c r="M61" s="14">
        <v>9999</v>
      </c>
      <c r="N61" s="14" t="s">
        <v>1</v>
      </c>
      <c r="O61" s="18">
        <v>-4806.4400000000014</v>
      </c>
      <c r="P61" s="18">
        <v>-4806.4400000000014</v>
      </c>
      <c r="Q61" s="14" t="s">
        <v>2668</v>
      </c>
      <c r="R61" s="14" t="s">
        <v>2788</v>
      </c>
      <c r="S61" s="14" t="s">
        <v>227</v>
      </c>
      <c r="U61" s="14" t="s">
        <v>2792</v>
      </c>
      <c r="V61" s="14" t="s">
        <v>328</v>
      </c>
      <c r="W61" s="14" t="s">
        <v>227</v>
      </c>
      <c r="X61" s="14" t="s">
        <v>227</v>
      </c>
      <c r="Y61" s="14">
        <v>44620</v>
      </c>
      <c r="Z61" s="14">
        <v>44623</v>
      </c>
    </row>
    <row r="62" spans="1:26" s="31" customFormat="1" x14ac:dyDescent="0.2">
      <c r="A62" s="14" t="s">
        <v>227</v>
      </c>
      <c r="B62" s="14" t="s">
        <v>227</v>
      </c>
      <c r="C62" s="14"/>
      <c r="D62" s="14" t="s">
        <v>2754</v>
      </c>
      <c r="E62" s="14" t="s">
        <v>282</v>
      </c>
      <c r="F62" s="14" t="s">
        <v>283</v>
      </c>
      <c r="G62" s="14" t="s">
        <v>313</v>
      </c>
      <c r="H62" s="14" t="s">
        <v>23</v>
      </c>
      <c r="I62" s="14" t="s">
        <v>415</v>
      </c>
      <c r="J62" s="14">
        <v>101</v>
      </c>
      <c r="K62" s="14">
        <v>11003</v>
      </c>
      <c r="L62" s="14">
        <v>245011</v>
      </c>
      <c r="M62" s="14">
        <v>9999</v>
      </c>
      <c r="N62" s="14" t="s">
        <v>1</v>
      </c>
      <c r="O62" s="18">
        <v>-1424.26</v>
      </c>
      <c r="P62" s="18">
        <v>-1424.26</v>
      </c>
      <c r="Q62" s="14" t="s">
        <v>2668</v>
      </c>
      <c r="R62" s="14" t="s">
        <v>2788</v>
      </c>
      <c r="S62" s="14" t="s">
        <v>227</v>
      </c>
      <c r="T62" s="14"/>
      <c r="U62" s="14" t="s">
        <v>2793</v>
      </c>
      <c r="V62" s="14" t="s">
        <v>328</v>
      </c>
      <c r="W62" s="14" t="s">
        <v>227</v>
      </c>
      <c r="X62" s="14" t="s">
        <v>227</v>
      </c>
      <c r="Y62" s="28">
        <v>44620</v>
      </c>
      <c r="Z62" s="28">
        <v>44620</v>
      </c>
    </row>
    <row r="63" spans="1:26" s="31" customFormat="1" x14ac:dyDescent="0.2">
      <c r="A63" s="14" t="s">
        <v>227</v>
      </c>
      <c r="B63" s="14" t="s">
        <v>227</v>
      </c>
      <c r="C63" s="14"/>
      <c r="D63" s="14" t="s">
        <v>934</v>
      </c>
      <c r="E63" s="14" t="s">
        <v>282</v>
      </c>
      <c r="F63" s="14" t="s">
        <v>283</v>
      </c>
      <c r="G63" s="14" t="s">
        <v>2794</v>
      </c>
      <c r="H63" s="14" t="s">
        <v>2794</v>
      </c>
      <c r="I63" s="14" t="s">
        <v>2795</v>
      </c>
      <c r="J63" s="14">
        <v>101</v>
      </c>
      <c r="K63" s="14">
        <v>11011</v>
      </c>
      <c r="L63" s="14">
        <v>245011</v>
      </c>
      <c r="M63" s="14">
        <v>9999</v>
      </c>
      <c r="N63" s="14" t="s">
        <v>1</v>
      </c>
      <c r="O63" s="18">
        <v>-136207.82</v>
      </c>
      <c r="P63" s="18">
        <v>-136207.82</v>
      </c>
      <c r="Q63" s="14" t="s">
        <v>2668</v>
      </c>
      <c r="R63" s="14" t="s">
        <v>2796</v>
      </c>
      <c r="S63" s="14" t="s">
        <v>280</v>
      </c>
      <c r="T63" s="14"/>
      <c r="U63" s="14" t="s">
        <v>2797</v>
      </c>
      <c r="V63" s="14" t="s">
        <v>287</v>
      </c>
      <c r="W63" s="14" t="s">
        <v>227</v>
      </c>
      <c r="X63" s="14" t="s">
        <v>227</v>
      </c>
      <c r="Y63" s="28">
        <v>44561</v>
      </c>
      <c r="Z63" s="28">
        <v>44571</v>
      </c>
    </row>
    <row r="64" spans="1:26" s="31" customFormat="1" x14ac:dyDescent="0.2">
      <c r="A64" s="14" t="s">
        <v>2798</v>
      </c>
      <c r="B64" s="14" t="s">
        <v>2799</v>
      </c>
      <c r="C64" s="14">
        <v>44556</v>
      </c>
      <c r="D64" s="14" t="s">
        <v>2754</v>
      </c>
      <c r="E64" s="14" t="s">
        <v>282</v>
      </c>
      <c r="F64" s="14" t="s">
        <v>283</v>
      </c>
      <c r="G64" s="14" t="s">
        <v>2794</v>
      </c>
      <c r="H64" s="14" t="s">
        <v>2794</v>
      </c>
      <c r="I64" s="14" t="s">
        <v>2795</v>
      </c>
      <c r="J64" s="14">
        <v>101</v>
      </c>
      <c r="K64" s="14">
        <v>11011</v>
      </c>
      <c r="L64" s="14">
        <v>245011</v>
      </c>
      <c r="M64" s="14">
        <v>9999</v>
      </c>
      <c r="N64" s="14" t="s">
        <v>1</v>
      </c>
      <c r="O64" s="18">
        <v>136207.82</v>
      </c>
      <c r="P64" s="18">
        <v>136207.82</v>
      </c>
      <c r="Q64" s="14" t="s">
        <v>2668</v>
      </c>
      <c r="R64" s="14" t="s">
        <v>227</v>
      </c>
      <c r="S64" s="14" t="s">
        <v>227</v>
      </c>
      <c r="T64" s="14">
        <v>1</v>
      </c>
      <c r="U64" s="14" t="s">
        <v>2800</v>
      </c>
      <c r="V64" s="14" t="s">
        <v>2801</v>
      </c>
      <c r="W64" s="14" t="s">
        <v>227</v>
      </c>
      <c r="X64" s="14" t="s">
        <v>227</v>
      </c>
      <c r="Y64" s="28">
        <v>44620</v>
      </c>
      <c r="Z64" s="28">
        <v>44621</v>
      </c>
    </row>
    <row r="65" spans="1:26" x14ac:dyDescent="0.2">
      <c r="A65" s="14" t="s">
        <v>227</v>
      </c>
      <c r="B65" s="14" t="s">
        <v>227</v>
      </c>
      <c r="D65" s="14" t="s">
        <v>2754</v>
      </c>
      <c r="E65" s="14" t="s">
        <v>282</v>
      </c>
      <c r="F65" s="14" t="s">
        <v>283</v>
      </c>
      <c r="G65" s="14" t="s">
        <v>366</v>
      </c>
      <c r="H65" s="14" t="s">
        <v>35</v>
      </c>
      <c r="I65" s="14" t="s">
        <v>490</v>
      </c>
      <c r="J65" s="14">
        <v>101</v>
      </c>
      <c r="K65" s="14">
        <v>11010</v>
      </c>
      <c r="L65" s="14">
        <v>245011</v>
      </c>
      <c r="M65" s="14">
        <v>9999</v>
      </c>
      <c r="N65" s="14" t="s">
        <v>1</v>
      </c>
      <c r="O65" s="18">
        <v>-414006</v>
      </c>
      <c r="P65" s="18">
        <v>-414006</v>
      </c>
      <c r="Q65" s="14" t="s">
        <v>2668</v>
      </c>
      <c r="R65" s="14" t="s">
        <v>2802</v>
      </c>
      <c r="S65" s="14" t="s">
        <v>280</v>
      </c>
      <c r="U65" s="14" t="s">
        <v>2803</v>
      </c>
      <c r="V65" s="14" t="s">
        <v>287</v>
      </c>
      <c r="W65" s="14" t="s">
        <v>227</v>
      </c>
      <c r="X65" s="14" t="s">
        <v>227</v>
      </c>
      <c r="Y65" s="28">
        <v>44620</v>
      </c>
      <c r="Z65" s="28">
        <v>44624</v>
      </c>
    </row>
    <row r="66" spans="1:26" x14ac:dyDescent="0.2">
      <c r="A66" s="14" t="s">
        <v>227</v>
      </c>
      <c r="B66" s="14" t="s">
        <v>227</v>
      </c>
      <c r="D66" s="14" t="s">
        <v>2754</v>
      </c>
      <c r="E66" s="14" t="s">
        <v>282</v>
      </c>
      <c r="F66" s="14" t="s">
        <v>283</v>
      </c>
      <c r="G66" s="14" t="s">
        <v>366</v>
      </c>
      <c r="H66" s="14" t="s">
        <v>35</v>
      </c>
      <c r="I66" s="14" t="s">
        <v>490</v>
      </c>
      <c r="J66" s="14">
        <v>101</v>
      </c>
      <c r="K66" s="14">
        <v>11010</v>
      </c>
      <c r="L66" s="14">
        <v>245011</v>
      </c>
      <c r="M66" s="14">
        <v>9999</v>
      </c>
      <c r="N66" s="14" t="s">
        <v>1</v>
      </c>
      <c r="O66" s="18">
        <v>414006</v>
      </c>
      <c r="P66" s="18">
        <v>414006</v>
      </c>
      <c r="Q66" s="14" t="s">
        <v>2668</v>
      </c>
      <c r="R66" s="14" t="s">
        <v>2757</v>
      </c>
      <c r="S66" s="14" t="s">
        <v>280</v>
      </c>
      <c r="U66" s="14" t="s">
        <v>2804</v>
      </c>
      <c r="V66" s="14" t="s">
        <v>287</v>
      </c>
      <c r="W66" s="14" t="s">
        <v>227</v>
      </c>
      <c r="X66" s="14" t="s">
        <v>227</v>
      </c>
      <c r="Y66" s="28">
        <v>44620</v>
      </c>
      <c r="Z66" s="28">
        <v>44624</v>
      </c>
    </row>
    <row r="67" spans="1:26" x14ac:dyDescent="0.2">
      <c r="A67" s="31" t="s">
        <v>227</v>
      </c>
      <c r="B67" s="31" t="s">
        <v>227</v>
      </c>
      <c r="C67" s="31"/>
      <c r="D67" s="31" t="s">
        <v>934</v>
      </c>
      <c r="E67" s="31" t="s">
        <v>282</v>
      </c>
      <c r="F67" s="31" t="s">
        <v>283</v>
      </c>
      <c r="G67" s="31" t="s">
        <v>313</v>
      </c>
      <c r="H67" s="31" t="s">
        <v>68</v>
      </c>
      <c r="I67" s="31" t="s">
        <v>547</v>
      </c>
      <c r="J67" s="31">
        <v>101</v>
      </c>
      <c r="K67" s="31">
        <v>12022</v>
      </c>
      <c r="L67" s="31">
        <v>245011</v>
      </c>
      <c r="M67" s="31">
        <v>9999</v>
      </c>
      <c r="N67" s="31" t="s">
        <v>1</v>
      </c>
      <c r="O67" s="32">
        <v>-117294.64</v>
      </c>
      <c r="P67" s="32">
        <v>-117294.64</v>
      </c>
      <c r="Q67" s="31" t="s">
        <v>2668</v>
      </c>
      <c r="R67" s="31" t="s">
        <v>2805</v>
      </c>
      <c r="S67" s="31" t="s">
        <v>280</v>
      </c>
      <c r="T67" s="31"/>
      <c r="U67" s="31" t="s">
        <v>2806</v>
      </c>
      <c r="V67" s="31" t="s">
        <v>287</v>
      </c>
      <c r="W67" s="31" t="s">
        <v>227</v>
      </c>
      <c r="X67" s="31" t="s">
        <v>227</v>
      </c>
      <c r="Y67" s="31">
        <v>44561</v>
      </c>
      <c r="Z67" s="31">
        <v>44571</v>
      </c>
    </row>
    <row r="68" spans="1:26" x14ac:dyDescent="0.2">
      <c r="A68" s="14" t="s">
        <v>227</v>
      </c>
      <c r="B68" s="14" t="s">
        <v>227</v>
      </c>
      <c r="D68" s="14" t="s">
        <v>2754</v>
      </c>
      <c r="E68" s="14" t="s">
        <v>282</v>
      </c>
      <c r="F68" s="14" t="s">
        <v>283</v>
      </c>
      <c r="G68" s="14" t="s">
        <v>313</v>
      </c>
      <c r="H68" s="14" t="s">
        <v>68</v>
      </c>
      <c r="I68" s="14" t="s">
        <v>547</v>
      </c>
      <c r="J68" s="14">
        <v>101</v>
      </c>
      <c r="K68" s="14">
        <v>12022</v>
      </c>
      <c r="L68" s="14">
        <v>245011</v>
      </c>
      <c r="M68" s="14">
        <v>9999</v>
      </c>
      <c r="N68" s="14" t="s">
        <v>1</v>
      </c>
      <c r="O68" s="18">
        <v>117294.64</v>
      </c>
      <c r="P68" s="18">
        <v>117294.64</v>
      </c>
      <c r="Q68" s="14" t="s">
        <v>2668</v>
      </c>
      <c r="R68" s="14" t="s">
        <v>2807</v>
      </c>
      <c r="S68" s="14" t="s">
        <v>280</v>
      </c>
      <c r="U68" s="14" t="s">
        <v>2808</v>
      </c>
      <c r="V68" s="14" t="s">
        <v>287</v>
      </c>
      <c r="W68" s="14" t="s">
        <v>227</v>
      </c>
      <c r="X68" s="14" t="s">
        <v>227</v>
      </c>
      <c r="Y68" s="28">
        <v>44620</v>
      </c>
      <c r="Z68" s="28">
        <v>44624</v>
      </c>
    </row>
    <row r="69" spans="1:26" x14ac:dyDescent="0.2">
      <c r="A69" s="29" t="s">
        <v>227</v>
      </c>
      <c r="B69" s="29" t="s">
        <v>227</v>
      </c>
      <c r="C69" s="29"/>
      <c r="D69" s="29" t="s">
        <v>934</v>
      </c>
      <c r="E69" s="29" t="s">
        <v>282</v>
      </c>
      <c r="F69" s="29" t="s">
        <v>294</v>
      </c>
      <c r="G69" s="29" t="s">
        <v>305</v>
      </c>
      <c r="H69" s="29" t="s">
        <v>37</v>
      </c>
      <c r="I69" s="29" t="s">
        <v>438</v>
      </c>
      <c r="J69" s="29">
        <v>101</v>
      </c>
      <c r="K69" s="29">
        <v>13001</v>
      </c>
      <c r="L69" s="29">
        <v>245011</v>
      </c>
      <c r="M69" s="29">
        <v>9999</v>
      </c>
      <c r="N69" s="29" t="s">
        <v>1</v>
      </c>
      <c r="O69" s="18">
        <v>291214.65000000002</v>
      </c>
      <c r="P69" s="18">
        <v>291214.65000000002</v>
      </c>
      <c r="Q69" s="29" t="s">
        <v>2668</v>
      </c>
      <c r="R69" s="29" t="s">
        <v>2809</v>
      </c>
      <c r="S69" s="29" t="s">
        <v>280</v>
      </c>
      <c r="T69" s="29"/>
      <c r="U69" s="29" t="s">
        <v>2810</v>
      </c>
      <c r="V69" s="29" t="s">
        <v>315</v>
      </c>
      <c r="W69" s="29" t="s">
        <v>227</v>
      </c>
      <c r="X69" s="29" t="s">
        <v>227</v>
      </c>
      <c r="Y69" s="29">
        <v>44561</v>
      </c>
      <c r="Z69" s="29">
        <v>44571</v>
      </c>
    </row>
    <row r="70" spans="1:26" x14ac:dyDescent="0.2">
      <c r="A70" s="14" t="s">
        <v>227</v>
      </c>
      <c r="B70" s="14" t="s">
        <v>227</v>
      </c>
      <c r="D70" s="14" t="s">
        <v>934</v>
      </c>
      <c r="E70" s="14" t="s">
        <v>282</v>
      </c>
      <c r="F70" s="14" t="s">
        <v>294</v>
      </c>
      <c r="G70" s="14" t="s">
        <v>305</v>
      </c>
      <c r="H70" s="14" t="s">
        <v>37</v>
      </c>
      <c r="I70" s="14" t="s">
        <v>438</v>
      </c>
      <c r="J70" s="14">
        <v>101</v>
      </c>
      <c r="K70" s="14">
        <v>13001</v>
      </c>
      <c r="L70" s="14">
        <v>245011</v>
      </c>
      <c r="M70" s="14">
        <v>9999</v>
      </c>
      <c r="N70" s="14" t="s">
        <v>1</v>
      </c>
      <c r="O70" s="18">
        <v>160280.5</v>
      </c>
      <c r="P70" s="18">
        <v>160280.5</v>
      </c>
      <c r="Q70" s="14" t="s">
        <v>2668</v>
      </c>
      <c r="R70" s="14" t="s">
        <v>2811</v>
      </c>
      <c r="S70" s="14" t="s">
        <v>280</v>
      </c>
      <c r="U70" s="14" t="s">
        <v>2812</v>
      </c>
      <c r="V70" s="14" t="s">
        <v>315</v>
      </c>
      <c r="W70" s="14" t="s">
        <v>227</v>
      </c>
      <c r="X70" s="14" t="s">
        <v>227</v>
      </c>
      <c r="Y70" s="28">
        <v>44561</v>
      </c>
      <c r="Z70" s="28">
        <v>44571</v>
      </c>
    </row>
    <row r="71" spans="1:26" x14ac:dyDescent="0.2">
      <c r="A71" s="14" t="s">
        <v>227</v>
      </c>
      <c r="B71" s="14" t="s">
        <v>227</v>
      </c>
      <c r="D71" s="14" t="s">
        <v>934</v>
      </c>
      <c r="E71" s="14" t="s">
        <v>282</v>
      </c>
      <c r="F71" s="14" t="s">
        <v>294</v>
      </c>
      <c r="G71" s="14" t="s">
        <v>305</v>
      </c>
      <c r="H71" s="14" t="s">
        <v>37</v>
      </c>
      <c r="I71" s="14" t="s">
        <v>438</v>
      </c>
      <c r="J71" s="14">
        <v>101</v>
      </c>
      <c r="K71" s="14">
        <v>13001</v>
      </c>
      <c r="L71" s="14">
        <v>245011</v>
      </c>
      <c r="M71" s="14">
        <v>9999</v>
      </c>
      <c r="N71" s="14" t="s">
        <v>1</v>
      </c>
      <c r="O71" s="18">
        <v>199719.5</v>
      </c>
      <c r="P71" s="18">
        <v>199719.5</v>
      </c>
      <c r="Q71" s="14" t="s">
        <v>2668</v>
      </c>
      <c r="R71" s="14" t="s">
        <v>2813</v>
      </c>
      <c r="S71" s="14" t="s">
        <v>280</v>
      </c>
      <c r="U71" s="14" t="s">
        <v>2814</v>
      </c>
      <c r="V71" s="14" t="s">
        <v>315</v>
      </c>
      <c r="W71" s="14" t="s">
        <v>227</v>
      </c>
      <c r="X71" s="14" t="s">
        <v>227</v>
      </c>
      <c r="Y71" s="14">
        <v>44561</v>
      </c>
      <c r="Z71" s="14">
        <v>44571</v>
      </c>
    </row>
    <row r="72" spans="1:26" x14ac:dyDescent="0.2">
      <c r="A72" s="14" t="s">
        <v>227</v>
      </c>
      <c r="B72" s="14" t="s">
        <v>227</v>
      </c>
      <c r="D72" s="14" t="s">
        <v>2675</v>
      </c>
      <c r="E72" s="14" t="s">
        <v>282</v>
      </c>
      <c r="F72" s="14" t="s">
        <v>283</v>
      </c>
      <c r="G72" s="14" t="s">
        <v>366</v>
      </c>
      <c r="H72" s="14" t="s">
        <v>35</v>
      </c>
      <c r="I72" s="14" t="s">
        <v>490</v>
      </c>
      <c r="J72" s="14">
        <v>101</v>
      </c>
      <c r="K72" s="14">
        <v>11010</v>
      </c>
      <c r="L72" s="14">
        <v>245011</v>
      </c>
      <c r="M72" s="14">
        <v>9999</v>
      </c>
      <c r="N72" s="14" t="s">
        <v>1</v>
      </c>
      <c r="O72" s="18">
        <v>91935</v>
      </c>
      <c r="P72" s="18">
        <v>91935</v>
      </c>
      <c r="Q72" s="14" t="s">
        <v>2668</v>
      </c>
      <c r="R72" s="14" t="s">
        <v>2815</v>
      </c>
      <c r="S72" s="14" t="s">
        <v>280</v>
      </c>
      <c r="U72" s="14" t="s">
        <v>2816</v>
      </c>
      <c r="V72" s="14" t="s">
        <v>315</v>
      </c>
      <c r="W72" s="14" t="s">
        <v>227</v>
      </c>
      <c r="X72" s="14" t="s">
        <v>227</v>
      </c>
      <c r="Y72" s="14">
        <v>44500</v>
      </c>
      <c r="Z72" s="14">
        <v>44503</v>
      </c>
    </row>
    <row r="73" spans="1:26" x14ac:dyDescent="0.2">
      <c r="A73" s="14" t="s">
        <v>227</v>
      </c>
      <c r="B73" s="14" t="s">
        <v>227</v>
      </c>
      <c r="D73" s="14" t="s">
        <v>2754</v>
      </c>
      <c r="E73" s="14" t="s">
        <v>282</v>
      </c>
      <c r="F73" s="14" t="s">
        <v>283</v>
      </c>
      <c r="G73" s="14" t="s">
        <v>313</v>
      </c>
      <c r="H73" s="14" t="s">
        <v>11</v>
      </c>
      <c r="I73" s="14" t="s">
        <v>285</v>
      </c>
      <c r="J73" s="14">
        <v>101</v>
      </c>
      <c r="K73" s="14">
        <v>12012</v>
      </c>
      <c r="L73" s="14">
        <v>245011</v>
      </c>
      <c r="M73" s="14">
        <v>9999</v>
      </c>
      <c r="N73" s="14" t="s">
        <v>1</v>
      </c>
      <c r="O73" s="18">
        <v>1495907.93</v>
      </c>
      <c r="P73" s="18">
        <v>1495907.93</v>
      </c>
      <c r="Q73" s="14" t="s">
        <v>2668</v>
      </c>
      <c r="R73" s="14" t="s">
        <v>2817</v>
      </c>
      <c r="S73" s="14" t="s">
        <v>280</v>
      </c>
      <c r="U73" s="14" t="s">
        <v>2818</v>
      </c>
      <c r="V73" s="14" t="s">
        <v>287</v>
      </c>
      <c r="W73" s="14" t="s">
        <v>227</v>
      </c>
      <c r="X73" s="14" t="s">
        <v>227</v>
      </c>
      <c r="Y73" s="28">
        <v>44620</v>
      </c>
      <c r="Z73" s="28">
        <v>44624</v>
      </c>
    </row>
    <row r="74" spans="1:26" x14ac:dyDescent="0.2">
      <c r="A74" s="14" t="s">
        <v>227</v>
      </c>
      <c r="B74" s="14" t="s">
        <v>227</v>
      </c>
      <c r="D74" s="14" t="s">
        <v>863</v>
      </c>
      <c r="E74" s="14" t="s">
        <v>282</v>
      </c>
      <c r="F74" s="14" t="s">
        <v>294</v>
      </c>
      <c r="G74" s="14" t="s">
        <v>305</v>
      </c>
      <c r="H74" s="14" t="s">
        <v>37</v>
      </c>
      <c r="I74" s="14" t="s">
        <v>438</v>
      </c>
      <c r="J74" s="14">
        <v>101</v>
      </c>
      <c r="K74" s="14">
        <v>13001</v>
      </c>
      <c r="L74" s="14">
        <v>245011</v>
      </c>
      <c r="M74" s="14">
        <v>9999</v>
      </c>
      <c r="N74" s="14" t="s">
        <v>1</v>
      </c>
      <c r="O74" s="18">
        <v>-291214.65000000002</v>
      </c>
      <c r="P74" s="18">
        <v>-291214.65000000002</v>
      </c>
      <c r="Q74" s="14" t="s">
        <v>2668</v>
      </c>
      <c r="R74" s="14" t="s">
        <v>2819</v>
      </c>
      <c r="S74" s="14" t="s">
        <v>280</v>
      </c>
      <c r="U74" s="14" t="s">
        <v>2820</v>
      </c>
      <c r="V74" s="14" t="s">
        <v>315</v>
      </c>
      <c r="W74" s="14" t="s">
        <v>227</v>
      </c>
      <c r="X74" s="14" t="s">
        <v>227</v>
      </c>
      <c r="Y74" s="28">
        <v>44628</v>
      </c>
      <c r="Z74" s="28">
        <v>44628</v>
      </c>
    </row>
    <row r="75" spans="1:26" x14ac:dyDescent="0.2">
      <c r="A75" s="14" t="s">
        <v>227</v>
      </c>
      <c r="B75" s="14" t="s">
        <v>227</v>
      </c>
      <c r="D75" s="14" t="s">
        <v>863</v>
      </c>
      <c r="E75" s="14" t="s">
        <v>282</v>
      </c>
      <c r="F75" s="14" t="s">
        <v>283</v>
      </c>
      <c r="G75" s="14" t="s">
        <v>366</v>
      </c>
      <c r="H75" s="14" t="s">
        <v>35</v>
      </c>
      <c r="I75" s="14" t="s">
        <v>490</v>
      </c>
      <c r="J75" s="14">
        <v>101</v>
      </c>
      <c r="K75" s="14">
        <v>11010</v>
      </c>
      <c r="L75" s="14">
        <v>245011</v>
      </c>
      <c r="M75" s="14">
        <v>9999</v>
      </c>
      <c r="N75" s="14" t="s">
        <v>1</v>
      </c>
      <c r="O75" s="18">
        <v>-91935</v>
      </c>
      <c r="P75" s="18">
        <v>-91935</v>
      </c>
      <c r="Q75" s="14" t="s">
        <v>2668</v>
      </c>
      <c r="R75" s="14" t="s">
        <v>2821</v>
      </c>
      <c r="S75" s="14" t="s">
        <v>280</v>
      </c>
      <c r="U75" s="14" t="s">
        <v>2822</v>
      </c>
      <c r="V75" s="14" t="s">
        <v>315</v>
      </c>
      <c r="W75" s="14" t="s">
        <v>227</v>
      </c>
      <c r="X75" s="14" t="s">
        <v>227</v>
      </c>
      <c r="Y75" s="14">
        <v>44628</v>
      </c>
      <c r="Z75" s="14">
        <v>44628</v>
      </c>
    </row>
    <row r="76" spans="1:26" x14ac:dyDescent="0.2">
      <c r="A76" s="31" t="s">
        <v>227</v>
      </c>
      <c r="B76" s="31" t="s">
        <v>227</v>
      </c>
      <c r="C76" s="31"/>
      <c r="D76" s="31" t="s">
        <v>863</v>
      </c>
      <c r="E76" s="31" t="s">
        <v>282</v>
      </c>
      <c r="F76" s="31" t="s">
        <v>294</v>
      </c>
      <c r="G76" s="31" t="s">
        <v>305</v>
      </c>
      <c r="H76" s="31" t="s">
        <v>37</v>
      </c>
      <c r="I76" s="31" t="s">
        <v>438</v>
      </c>
      <c r="J76" s="31">
        <v>101</v>
      </c>
      <c r="K76" s="31">
        <v>13001</v>
      </c>
      <c r="L76" s="31">
        <v>245011</v>
      </c>
      <c r="M76" s="31">
        <v>9999</v>
      </c>
      <c r="N76" s="31" t="s">
        <v>1</v>
      </c>
      <c r="O76" s="32">
        <v>-199719.5</v>
      </c>
      <c r="P76" s="32">
        <v>-199719.5</v>
      </c>
      <c r="Q76" s="31" t="s">
        <v>2668</v>
      </c>
      <c r="R76" s="31" t="s">
        <v>2823</v>
      </c>
      <c r="S76" s="31" t="s">
        <v>280</v>
      </c>
      <c r="T76" s="31"/>
      <c r="U76" s="31" t="s">
        <v>2824</v>
      </c>
      <c r="V76" s="31" t="s">
        <v>315</v>
      </c>
      <c r="W76" s="31" t="s">
        <v>227</v>
      </c>
      <c r="X76" s="31" t="s">
        <v>227</v>
      </c>
      <c r="Y76" s="31">
        <v>44628</v>
      </c>
      <c r="Z76" s="31">
        <v>44628</v>
      </c>
    </row>
    <row r="77" spans="1:26" x14ac:dyDescent="0.2">
      <c r="A77" s="14" t="s">
        <v>227</v>
      </c>
      <c r="B77" s="14" t="s">
        <v>227</v>
      </c>
      <c r="D77" s="14" t="s">
        <v>863</v>
      </c>
      <c r="E77" s="14" t="s">
        <v>282</v>
      </c>
      <c r="F77" s="14" t="s">
        <v>283</v>
      </c>
      <c r="G77" s="14" t="s">
        <v>313</v>
      </c>
      <c r="H77" s="14" t="s">
        <v>11</v>
      </c>
      <c r="I77" s="14" t="s">
        <v>285</v>
      </c>
      <c r="J77" s="14">
        <v>101</v>
      </c>
      <c r="K77" s="14">
        <v>12012</v>
      </c>
      <c r="L77" s="14">
        <v>245011</v>
      </c>
      <c r="M77" s="14">
        <v>9999</v>
      </c>
      <c r="N77" s="14" t="s">
        <v>1</v>
      </c>
      <c r="O77" s="18">
        <v>-1495907.93</v>
      </c>
      <c r="P77" s="18">
        <v>-1495907.93</v>
      </c>
      <c r="Q77" s="14" t="s">
        <v>2668</v>
      </c>
      <c r="R77" s="14" t="s">
        <v>2825</v>
      </c>
      <c r="S77" s="14" t="s">
        <v>280</v>
      </c>
      <c r="U77" s="14" t="s">
        <v>2826</v>
      </c>
      <c r="V77" s="14" t="s">
        <v>287</v>
      </c>
      <c r="W77" s="14" t="s">
        <v>227</v>
      </c>
      <c r="X77" s="14" t="s">
        <v>227</v>
      </c>
      <c r="Y77" s="28">
        <v>44649</v>
      </c>
      <c r="Z77" s="28">
        <v>44649</v>
      </c>
    </row>
    <row r="78" spans="1:26" x14ac:dyDescent="0.2">
      <c r="A78" s="14" t="s">
        <v>227</v>
      </c>
      <c r="B78" s="14" t="s">
        <v>227</v>
      </c>
      <c r="D78" s="14" t="s">
        <v>863</v>
      </c>
      <c r="E78" s="14" t="s">
        <v>282</v>
      </c>
      <c r="F78" s="14" t="s">
        <v>294</v>
      </c>
      <c r="G78" s="14" t="s">
        <v>305</v>
      </c>
      <c r="H78" s="14" t="s">
        <v>37</v>
      </c>
      <c r="I78" s="14" t="s">
        <v>438</v>
      </c>
      <c r="J78" s="14">
        <v>101</v>
      </c>
      <c r="K78" s="14">
        <v>13001</v>
      </c>
      <c r="L78" s="14">
        <v>245011</v>
      </c>
      <c r="M78" s="14">
        <v>9999</v>
      </c>
      <c r="N78" s="14" t="s">
        <v>1</v>
      </c>
      <c r="O78" s="18">
        <v>-160280.5</v>
      </c>
      <c r="P78" s="18">
        <v>-160280.5</v>
      </c>
      <c r="Q78" s="14" t="s">
        <v>2668</v>
      </c>
      <c r="R78" s="14" t="s">
        <v>2827</v>
      </c>
      <c r="S78" s="14" t="s">
        <v>280</v>
      </c>
      <c r="U78" s="14" t="s">
        <v>2828</v>
      </c>
      <c r="V78" s="14" t="s">
        <v>315</v>
      </c>
      <c r="W78" s="14" t="s">
        <v>227</v>
      </c>
      <c r="X78" s="14" t="s">
        <v>227</v>
      </c>
      <c r="Y78" s="28">
        <v>44628</v>
      </c>
      <c r="Z78" s="28">
        <v>44628</v>
      </c>
    </row>
    <row r="79" spans="1:26" x14ac:dyDescent="0.2">
      <c r="A79" s="14" t="s">
        <v>2829</v>
      </c>
      <c r="B79" s="14" t="s">
        <v>2830</v>
      </c>
      <c r="C79" s="14">
        <v>44546</v>
      </c>
      <c r="D79" s="14" t="s">
        <v>2754</v>
      </c>
      <c r="E79" s="14" t="s">
        <v>282</v>
      </c>
      <c r="F79" s="14" t="s">
        <v>283</v>
      </c>
      <c r="G79" s="14" t="s">
        <v>313</v>
      </c>
      <c r="H79" s="14" t="s">
        <v>68</v>
      </c>
      <c r="I79" s="14" t="s">
        <v>547</v>
      </c>
      <c r="J79" s="14">
        <v>101</v>
      </c>
      <c r="K79" s="14">
        <v>12022</v>
      </c>
      <c r="L79" s="14">
        <v>245011</v>
      </c>
      <c r="M79" s="14">
        <v>9999</v>
      </c>
      <c r="N79" s="14" t="s">
        <v>1</v>
      </c>
      <c r="O79" s="18">
        <v>53226.47</v>
      </c>
      <c r="P79" s="18">
        <v>53226.47</v>
      </c>
      <c r="Q79" s="14" t="s">
        <v>2668</v>
      </c>
      <c r="R79" s="14" t="s">
        <v>2831</v>
      </c>
      <c r="S79" s="14" t="s">
        <v>227</v>
      </c>
      <c r="T79" s="14">
        <v>1</v>
      </c>
      <c r="U79" s="14" t="s">
        <v>2832</v>
      </c>
      <c r="V79" s="14" t="s">
        <v>2801</v>
      </c>
      <c r="W79" s="14" t="s">
        <v>227</v>
      </c>
      <c r="X79" s="14" t="s">
        <v>227</v>
      </c>
      <c r="Y79" s="14">
        <v>44595</v>
      </c>
      <c r="Z79" s="14">
        <v>44595</v>
      </c>
    </row>
    <row r="80" spans="1:26" x14ac:dyDescent="0.2">
      <c r="A80" s="14" t="s">
        <v>227</v>
      </c>
      <c r="B80" s="14" t="s">
        <v>227</v>
      </c>
      <c r="D80" s="14" t="s">
        <v>934</v>
      </c>
      <c r="E80" s="14" t="s">
        <v>282</v>
      </c>
      <c r="F80" s="14" t="s">
        <v>294</v>
      </c>
      <c r="G80" s="14" t="s">
        <v>295</v>
      </c>
      <c r="H80" s="14" t="s">
        <v>8</v>
      </c>
      <c r="I80" s="14" t="s">
        <v>296</v>
      </c>
      <c r="J80" s="14">
        <v>101</v>
      </c>
      <c r="K80" s="14">
        <v>13008</v>
      </c>
      <c r="L80" s="14">
        <v>245011</v>
      </c>
      <c r="M80" s="14">
        <v>9999</v>
      </c>
      <c r="N80" s="14" t="s">
        <v>1</v>
      </c>
      <c r="O80" s="18">
        <v>3247140</v>
      </c>
      <c r="P80" s="18">
        <v>3247140</v>
      </c>
      <c r="Q80" s="14" t="s">
        <v>2668</v>
      </c>
      <c r="R80" s="14" t="s">
        <v>2833</v>
      </c>
      <c r="S80" s="14" t="s">
        <v>280</v>
      </c>
      <c r="U80" s="14" t="s">
        <v>2834</v>
      </c>
      <c r="V80" s="14" t="s">
        <v>287</v>
      </c>
      <c r="W80" s="14" t="s">
        <v>227</v>
      </c>
      <c r="X80" s="14" t="s">
        <v>227</v>
      </c>
      <c r="Y80" s="28">
        <v>44561</v>
      </c>
      <c r="Z80" s="28">
        <v>44571</v>
      </c>
    </row>
    <row r="81" spans="1:26" x14ac:dyDescent="0.2">
      <c r="A81" s="14" t="s">
        <v>227</v>
      </c>
      <c r="B81" s="14" t="s">
        <v>227</v>
      </c>
      <c r="D81" s="30" t="s">
        <v>859</v>
      </c>
      <c r="E81" s="14" t="s">
        <v>282</v>
      </c>
      <c r="F81" s="14" t="s">
        <v>294</v>
      </c>
      <c r="G81" s="14" t="s">
        <v>295</v>
      </c>
      <c r="H81" s="14" t="s">
        <v>8</v>
      </c>
      <c r="I81" s="14" t="s">
        <v>773</v>
      </c>
      <c r="J81" s="14">
        <v>101</v>
      </c>
      <c r="K81" s="14">
        <v>13008</v>
      </c>
      <c r="L81" s="14">
        <v>245011</v>
      </c>
      <c r="M81" s="14">
        <v>9999</v>
      </c>
      <c r="N81" s="14" t="s">
        <v>1</v>
      </c>
      <c r="O81" s="18">
        <v>625174</v>
      </c>
      <c r="P81" s="18">
        <v>625174</v>
      </c>
      <c r="Q81" s="14" t="s">
        <v>2668</v>
      </c>
      <c r="R81" s="14" t="s">
        <v>2833</v>
      </c>
      <c r="S81" s="14" t="s">
        <v>227</v>
      </c>
      <c r="U81" s="14" t="s">
        <v>2835</v>
      </c>
      <c r="V81" s="14" t="s">
        <v>328</v>
      </c>
      <c r="W81" s="14" t="s">
        <v>227</v>
      </c>
      <c r="X81" s="14" t="s">
        <v>227</v>
      </c>
      <c r="Y81" s="28">
        <v>44592</v>
      </c>
      <c r="Z81" s="28">
        <v>44596</v>
      </c>
    </row>
    <row r="82" spans="1:26" x14ac:dyDescent="0.2">
      <c r="A82" s="14" t="s">
        <v>227</v>
      </c>
      <c r="B82" s="14" t="s">
        <v>227</v>
      </c>
      <c r="D82" s="14" t="s">
        <v>2754</v>
      </c>
      <c r="E82" s="14" t="s">
        <v>282</v>
      </c>
      <c r="F82" s="14" t="s">
        <v>294</v>
      </c>
      <c r="G82" s="14" t="s">
        <v>295</v>
      </c>
      <c r="H82" s="14" t="s">
        <v>8</v>
      </c>
      <c r="I82" s="14" t="s">
        <v>296</v>
      </c>
      <c r="J82" s="14">
        <v>101</v>
      </c>
      <c r="K82" s="14">
        <v>13008</v>
      </c>
      <c r="L82" s="14">
        <v>245011</v>
      </c>
      <c r="M82" s="14">
        <v>9999</v>
      </c>
      <c r="N82" s="14" t="s">
        <v>1</v>
      </c>
      <c r="O82" s="18">
        <v>-561197.89</v>
      </c>
      <c r="P82" s="18">
        <v>-561197.89</v>
      </c>
      <c r="Q82" s="14" t="s">
        <v>2668</v>
      </c>
      <c r="R82" s="14" t="s">
        <v>2833</v>
      </c>
      <c r="S82" s="14" t="s">
        <v>280</v>
      </c>
      <c r="U82" s="14" t="s">
        <v>2836</v>
      </c>
      <c r="V82" s="14" t="s">
        <v>287</v>
      </c>
      <c r="W82" s="14" t="s">
        <v>227</v>
      </c>
      <c r="X82" s="14" t="s">
        <v>227</v>
      </c>
      <c r="Y82" s="28">
        <v>44620</v>
      </c>
      <c r="Z82" s="28">
        <v>44624</v>
      </c>
    </row>
    <row r="83" spans="1:26" x14ac:dyDescent="0.2">
      <c r="A83" s="14" t="s">
        <v>227</v>
      </c>
      <c r="B83" s="14" t="s">
        <v>227</v>
      </c>
      <c r="D83" s="14" t="s">
        <v>863</v>
      </c>
      <c r="E83" s="14" t="s">
        <v>282</v>
      </c>
      <c r="F83" s="14" t="s">
        <v>283</v>
      </c>
      <c r="G83" s="14" t="s">
        <v>313</v>
      </c>
      <c r="H83" s="14" t="s">
        <v>68</v>
      </c>
      <c r="I83" s="14" t="s">
        <v>547</v>
      </c>
      <c r="J83" s="14">
        <v>101</v>
      </c>
      <c r="K83" s="14">
        <v>12022</v>
      </c>
      <c r="L83" s="14">
        <v>245011</v>
      </c>
      <c r="M83" s="14">
        <v>9999</v>
      </c>
      <c r="N83" s="14" t="s">
        <v>1</v>
      </c>
      <c r="O83" s="18">
        <v>-53226.47</v>
      </c>
      <c r="P83" s="18">
        <v>-53226.47</v>
      </c>
      <c r="Q83" s="14" t="s">
        <v>2668</v>
      </c>
      <c r="R83" s="14" t="s">
        <v>2837</v>
      </c>
      <c r="S83" s="14" t="s">
        <v>280</v>
      </c>
      <c r="U83" s="14" t="s">
        <v>2838</v>
      </c>
      <c r="V83" s="14" t="s">
        <v>287</v>
      </c>
      <c r="W83" s="14" t="s">
        <v>227</v>
      </c>
      <c r="X83" s="14" t="s">
        <v>227</v>
      </c>
      <c r="Y83" s="14">
        <v>44651</v>
      </c>
      <c r="Z83" s="14">
        <v>44651</v>
      </c>
    </row>
    <row r="84" spans="1:26" x14ac:dyDescent="0.2">
      <c r="A84" s="14" t="s">
        <v>227</v>
      </c>
      <c r="B84" s="14" t="s">
        <v>227</v>
      </c>
      <c r="D84" s="30" t="s">
        <v>863</v>
      </c>
      <c r="E84" s="14" t="s">
        <v>282</v>
      </c>
      <c r="F84" s="14" t="s">
        <v>294</v>
      </c>
      <c r="G84" s="14" t="s">
        <v>295</v>
      </c>
      <c r="H84" s="14" t="s">
        <v>8</v>
      </c>
      <c r="I84" s="14" t="s">
        <v>296</v>
      </c>
      <c r="J84" s="14">
        <v>101</v>
      </c>
      <c r="K84" s="14">
        <v>13008</v>
      </c>
      <c r="L84" s="14">
        <v>245011</v>
      </c>
      <c r="M84" s="14">
        <v>9999</v>
      </c>
      <c r="N84" s="14" t="s">
        <v>1</v>
      </c>
      <c r="O84" s="18">
        <v>-3311116.11</v>
      </c>
      <c r="P84" s="18">
        <v>-3311116.11</v>
      </c>
      <c r="Q84" s="14" t="s">
        <v>2668</v>
      </c>
      <c r="R84" s="14" t="s">
        <v>2833</v>
      </c>
      <c r="S84" s="14" t="s">
        <v>280</v>
      </c>
      <c r="U84" s="14" t="s">
        <v>2839</v>
      </c>
      <c r="V84" s="14" t="s">
        <v>287</v>
      </c>
      <c r="W84" s="14" t="s">
        <v>227</v>
      </c>
      <c r="X84" s="14" t="s">
        <v>227</v>
      </c>
      <c r="Y84" s="28">
        <v>44649</v>
      </c>
      <c r="Z84" s="28">
        <v>44649</v>
      </c>
    </row>
    <row r="85" spans="1:26" x14ac:dyDescent="0.2">
      <c r="A85" s="14" t="s">
        <v>227</v>
      </c>
      <c r="B85" s="14" t="s">
        <v>227</v>
      </c>
      <c r="D85" s="14" t="s">
        <v>930</v>
      </c>
      <c r="E85" s="14" t="s">
        <v>282</v>
      </c>
      <c r="F85" s="14" t="s">
        <v>283</v>
      </c>
      <c r="G85" s="14" t="s">
        <v>366</v>
      </c>
      <c r="H85" s="14" t="s">
        <v>57</v>
      </c>
      <c r="I85" s="14" t="s">
        <v>461</v>
      </c>
      <c r="J85" s="14">
        <v>101</v>
      </c>
      <c r="K85" s="14">
        <v>12014</v>
      </c>
      <c r="L85" s="14">
        <v>245011</v>
      </c>
      <c r="M85" s="14">
        <v>9999</v>
      </c>
      <c r="N85" s="14" t="s">
        <v>1</v>
      </c>
      <c r="O85" s="18">
        <v>543000</v>
      </c>
      <c r="P85" s="18">
        <v>543000</v>
      </c>
      <c r="Q85" s="14" t="s">
        <v>2668</v>
      </c>
      <c r="R85" s="14" t="s">
        <v>2840</v>
      </c>
      <c r="S85" s="14" t="s">
        <v>280</v>
      </c>
      <c r="U85" s="14" t="s">
        <v>2841</v>
      </c>
      <c r="V85" s="14" t="s">
        <v>287</v>
      </c>
      <c r="W85" s="14" t="s">
        <v>227</v>
      </c>
      <c r="X85" s="14" t="s">
        <v>227</v>
      </c>
      <c r="Y85" s="14">
        <v>44530</v>
      </c>
      <c r="Z85" s="14">
        <v>44536</v>
      </c>
    </row>
    <row r="86" spans="1:26" x14ac:dyDescent="0.2">
      <c r="A86" s="14" t="s">
        <v>227</v>
      </c>
      <c r="B86" s="14" t="s">
        <v>227</v>
      </c>
      <c r="D86" s="14" t="s">
        <v>863</v>
      </c>
      <c r="E86" s="14" t="s">
        <v>282</v>
      </c>
      <c r="F86" s="14" t="s">
        <v>283</v>
      </c>
      <c r="G86" s="14" t="s">
        <v>366</v>
      </c>
      <c r="H86" s="14" t="s">
        <v>57</v>
      </c>
      <c r="I86" s="14" t="s">
        <v>461</v>
      </c>
      <c r="J86" s="14">
        <v>101</v>
      </c>
      <c r="K86" s="14">
        <v>12014</v>
      </c>
      <c r="L86" s="14">
        <v>245011</v>
      </c>
      <c r="M86" s="14">
        <v>9999</v>
      </c>
      <c r="N86" s="14" t="s">
        <v>1</v>
      </c>
      <c r="O86" s="18">
        <v>-543000</v>
      </c>
      <c r="P86" s="18">
        <v>-543000</v>
      </c>
      <c r="Q86" s="14" t="s">
        <v>2668</v>
      </c>
      <c r="R86" s="14" t="s">
        <v>2842</v>
      </c>
      <c r="S86" s="14" t="s">
        <v>227</v>
      </c>
      <c r="U86" s="14" t="s">
        <v>2843</v>
      </c>
      <c r="V86" s="14" t="s">
        <v>328</v>
      </c>
      <c r="W86" s="14" t="s">
        <v>227</v>
      </c>
      <c r="X86" s="14" t="s">
        <v>227</v>
      </c>
      <c r="Y86" s="14">
        <v>44635</v>
      </c>
      <c r="Z86" s="14">
        <v>44635</v>
      </c>
    </row>
    <row r="87" spans="1:26" x14ac:dyDescent="0.2">
      <c r="A87" s="33" t="s">
        <v>227</v>
      </c>
      <c r="B87" s="33" t="s">
        <v>227</v>
      </c>
      <c r="C87" s="34"/>
      <c r="D87" s="33" t="s">
        <v>2844</v>
      </c>
      <c r="E87" s="35" t="s">
        <v>282</v>
      </c>
      <c r="F87" s="14" t="s">
        <v>283</v>
      </c>
      <c r="G87" s="35" t="s">
        <v>313</v>
      </c>
      <c r="H87" s="14" t="s">
        <v>32</v>
      </c>
      <c r="I87" s="33" t="s">
        <v>381</v>
      </c>
      <c r="J87" s="33">
        <v>101</v>
      </c>
      <c r="K87" s="33">
        <v>12015</v>
      </c>
      <c r="L87" s="33">
        <v>245011</v>
      </c>
      <c r="M87" s="33">
        <v>9999</v>
      </c>
      <c r="N87" s="33" t="s">
        <v>1</v>
      </c>
      <c r="O87" s="20">
        <v>-273645</v>
      </c>
      <c r="P87" s="20">
        <v>-273645</v>
      </c>
      <c r="Q87" s="35" t="s">
        <v>2668</v>
      </c>
      <c r="R87" s="33" t="s">
        <v>2845</v>
      </c>
      <c r="S87" s="33" t="s">
        <v>280</v>
      </c>
      <c r="T87" s="33"/>
      <c r="U87" s="33" t="s">
        <v>2846</v>
      </c>
      <c r="V87" s="33" t="s">
        <v>287</v>
      </c>
      <c r="W87" s="33" t="s">
        <v>227</v>
      </c>
      <c r="X87" s="33" t="s">
        <v>227</v>
      </c>
      <c r="Y87" s="36">
        <v>44377</v>
      </c>
      <c r="Z87" s="36">
        <v>44384</v>
      </c>
    </row>
    <row r="88" spans="1:26" x14ac:dyDescent="0.2">
      <c r="A88" s="14" t="s">
        <v>227</v>
      </c>
      <c r="B88" s="14" t="s">
        <v>227</v>
      </c>
      <c r="D88" s="14" t="s">
        <v>2847</v>
      </c>
      <c r="E88" s="14" t="s">
        <v>282</v>
      </c>
      <c r="F88" s="14" t="s">
        <v>283</v>
      </c>
      <c r="G88" s="14" t="s">
        <v>313</v>
      </c>
      <c r="H88" s="14" t="s">
        <v>32</v>
      </c>
      <c r="I88" s="14" t="s">
        <v>381</v>
      </c>
      <c r="J88" s="14">
        <v>101</v>
      </c>
      <c r="K88" s="14">
        <v>12015</v>
      </c>
      <c r="L88" s="14">
        <v>245011</v>
      </c>
      <c r="M88" s="14">
        <v>9999</v>
      </c>
      <c r="N88" s="14" t="s">
        <v>1</v>
      </c>
      <c r="O88" s="18">
        <v>29371.23</v>
      </c>
      <c r="P88" s="18">
        <v>29371.23</v>
      </c>
      <c r="Q88" s="14" t="s">
        <v>2668</v>
      </c>
      <c r="R88" s="14" t="s">
        <v>2848</v>
      </c>
      <c r="S88" s="14" t="s">
        <v>280</v>
      </c>
      <c r="U88" s="14" t="s">
        <v>2849</v>
      </c>
      <c r="V88" s="14" t="s">
        <v>287</v>
      </c>
      <c r="W88" s="14" t="s">
        <v>227</v>
      </c>
      <c r="X88" s="14" t="s">
        <v>227</v>
      </c>
      <c r="Y88" s="28">
        <v>44439</v>
      </c>
      <c r="Z88" s="28">
        <v>44446</v>
      </c>
    </row>
    <row r="89" spans="1:26" x14ac:dyDescent="0.2">
      <c r="A89" s="14" t="s">
        <v>227</v>
      </c>
      <c r="B89" s="14" t="s">
        <v>227</v>
      </c>
      <c r="D89" s="14" t="s">
        <v>2675</v>
      </c>
      <c r="E89" s="14" t="s">
        <v>282</v>
      </c>
      <c r="F89" s="14" t="s">
        <v>283</v>
      </c>
      <c r="G89" s="14" t="s">
        <v>313</v>
      </c>
      <c r="H89" s="14" t="s">
        <v>32</v>
      </c>
      <c r="I89" s="14" t="s">
        <v>381</v>
      </c>
      <c r="J89" s="14">
        <v>101</v>
      </c>
      <c r="K89" s="14">
        <v>12015</v>
      </c>
      <c r="L89" s="14">
        <v>245011</v>
      </c>
      <c r="M89" s="14">
        <v>9999</v>
      </c>
      <c r="N89" s="14" t="s">
        <v>1</v>
      </c>
      <c r="O89" s="18">
        <v>84465.09</v>
      </c>
      <c r="P89" s="18">
        <v>84465.09</v>
      </c>
      <c r="Q89" s="35" t="s">
        <v>2668</v>
      </c>
      <c r="R89" s="14" t="s">
        <v>2848</v>
      </c>
      <c r="S89" s="14" t="s">
        <v>280</v>
      </c>
      <c r="U89" s="14" t="s">
        <v>2850</v>
      </c>
      <c r="V89" s="14" t="s">
        <v>287</v>
      </c>
      <c r="W89" s="14" t="s">
        <v>227</v>
      </c>
      <c r="X89" s="14" t="s">
        <v>227</v>
      </c>
      <c r="Y89" s="28">
        <v>44500</v>
      </c>
      <c r="Z89" s="28">
        <v>44503</v>
      </c>
    </row>
    <row r="90" spans="1:26" x14ac:dyDescent="0.2">
      <c r="A90" s="14" t="s">
        <v>227</v>
      </c>
      <c r="B90" s="14" t="s">
        <v>227</v>
      </c>
      <c r="D90" s="30" t="s">
        <v>930</v>
      </c>
      <c r="E90" s="14" t="s">
        <v>282</v>
      </c>
      <c r="F90" s="14" t="s">
        <v>283</v>
      </c>
      <c r="G90" s="14" t="s">
        <v>313</v>
      </c>
      <c r="H90" s="14" t="s">
        <v>32</v>
      </c>
      <c r="I90" s="14" t="s">
        <v>381</v>
      </c>
      <c r="J90" s="14">
        <v>101</v>
      </c>
      <c r="K90" s="14">
        <v>12015</v>
      </c>
      <c r="L90" s="14">
        <v>245011</v>
      </c>
      <c r="M90" s="14">
        <v>9999</v>
      </c>
      <c r="N90" s="14" t="s">
        <v>1</v>
      </c>
      <c r="O90" s="18">
        <v>16783.560000000001</v>
      </c>
      <c r="P90" s="18">
        <v>16783.560000000001</v>
      </c>
      <c r="Q90" s="14" t="s">
        <v>2668</v>
      </c>
      <c r="R90" s="14" t="s">
        <v>2848</v>
      </c>
      <c r="S90" s="14" t="s">
        <v>280</v>
      </c>
      <c r="U90" s="14" t="s">
        <v>2851</v>
      </c>
      <c r="V90" s="14" t="s">
        <v>287</v>
      </c>
      <c r="W90" s="14" t="s">
        <v>227</v>
      </c>
      <c r="X90" s="14" t="s">
        <v>227</v>
      </c>
      <c r="Y90" s="28">
        <v>44530</v>
      </c>
      <c r="Z90" s="28">
        <v>44536</v>
      </c>
    </row>
    <row r="91" spans="1:26" x14ac:dyDescent="0.2">
      <c r="A91" s="14" t="s">
        <v>227</v>
      </c>
      <c r="B91" s="14" t="s">
        <v>227</v>
      </c>
      <c r="D91" s="14" t="s">
        <v>934</v>
      </c>
      <c r="E91" s="14" t="s">
        <v>282</v>
      </c>
      <c r="F91" s="14" t="s">
        <v>283</v>
      </c>
      <c r="G91" s="14" t="s">
        <v>313</v>
      </c>
      <c r="H91" s="14" t="s">
        <v>32</v>
      </c>
      <c r="I91" s="14" t="s">
        <v>381</v>
      </c>
      <c r="J91" s="14">
        <v>101</v>
      </c>
      <c r="K91" s="14">
        <v>12015</v>
      </c>
      <c r="L91" s="14">
        <v>245011</v>
      </c>
      <c r="M91" s="14">
        <v>9999</v>
      </c>
      <c r="N91" s="14" t="s">
        <v>1</v>
      </c>
      <c r="O91" s="18">
        <v>42141.33</v>
      </c>
      <c r="P91" s="18">
        <v>42141.33</v>
      </c>
      <c r="Q91" s="14" t="s">
        <v>2668</v>
      </c>
      <c r="R91" s="14" t="s">
        <v>2852</v>
      </c>
      <c r="S91" s="14" t="s">
        <v>280</v>
      </c>
      <c r="U91" s="14" t="s">
        <v>2853</v>
      </c>
      <c r="V91" s="14" t="s">
        <v>287</v>
      </c>
      <c r="W91" s="14" t="s">
        <v>227</v>
      </c>
      <c r="X91" s="14" t="s">
        <v>227</v>
      </c>
      <c r="Y91" s="14">
        <v>44561</v>
      </c>
      <c r="Z91" s="14">
        <v>44571</v>
      </c>
    </row>
    <row r="92" spans="1:26" x14ac:dyDescent="0.2">
      <c r="A92" s="31" t="s">
        <v>227</v>
      </c>
      <c r="B92" s="31" t="s">
        <v>227</v>
      </c>
      <c r="C92" s="31"/>
      <c r="D92" s="31" t="s">
        <v>859</v>
      </c>
      <c r="E92" s="31" t="s">
        <v>282</v>
      </c>
      <c r="F92" s="31" t="s">
        <v>283</v>
      </c>
      <c r="G92" s="31" t="s">
        <v>313</v>
      </c>
      <c r="H92" s="31" t="s">
        <v>32</v>
      </c>
      <c r="I92" s="31" t="s">
        <v>381</v>
      </c>
      <c r="J92" s="31">
        <v>101</v>
      </c>
      <c r="K92" s="31">
        <v>12015</v>
      </c>
      <c r="L92" s="31">
        <v>245011</v>
      </c>
      <c r="M92" s="31">
        <v>9999</v>
      </c>
      <c r="N92" s="31" t="s">
        <v>1</v>
      </c>
      <c r="O92" s="32">
        <v>25540.2</v>
      </c>
      <c r="P92" s="32">
        <v>25540.2</v>
      </c>
      <c r="Q92" s="31" t="s">
        <v>2668</v>
      </c>
      <c r="R92" s="31" t="s">
        <v>2848</v>
      </c>
      <c r="S92" s="31" t="s">
        <v>280</v>
      </c>
      <c r="T92" s="31"/>
      <c r="U92" s="31" t="s">
        <v>2854</v>
      </c>
      <c r="V92" s="31" t="s">
        <v>287</v>
      </c>
      <c r="W92" s="31" t="s">
        <v>227</v>
      </c>
      <c r="X92" s="31" t="s">
        <v>227</v>
      </c>
      <c r="Y92" s="31">
        <v>44592</v>
      </c>
      <c r="Z92" s="31">
        <v>44596</v>
      </c>
    </row>
    <row r="93" spans="1:26" x14ac:dyDescent="0.2">
      <c r="A93" s="14" t="s">
        <v>227</v>
      </c>
      <c r="B93" s="14" t="s">
        <v>227</v>
      </c>
      <c r="D93" s="14" t="s">
        <v>2754</v>
      </c>
      <c r="E93" s="14" t="s">
        <v>282</v>
      </c>
      <c r="F93" s="14" t="s">
        <v>283</v>
      </c>
      <c r="G93" s="14" t="s">
        <v>313</v>
      </c>
      <c r="H93" s="14" t="s">
        <v>32</v>
      </c>
      <c r="I93" s="14" t="s">
        <v>381</v>
      </c>
      <c r="J93" s="14">
        <v>101</v>
      </c>
      <c r="K93" s="14">
        <v>12015</v>
      </c>
      <c r="L93" s="14">
        <v>245011</v>
      </c>
      <c r="M93" s="14">
        <v>9999</v>
      </c>
      <c r="N93" s="14" t="s">
        <v>1</v>
      </c>
      <c r="O93" s="18">
        <v>16053.84</v>
      </c>
      <c r="P93" s="18">
        <v>16053.84</v>
      </c>
      <c r="Q93" s="14" t="s">
        <v>2668</v>
      </c>
      <c r="R93" s="14" t="s">
        <v>2848</v>
      </c>
      <c r="S93" s="14" t="s">
        <v>280</v>
      </c>
      <c r="U93" s="14" t="s">
        <v>2855</v>
      </c>
      <c r="V93" s="14" t="s">
        <v>287</v>
      </c>
      <c r="W93" s="14" t="s">
        <v>227</v>
      </c>
      <c r="X93" s="14" t="s">
        <v>227</v>
      </c>
      <c r="Y93" s="14">
        <v>44620</v>
      </c>
      <c r="Z93" s="14">
        <v>44623</v>
      </c>
    </row>
    <row r="94" spans="1:26" x14ac:dyDescent="0.2">
      <c r="A94" s="14" t="s">
        <v>227</v>
      </c>
      <c r="B94" s="14" t="s">
        <v>227</v>
      </c>
      <c r="D94" s="30" t="s">
        <v>863</v>
      </c>
      <c r="E94" s="14" t="s">
        <v>282</v>
      </c>
      <c r="F94" s="14" t="s">
        <v>283</v>
      </c>
      <c r="G94" s="14" t="s">
        <v>313</v>
      </c>
      <c r="H94" s="14" t="s">
        <v>32</v>
      </c>
      <c r="I94" s="14" t="s">
        <v>381</v>
      </c>
      <c r="J94" s="14">
        <v>101</v>
      </c>
      <c r="K94" s="14">
        <v>12015</v>
      </c>
      <c r="L94" s="14">
        <v>245011</v>
      </c>
      <c r="M94" s="14">
        <v>9999</v>
      </c>
      <c r="N94" s="14" t="s">
        <v>1</v>
      </c>
      <c r="O94" s="18">
        <v>59289.75</v>
      </c>
      <c r="P94" s="18">
        <v>59289.75</v>
      </c>
      <c r="Q94" s="14" t="s">
        <v>2668</v>
      </c>
      <c r="R94" s="14" t="s">
        <v>2848</v>
      </c>
      <c r="S94" s="14" t="s">
        <v>280</v>
      </c>
      <c r="U94" s="14" t="s">
        <v>2856</v>
      </c>
      <c r="V94" s="14" t="s">
        <v>287</v>
      </c>
      <c r="W94" s="14" t="s">
        <v>227</v>
      </c>
      <c r="X94" s="14" t="s">
        <v>227</v>
      </c>
      <c r="Y94" s="28">
        <v>44651</v>
      </c>
      <c r="Z94" s="28">
        <v>44657</v>
      </c>
    </row>
    <row r="95" spans="1:26" x14ac:dyDescent="0.2">
      <c r="A95" s="14" t="s">
        <v>227</v>
      </c>
      <c r="B95" s="14" t="s">
        <v>227</v>
      </c>
      <c r="D95" s="14" t="s">
        <v>859</v>
      </c>
      <c r="E95" s="14" t="s">
        <v>282</v>
      </c>
      <c r="F95" s="14" t="s">
        <v>294</v>
      </c>
      <c r="G95" s="14" t="s">
        <v>305</v>
      </c>
      <c r="H95" s="14" t="s">
        <v>37</v>
      </c>
      <c r="I95" s="14" t="s">
        <v>2857</v>
      </c>
      <c r="J95" s="14">
        <v>101</v>
      </c>
      <c r="K95" s="14">
        <v>13001</v>
      </c>
      <c r="L95" s="14">
        <v>245011</v>
      </c>
      <c r="M95" s="14">
        <v>9999</v>
      </c>
      <c r="N95" s="14" t="s">
        <v>1</v>
      </c>
      <c r="O95" s="18">
        <v>215927.78</v>
      </c>
      <c r="P95" s="18">
        <v>215927.78</v>
      </c>
      <c r="Q95" s="14" t="s">
        <v>2668</v>
      </c>
      <c r="R95" s="14" t="s">
        <v>2858</v>
      </c>
      <c r="S95" s="14" t="s">
        <v>227</v>
      </c>
      <c r="U95" s="14" t="s">
        <v>2859</v>
      </c>
      <c r="V95" s="14" t="s">
        <v>328</v>
      </c>
      <c r="W95" s="14" t="s">
        <v>227</v>
      </c>
      <c r="X95" s="14" t="s">
        <v>227</v>
      </c>
      <c r="Y95" s="28">
        <v>44592</v>
      </c>
      <c r="Z95" s="28">
        <v>44596</v>
      </c>
    </row>
    <row r="96" spans="1:26" x14ac:dyDescent="0.2">
      <c r="A96" s="35" t="s">
        <v>227</v>
      </c>
      <c r="B96" s="35" t="s">
        <v>227</v>
      </c>
      <c r="C96" s="37"/>
      <c r="D96" s="35" t="s">
        <v>2754</v>
      </c>
      <c r="E96" s="35" t="s">
        <v>282</v>
      </c>
      <c r="F96" s="35" t="s">
        <v>294</v>
      </c>
      <c r="G96" s="35" t="s">
        <v>305</v>
      </c>
      <c r="H96" s="14" t="s">
        <v>37</v>
      </c>
      <c r="I96" s="35" t="s">
        <v>438</v>
      </c>
      <c r="J96" s="35">
        <v>101</v>
      </c>
      <c r="K96" s="35">
        <v>13001</v>
      </c>
      <c r="L96" s="35">
        <v>245011</v>
      </c>
      <c r="M96" s="35">
        <v>9999</v>
      </c>
      <c r="N96" s="35" t="s">
        <v>1</v>
      </c>
      <c r="O96" s="20">
        <v>203868</v>
      </c>
      <c r="P96" s="20">
        <v>203868</v>
      </c>
      <c r="Q96" s="35" t="s">
        <v>2668</v>
      </c>
      <c r="R96" s="35" t="s">
        <v>2860</v>
      </c>
      <c r="S96" s="35" t="s">
        <v>280</v>
      </c>
      <c r="T96" s="35"/>
      <c r="U96" s="35" t="s">
        <v>2861</v>
      </c>
      <c r="V96" s="35" t="s">
        <v>287</v>
      </c>
      <c r="W96" s="35" t="s">
        <v>227</v>
      </c>
      <c r="X96" s="35" t="s">
        <v>227</v>
      </c>
      <c r="Y96" s="38">
        <v>44620</v>
      </c>
      <c r="Z96" s="38">
        <v>44624</v>
      </c>
    </row>
    <row r="97" spans="1:26" x14ac:dyDescent="0.2">
      <c r="A97" s="14" t="s">
        <v>227</v>
      </c>
      <c r="B97" s="14" t="s">
        <v>227</v>
      </c>
      <c r="D97" s="14" t="s">
        <v>863</v>
      </c>
      <c r="E97" s="14" t="s">
        <v>282</v>
      </c>
      <c r="F97" s="14" t="s">
        <v>283</v>
      </c>
      <c r="G97" s="14" t="s">
        <v>313</v>
      </c>
      <c r="H97" s="14" t="s">
        <v>32</v>
      </c>
      <c r="I97" s="14" t="s">
        <v>1951</v>
      </c>
      <c r="J97" s="14">
        <v>101</v>
      </c>
      <c r="K97" s="14">
        <v>12015</v>
      </c>
      <c r="L97" s="14">
        <v>245011</v>
      </c>
      <c r="M97" s="14">
        <v>9999</v>
      </c>
      <c r="N97" s="14" t="s">
        <v>1</v>
      </c>
      <c r="O97" s="18">
        <v>-46380.800000000003</v>
      </c>
      <c r="P97" s="18">
        <v>-46380.800000000003</v>
      </c>
      <c r="Q97" s="14" t="s">
        <v>2668</v>
      </c>
      <c r="R97" s="14" t="s">
        <v>2862</v>
      </c>
      <c r="S97" s="14" t="s">
        <v>227</v>
      </c>
      <c r="U97" s="14" t="s">
        <v>2863</v>
      </c>
      <c r="V97" s="14" t="s">
        <v>328</v>
      </c>
      <c r="W97" s="14" t="s">
        <v>227</v>
      </c>
      <c r="X97" s="14" t="s">
        <v>227</v>
      </c>
      <c r="Y97" s="14">
        <v>44651</v>
      </c>
      <c r="Z97" s="14">
        <v>44655</v>
      </c>
    </row>
    <row r="98" spans="1:26" x14ac:dyDescent="0.2">
      <c r="A98" s="14" t="s">
        <v>227</v>
      </c>
      <c r="B98" s="14" t="s">
        <v>227</v>
      </c>
      <c r="D98" s="30" t="s">
        <v>2675</v>
      </c>
      <c r="E98" s="14" t="s">
        <v>282</v>
      </c>
      <c r="F98" s="14" t="s">
        <v>283</v>
      </c>
      <c r="G98" s="14" t="s">
        <v>366</v>
      </c>
      <c r="H98" s="14" t="s">
        <v>35</v>
      </c>
      <c r="I98" s="14" t="s">
        <v>490</v>
      </c>
      <c r="J98" s="14">
        <v>101</v>
      </c>
      <c r="K98" s="14">
        <v>11010</v>
      </c>
      <c r="L98" s="14">
        <v>245011</v>
      </c>
      <c r="M98" s="14">
        <v>9999</v>
      </c>
      <c r="N98" s="14" t="s">
        <v>1</v>
      </c>
      <c r="O98" s="18">
        <v>1535.8</v>
      </c>
      <c r="P98" s="18">
        <v>1535.8</v>
      </c>
      <c r="Q98" s="14" t="s">
        <v>2668</v>
      </c>
      <c r="R98" s="14" t="s">
        <v>2864</v>
      </c>
      <c r="S98" s="14" t="s">
        <v>280</v>
      </c>
      <c r="U98" s="14" t="s">
        <v>2865</v>
      </c>
      <c r="V98" s="14" t="s">
        <v>315</v>
      </c>
      <c r="W98" s="14" t="s">
        <v>227</v>
      </c>
      <c r="X98" s="14" t="s">
        <v>227</v>
      </c>
      <c r="Y98" s="28">
        <v>44500</v>
      </c>
      <c r="Z98" s="28">
        <v>44503</v>
      </c>
    </row>
    <row r="99" spans="1:26" x14ac:dyDescent="0.2">
      <c r="A99" s="14" t="s">
        <v>227</v>
      </c>
      <c r="B99" s="14" t="s">
        <v>227</v>
      </c>
      <c r="D99" s="14" t="s">
        <v>863</v>
      </c>
      <c r="E99" s="14" t="s">
        <v>282</v>
      </c>
      <c r="F99" s="14" t="s">
        <v>283</v>
      </c>
      <c r="G99" s="14" t="s">
        <v>366</v>
      </c>
      <c r="H99" s="14" t="s">
        <v>35</v>
      </c>
      <c r="I99" s="14" t="s">
        <v>490</v>
      </c>
      <c r="J99" s="14">
        <v>101</v>
      </c>
      <c r="K99" s="14">
        <v>11010</v>
      </c>
      <c r="L99" s="14">
        <v>245011</v>
      </c>
      <c r="M99" s="14">
        <v>9999</v>
      </c>
      <c r="N99" s="14" t="s">
        <v>1</v>
      </c>
      <c r="O99" s="18">
        <v>-223197.83</v>
      </c>
      <c r="P99" s="18">
        <v>-223197.83</v>
      </c>
      <c r="Q99" s="14" t="s">
        <v>2668</v>
      </c>
      <c r="R99" s="14" t="s">
        <v>2866</v>
      </c>
      <c r="S99" s="14" t="s">
        <v>280</v>
      </c>
      <c r="U99" s="14" t="s">
        <v>2867</v>
      </c>
      <c r="V99" s="14" t="s">
        <v>287</v>
      </c>
      <c r="W99" s="14" t="s">
        <v>227</v>
      </c>
      <c r="X99" s="14" t="s">
        <v>227</v>
      </c>
      <c r="Y99" s="14">
        <v>44651</v>
      </c>
      <c r="Z99" s="14">
        <v>44657</v>
      </c>
    </row>
    <row r="100" spans="1:26" x14ac:dyDescent="0.2">
      <c r="A100" s="14" t="s">
        <v>227</v>
      </c>
      <c r="B100" s="14" t="s">
        <v>227</v>
      </c>
      <c r="D100" s="30" t="s">
        <v>863</v>
      </c>
      <c r="E100" s="14" t="s">
        <v>282</v>
      </c>
      <c r="F100" s="14" t="s">
        <v>294</v>
      </c>
      <c r="G100" s="14" t="s">
        <v>305</v>
      </c>
      <c r="H100" s="14" t="s">
        <v>37</v>
      </c>
      <c r="I100" s="14" t="s">
        <v>1638</v>
      </c>
      <c r="J100" s="14">
        <v>101</v>
      </c>
      <c r="K100" s="14">
        <v>13001</v>
      </c>
      <c r="L100" s="14">
        <v>245011</v>
      </c>
      <c r="M100" s="14">
        <v>9999</v>
      </c>
      <c r="N100" s="14" t="s">
        <v>1</v>
      </c>
      <c r="O100" s="18">
        <v>25150.68</v>
      </c>
      <c r="P100" s="18">
        <v>25150.68</v>
      </c>
      <c r="Q100" s="14" t="s">
        <v>2668</v>
      </c>
      <c r="R100" s="14" t="s">
        <v>2868</v>
      </c>
      <c r="S100" s="14" t="s">
        <v>227</v>
      </c>
      <c r="U100" s="14" t="s">
        <v>2869</v>
      </c>
      <c r="V100" s="14" t="s">
        <v>328</v>
      </c>
      <c r="W100" s="14" t="s">
        <v>227</v>
      </c>
      <c r="X100" s="14" t="s">
        <v>227</v>
      </c>
      <c r="Y100" s="28">
        <v>44651</v>
      </c>
      <c r="Z100" s="28">
        <v>44656</v>
      </c>
    </row>
    <row r="101" spans="1:26" x14ac:dyDescent="0.2">
      <c r="A101" s="14" t="s">
        <v>227</v>
      </c>
      <c r="B101" s="14" t="s">
        <v>227</v>
      </c>
      <c r="D101" s="14" t="s">
        <v>759</v>
      </c>
      <c r="E101" s="14" t="s">
        <v>282</v>
      </c>
      <c r="F101" s="14" t="s">
        <v>283</v>
      </c>
      <c r="G101" s="14" t="s">
        <v>313</v>
      </c>
      <c r="H101" s="14" t="s">
        <v>32</v>
      </c>
      <c r="I101" s="14" t="s">
        <v>1951</v>
      </c>
      <c r="J101" s="14">
        <v>101</v>
      </c>
      <c r="K101" s="14">
        <v>12015</v>
      </c>
      <c r="L101" s="14">
        <v>245011</v>
      </c>
      <c r="M101" s="14">
        <v>9999</v>
      </c>
      <c r="N101" s="14" t="s">
        <v>1</v>
      </c>
      <c r="O101" s="18">
        <v>46380.800000000003</v>
      </c>
      <c r="P101" s="18">
        <v>46380.800000000003</v>
      </c>
      <c r="Q101" s="14" t="s">
        <v>2668</v>
      </c>
      <c r="R101" s="14" t="s">
        <v>2870</v>
      </c>
      <c r="S101" s="14" t="s">
        <v>227</v>
      </c>
      <c r="U101" s="14" t="s">
        <v>2871</v>
      </c>
      <c r="V101" s="14" t="s">
        <v>328</v>
      </c>
      <c r="W101" s="14" t="s">
        <v>227</v>
      </c>
      <c r="X101" s="14" t="s">
        <v>227</v>
      </c>
      <c r="Y101" s="28">
        <v>44673</v>
      </c>
      <c r="Z101" s="28">
        <v>44676</v>
      </c>
    </row>
    <row r="102" spans="1:26" x14ac:dyDescent="0.2">
      <c r="A102" s="14" t="s">
        <v>227</v>
      </c>
      <c r="B102" s="14" t="s">
        <v>227</v>
      </c>
      <c r="D102" s="30" t="s">
        <v>759</v>
      </c>
      <c r="E102" s="14" t="s">
        <v>282</v>
      </c>
      <c r="F102" s="14" t="s">
        <v>283</v>
      </c>
      <c r="G102" s="14" t="s">
        <v>366</v>
      </c>
      <c r="H102" s="14" t="s">
        <v>35</v>
      </c>
      <c r="I102" s="14" t="s">
        <v>490</v>
      </c>
      <c r="J102" s="14">
        <v>101</v>
      </c>
      <c r="K102" s="14">
        <v>11010</v>
      </c>
      <c r="L102" s="14">
        <v>245011</v>
      </c>
      <c r="M102" s="14">
        <v>9999</v>
      </c>
      <c r="N102" s="14" t="s">
        <v>1</v>
      </c>
      <c r="O102" s="18">
        <v>223197.83</v>
      </c>
      <c r="P102" s="18">
        <v>223197.83</v>
      </c>
      <c r="Q102" s="14" t="s">
        <v>2668</v>
      </c>
      <c r="R102" s="14" t="s">
        <v>2872</v>
      </c>
      <c r="S102" s="14" t="s">
        <v>280</v>
      </c>
      <c r="U102" s="14" t="s">
        <v>2873</v>
      </c>
      <c r="V102" s="14" t="s">
        <v>287</v>
      </c>
      <c r="W102" s="14" t="s">
        <v>227</v>
      </c>
      <c r="X102" s="14" t="s">
        <v>227</v>
      </c>
      <c r="Y102" s="28">
        <v>44681</v>
      </c>
      <c r="Z102" s="28">
        <v>44685</v>
      </c>
    </row>
    <row r="103" spans="1:26" x14ac:dyDescent="0.2">
      <c r="A103" s="14" t="s">
        <v>227</v>
      </c>
      <c r="B103" s="14" t="s">
        <v>227</v>
      </c>
      <c r="D103" s="14" t="s">
        <v>759</v>
      </c>
      <c r="E103" s="14" t="s">
        <v>282</v>
      </c>
      <c r="F103" s="14" t="s">
        <v>294</v>
      </c>
      <c r="G103" s="14" t="s">
        <v>305</v>
      </c>
      <c r="H103" s="14" t="s">
        <v>37</v>
      </c>
      <c r="I103" s="14" t="s">
        <v>2857</v>
      </c>
      <c r="J103" s="14">
        <v>101</v>
      </c>
      <c r="K103" s="14">
        <v>13001</v>
      </c>
      <c r="L103" s="14">
        <v>245011</v>
      </c>
      <c r="M103" s="14">
        <v>9999</v>
      </c>
      <c r="N103" s="14" t="s">
        <v>1</v>
      </c>
      <c r="O103" s="18">
        <v>-215927.78</v>
      </c>
      <c r="P103" s="18">
        <v>-215927.78</v>
      </c>
      <c r="Q103" s="14" t="s">
        <v>2668</v>
      </c>
      <c r="R103" s="14" t="s">
        <v>2874</v>
      </c>
      <c r="S103" s="14" t="s">
        <v>227</v>
      </c>
      <c r="U103" s="14" t="s">
        <v>2875</v>
      </c>
      <c r="V103" s="14" t="s">
        <v>328</v>
      </c>
      <c r="W103" s="14" t="s">
        <v>227</v>
      </c>
      <c r="X103" s="14" t="s">
        <v>227</v>
      </c>
      <c r="Y103" s="28">
        <v>44681</v>
      </c>
      <c r="Z103" s="28">
        <v>44686</v>
      </c>
    </row>
    <row r="104" spans="1:26" x14ac:dyDescent="0.2">
      <c r="A104" s="14" t="s">
        <v>227</v>
      </c>
      <c r="B104" s="14" t="s">
        <v>227</v>
      </c>
      <c r="D104" s="14" t="s">
        <v>759</v>
      </c>
      <c r="E104" s="14" t="s">
        <v>282</v>
      </c>
      <c r="F104" s="14" t="s">
        <v>294</v>
      </c>
      <c r="G104" s="14" t="s">
        <v>305</v>
      </c>
      <c r="H104" s="14" t="s">
        <v>37</v>
      </c>
      <c r="I104" s="14" t="s">
        <v>1638</v>
      </c>
      <c r="J104" s="14">
        <v>101</v>
      </c>
      <c r="K104" s="14">
        <v>13001</v>
      </c>
      <c r="L104" s="14">
        <v>245011</v>
      </c>
      <c r="M104" s="14">
        <v>9999</v>
      </c>
      <c r="N104" s="14" t="s">
        <v>1</v>
      </c>
      <c r="O104" s="18">
        <v>-25150.68</v>
      </c>
      <c r="P104" s="18">
        <v>-25150.68</v>
      </c>
      <c r="Q104" s="14" t="s">
        <v>2668</v>
      </c>
      <c r="R104" s="14" t="s">
        <v>2876</v>
      </c>
      <c r="S104" s="14" t="s">
        <v>227</v>
      </c>
      <c r="U104" s="14" t="s">
        <v>2877</v>
      </c>
      <c r="V104" s="14" t="s">
        <v>328</v>
      </c>
      <c r="W104" s="14" t="s">
        <v>227</v>
      </c>
      <c r="X104" s="14" t="s">
        <v>227</v>
      </c>
      <c r="Y104" s="28">
        <v>44681</v>
      </c>
      <c r="Z104" s="28">
        <v>44686</v>
      </c>
    </row>
    <row r="105" spans="1:26" x14ac:dyDescent="0.2">
      <c r="A105" s="33" t="s">
        <v>227</v>
      </c>
      <c r="B105" s="33" t="s">
        <v>227</v>
      </c>
      <c r="C105" s="34"/>
      <c r="D105" s="33" t="s">
        <v>759</v>
      </c>
      <c r="E105" s="35" t="s">
        <v>282</v>
      </c>
      <c r="F105" s="14" t="s">
        <v>283</v>
      </c>
      <c r="G105" s="35" t="s">
        <v>366</v>
      </c>
      <c r="H105" s="14" t="s">
        <v>35</v>
      </c>
      <c r="I105" s="33" t="s">
        <v>490</v>
      </c>
      <c r="J105" s="33">
        <v>101</v>
      </c>
      <c r="K105" s="33">
        <v>11010</v>
      </c>
      <c r="L105" s="33">
        <v>245011</v>
      </c>
      <c r="M105" s="33">
        <v>9999</v>
      </c>
      <c r="N105" s="33" t="s">
        <v>1</v>
      </c>
      <c r="O105" s="20">
        <v>-1535.8</v>
      </c>
      <c r="P105" s="20">
        <v>-1535.8</v>
      </c>
      <c r="Q105" s="35" t="s">
        <v>2668</v>
      </c>
      <c r="R105" s="33" t="s">
        <v>2878</v>
      </c>
      <c r="S105" s="33" t="s">
        <v>280</v>
      </c>
      <c r="T105" s="33"/>
      <c r="U105" s="33" t="s">
        <v>2879</v>
      </c>
      <c r="V105" s="33" t="s">
        <v>315</v>
      </c>
      <c r="W105" s="33" t="s">
        <v>227</v>
      </c>
      <c r="X105" s="33" t="s">
        <v>227</v>
      </c>
      <c r="Y105" s="36">
        <v>44674</v>
      </c>
      <c r="Z105" s="36">
        <v>44676</v>
      </c>
    </row>
    <row r="106" spans="1:26" x14ac:dyDescent="0.2">
      <c r="A106" s="33" t="s">
        <v>227</v>
      </c>
      <c r="B106" s="33" t="s">
        <v>227</v>
      </c>
      <c r="C106" s="34"/>
      <c r="D106" s="33" t="s">
        <v>759</v>
      </c>
      <c r="E106" s="35" t="s">
        <v>282</v>
      </c>
      <c r="F106" s="14" t="s">
        <v>294</v>
      </c>
      <c r="G106" s="35" t="s">
        <v>305</v>
      </c>
      <c r="H106" s="14" t="s">
        <v>37</v>
      </c>
      <c r="I106" s="33" t="s">
        <v>438</v>
      </c>
      <c r="J106" s="33">
        <v>101</v>
      </c>
      <c r="K106" s="33">
        <v>13001</v>
      </c>
      <c r="L106" s="33">
        <v>245011</v>
      </c>
      <c r="M106" s="33">
        <v>9999</v>
      </c>
      <c r="N106" s="33" t="s">
        <v>1</v>
      </c>
      <c r="O106" s="20">
        <v>-203868</v>
      </c>
      <c r="P106" s="20">
        <v>-203868</v>
      </c>
      <c r="Q106" s="35" t="s">
        <v>2668</v>
      </c>
      <c r="R106" s="33" t="s">
        <v>2880</v>
      </c>
      <c r="S106" s="33" t="s">
        <v>280</v>
      </c>
      <c r="T106" s="33"/>
      <c r="U106" s="33" t="s">
        <v>2881</v>
      </c>
      <c r="V106" s="33" t="s">
        <v>287</v>
      </c>
      <c r="W106" s="33" t="s">
        <v>227</v>
      </c>
      <c r="X106" s="33" t="s">
        <v>227</v>
      </c>
      <c r="Y106" s="36">
        <v>44652</v>
      </c>
      <c r="Z106" s="36">
        <v>44662</v>
      </c>
    </row>
    <row r="107" spans="1:26" x14ac:dyDescent="0.2">
      <c r="A107" s="14" t="s">
        <v>227</v>
      </c>
      <c r="B107" s="14" t="s">
        <v>227</v>
      </c>
      <c r="D107" s="14" t="s">
        <v>2882</v>
      </c>
      <c r="E107" s="14" t="s">
        <v>282</v>
      </c>
      <c r="F107" s="14" t="s">
        <v>283</v>
      </c>
      <c r="G107" s="14" t="s">
        <v>313</v>
      </c>
      <c r="H107" s="14" t="s">
        <v>23</v>
      </c>
      <c r="I107" s="14" t="s">
        <v>345</v>
      </c>
      <c r="J107" s="14">
        <v>101</v>
      </c>
      <c r="K107" s="14">
        <v>11003</v>
      </c>
      <c r="L107" s="14">
        <v>245011</v>
      </c>
      <c r="M107" s="14">
        <v>9999</v>
      </c>
      <c r="N107" s="14" t="s">
        <v>1</v>
      </c>
      <c r="O107" s="18">
        <v>3467.88</v>
      </c>
      <c r="P107" s="18">
        <v>3467.88</v>
      </c>
      <c r="Q107" s="14" t="s">
        <v>2668</v>
      </c>
      <c r="R107" s="14" t="s">
        <v>2883</v>
      </c>
      <c r="S107" s="14" t="s">
        <v>227</v>
      </c>
      <c r="U107" s="14" t="s">
        <v>2884</v>
      </c>
      <c r="V107" s="14" t="s">
        <v>328</v>
      </c>
      <c r="W107" s="14" t="s">
        <v>227</v>
      </c>
      <c r="X107" s="14" t="s">
        <v>227</v>
      </c>
      <c r="Y107" s="28">
        <v>44469</v>
      </c>
      <c r="Z107" s="28">
        <v>44475</v>
      </c>
    </row>
    <row r="108" spans="1:26" x14ac:dyDescent="0.2">
      <c r="A108" s="14" t="s">
        <v>227</v>
      </c>
      <c r="B108" s="14" t="s">
        <v>227</v>
      </c>
      <c r="D108" s="30" t="s">
        <v>859</v>
      </c>
      <c r="E108" s="14" t="s">
        <v>282</v>
      </c>
      <c r="F108" s="14" t="s">
        <v>283</v>
      </c>
      <c r="G108" s="14" t="s">
        <v>313</v>
      </c>
      <c r="H108" s="14" t="s">
        <v>23</v>
      </c>
      <c r="I108" s="14" t="s">
        <v>345</v>
      </c>
      <c r="J108" s="14">
        <v>101</v>
      </c>
      <c r="K108" s="14">
        <v>11003</v>
      </c>
      <c r="L108" s="14">
        <v>245011</v>
      </c>
      <c r="M108" s="14">
        <v>9999</v>
      </c>
      <c r="N108" s="14" t="s">
        <v>1</v>
      </c>
      <c r="O108" s="18">
        <v>-1697.88</v>
      </c>
      <c r="P108" s="18">
        <v>-1697.88</v>
      </c>
      <c r="Q108" s="14" t="s">
        <v>2668</v>
      </c>
      <c r="R108" s="14" t="s">
        <v>2885</v>
      </c>
      <c r="S108" s="14" t="s">
        <v>227</v>
      </c>
      <c r="U108" s="14" t="s">
        <v>2886</v>
      </c>
      <c r="V108" s="14" t="s">
        <v>328</v>
      </c>
      <c r="W108" s="14" t="s">
        <v>2887</v>
      </c>
      <c r="X108" s="14" t="s">
        <v>227</v>
      </c>
      <c r="Y108" s="28">
        <v>44592</v>
      </c>
      <c r="Z108" s="28">
        <v>44592</v>
      </c>
    </row>
    <row r="109" spans="1:26" x14ac:dyDescent="0.2">
      <c r="A109" s="14" t="s">
        <v>227</v>
      </c>
      <c r="B109" s="14" t="s">
        <v>227</v>
      </c>
      <c r="D109" s="30" t="s">
        <v>759</v>
      </c>
      <c r="E109" s="14" t="s">
        <v>282</v>
      </c>
      <c r="F109" s="14" t="s">
        <v>283</v>
      </c>
      <c r="G109" s="14" t="s">
        <v>313</v>
      </c>
      <c r="H109" s="14" t="s">
        <v>23</v>
      </c>
      <c r="I109" s="14" t="s">
        <v>345</v>
      </c>
      <c r="J109" s="14">
        <v>101</v>
      </c>
      <c r="K109" s="14">
        <v>11003</v>
      </c>
      <c r="L109" s="14">
        <v>245011</v>
      </c>
      <c r="M109" s="14">
        <v>9999</v>
      </c>
      <c r="N109" s="14" t="s">
        <v>1</v>
      </c>
      <c r="O109" s="18">
        <v>-1770</v>
      </c>
      <c r="P109" s="18">
        <v>-1770</v>
      </c>
      <c r="Q109" s="14" t="s">
        <v>2668</v>
      </c>
      <c r="R109" s="14" t="s">
        <v>2885</v>
      </c>
      <c r="S109" s="14" t="s">
        <v>227</v>
      </c>
      <c r="U109" s="14" t="s">
        <v>2888</v>
      </c>
      <c r="V109" s="14" t="s">
        <v>328</v>
      </c>
      <c r="W109" s="14" t="s">
        <v>227</v>
      </c>
      <c r="X109" s="14" t="s">
        <v>227</v>
      </c>
      <c r="Y109" s="28">
        <v>44673</v>
      </c>
      <c r="Z109" s="28">
        <v>44676</v>
      </c>
    </row>
    <row r="110" spans="1:26" x14ac:dyDescent="0.2">
      <c r="A110" s="14" t="s">
        <v>227</v>
      </c>
      <c r="B110" s="14" t="s">
        <v>227</v>
      </c>
      <c r="D110" s="14" t="s">
        <v>2754</v>
      </c>
      <c r="E110" s="14" t="s">
        <v>282</v>
      </c>
      <c r="F110" s="14" t="s">
        <v>283</v>
      </c>
      <c r="G110" s="14" t="s">
        <v>313</v>
      </c>
      <c r="H110" s="14" t="s">
        <v>68</v>
      </c>
      <c r="I110" s="14" t="s">
        <v>547</v>
      </c>
      <c r="J110" s="14">
        <v>101</v>
      </c>
      <c r="K110" s="14">
        <v>12022</v>
      </c>
      <c r="L110" s="14">
        <v>245011</v>
      </c>
      <c r="M110" s="14">
        <v>9999</v>
      </c>
      <c r="N110" s="14" t="s">
        <v>1</v>
      </c>
      <c r="O110" s="18">
        <v>0.02</v>
      </c>
      <c r="P110" s="18">
        <v>0.02</v>
      </c>
      <c r="Q110" s="14" t="s">
        <v>2668</v>
      </c>
      <c r="R110" s="14" t="s">
        <v>2889</v>
      </c>
      <c r="S110" s="14" t="s">
        <v>280</v>
      </c>
      <c r="U110" s="14" t="s">
        <v>2890</v>
      </c>
      <c r="V110" s="14" t="s">
        <v>287</v>
      </c>
      <c r="W110" s="14" t="s">
        <v>227</v>
      </c>
      <c r="X110" s="14" t="s">
        <v>227</v>
      </c>
      <c r="Y110" s="28">
        <v>44606</v>
      </c>
      <c r="Z110" s="28">
        <v>44609</v>
      </c>
    </row>
    <row r="111" spans="1:26" x14ac:dyDescent="0.2">
      <c r="A111" s="14" t="s">
        <v>227</v>
      </c>
      <c r="B111" s="14" t="s">
        <v>227</v>
      </c>
      <c r="D111" s="14" t="s">
        <v>859</v>
      </c>
      <c r="E111" s="14" t="s">
        <v>282</v>
      </c>
      <c r="F111" s="14" t="s">
        <v>283</v>
      </c>
      <c r="G111" s="14" t="s">
        <v>313</v>
      </c>
      <c r="H111" s="14" t="s">
        <v>89</v>
      </c>
      <c r="I111" s="14" t="s">
        <v>2891</v>
      </c>
      <c r="J111" s="14">
        <v>101</v>
      </c>
      <c r="K111" s="14">
        <v>11024</v>
      </c>
      <c r="L111" s="14">
        <v>245011</v>
      </c>
      <c r="M111" s="14">
        <v>9999</v>
      </c>
      <c r="N111" s="14" t="s">
        <v>1</v>
      </c>
      <c r="O111" s="18">
        <v>2154.23</v>
      </c>
      <c r="P111" s="18">
        <v>2154.23</v>
      </c>
      <c r="Q111" s="14" t="s">
        <v>2668</v>
      </c>
      <c r="R111" s="14" t="s">
        <v>2892</v>
      </c>
      <c r="S111" s="14" t="s">
        <v>227</v>
      </c>
      <c r="U111" s="14" t="s">
        <v>2893</v>
      </c>
      <c r="V111" s="14" t="s">
        <v>328</v>
      </c>
      <c r="W111" s="14" t="s">
        <v>2894</v>
      </c>
      <c r="X111" s="14" t="s">
        <v>227</v>
      </c>
      <c r="Y111" s="14">
        <v>44592</v>
      </c>
      <c r="Z111" s="14">
        <v>44596</v>
      </c>
    </row>
    <row r="112" spans="1:26" x14ac:dyDescent="0.2">
      <c r="A112" s="14" t="s">
        <v>227</v>
      </c>
      <c r="B112" s="14" t="s">
        <v>227</v>
      </c>
      <c r="D112" s="30" t="s">
        <v>859</v>
      </c>
      <c r="E112" s="14" t="s">
        <v>282</v>
      </c>
      <c r="F112" s="14" t="s">
        <v>283</v>
      </c>
      <c r="G112" s="14" t="s">
        <v>313</v>
      </c>
      <c r="H112" s="14" t="s">
        <v>89</v>
      </c>
      <c r="I112" s="14" t="s">
        <v>2895</v>
      </c>
      <c r="J112" s="14">
        <v>101</v>
      </c>
      <c r="K112" s="14">
        <v>11024</v>
      </c>
      <c r="L112" s="14">
        <v>245011</v>
      </c>
      <c r="M112" s="14">
        <v>9999</v>
      </c>
      <c r="N112" s="14" t="s">
        <v>1</v>
      </c>
      <c r="O112" s="18">
        <v>5250</v>
      </c>
      <c r="P112" s="18">
        <v>5250</v>
      </c>
      <c r="Q112" s="14" t="s">
        <v>2668</v>
      </c>
      <c r="R112" s="14" t="s">
        <v>2896</v>
      </c>
      <c r="S112" s="14" t="s">
        <v>227</v>
      </c>
      <c r="U112" s="14" t="s">
        <v>2897</v>
      </c>
      <c r="V112" s="14" t="s">
        <v>328</v>
      </c>
      <c r="W112" s="14" t="s">
        <v>227</v>
      </c>
      <c r="X112" s="14" t="s">
        <v>227</v>
      </c>
      <c r="Y112" s="28">
        <v>44592</v>
      </c>
      <c r="Z112" s="28">
        <v>44596</v>
      </c>
    </row>
    <row r="113" spans="1:26" x14ac:dyDescent="0.2">
      <c r="A113" s="14" t="s">
        <v>227</v>
      </c>
      <c r="B113" s="14" t="s">
        <v>227</v>
      </c>
      <c r="D113" s="30" t="s">
        <v>863</v>
      </c>
      <c r="E113" s="14" t="s">
        <v>282</v>
      </c>
      <c r="F113" s="14" t="s">
        <v>294</v>
      </c>
      <c r="G113" s="14" t="s">
        <v>305</v>
      </c>
      <c r="H113" s="14" t="s">
        <v>37</v>
      </c>
      <c r="I113" s="14" t="s">
        <v>438</v>
      </c>
      <c r="J113" s="14">
        <v>101</v>
      </c>
      <c r="K113" s="14">
        <v>13001</v>
      </c>
      <c r="L113" s="14">
        <v>245011</v>
      </c>
      <c r="M113" s="14">
        <v>9999</v>
      </c>
      <c r="N113" s="14" t="s">
        <v>1</v>
      </c>
      <c r="O113" s="18">
        <v>360000</v>
      </c>
      <c r="P113" s="18">
        <v>360000</v>
      </c>
      <c r="Q113" s="14" t="s">
        <v>2668</v>
      </c>
      <c r="R113" s="14" t="s">
        <v>2898</v>
      </c>
      <c r="S113" s="14" t="s">
        <v>227</v>
      </c>
      <c r="U113" s="14" t="s">
        <v>2899</v>
      </c>
      <c r="V113" s="14" t="s">
        <v>328</v>
      </c>
      <c r="W113" s="14" t="s">
        <v>227</v>
      </c>
      <c r="X113" s="14" t="s">
        <v>227</v>
      </c>
      <c r="Y113" s="28">
        <v>44651</v>
      </c>
      <c r="Z113" s="28">
        <v>44657</v>
      </c>
    </row>
    <row r="114" spans="1:26" x14ac:dyDescent="0.2">
      <c r="A114" s="14" t="s">
        <v>227</v>
      </c>
      <c r="B114" s="14" t="s">
        <v>227</v>
      </c>
      <c r="D114" s="14" t="s">
        <v>863</v>
      </c>
      <c r="E114" s="14" t="s">
        <v>282</v>
      </c>
      <c r="F114" s="14" t="s">
        <v>283</v>
      </c>
      <c r="G114" s="14" t="s">
        <v>313</v>
      </c>
      <c r="H114" s="14" t="s">
        <v>23</v>
      </c>
      <c r="I114" s="14" t="s">
        <v>345</v>
      </c>
      <c r="J114" s="14">
        <v>101</v>
      </c>
      <c r="K114" s="14">
        <v>11003</v>
      </c>
      <c r="L114" s="14">
        <v>245011</v>
      </c>
      <c r="M114" s="14">
        <v>9999</v>
      </c>
      <c r="N114" s="14" t="s">
        <v>1</v>
      </c>
      <c r="O114" s="18">
        <v>34381.15</v>
      </c>
      <c r="P114" s="18">
        <v>34381.15</v>
      </c>
      <c r="Q114" s="14" t="s">
        <v>2668</v>
      </c>
      <c r="R114" s="14" t="s">
        <v>2900</v>
      </c>
      <c r="S114" s="14" t="s">
        <v>227</v>
      </c>
      <c r="U114" s="14" t="s">
        <v>2901</v>
      </c>
      <c r="V114" s="14" t="s">
        <v>328</v>
      </c>
      <c r="W114" s="14" t="s">
        <v>227</v>
      </c>
      <c r="X114" s="14" t="s">
        <v>227</v>
      </c>
      <c r="Y114" s="14">
        <v>44651</v>
      </c>
      <c r="Z114" s="14">
        <v>44655</v>
      </c>
    </row>
    <row r="115" spans="1:26" x14ac:dyDescent="0.2">
      <c r="A115" s="14" t="s">
        <v>227</v>
      </c>
      <c r="B115" s="14" t="s">
        <v>227</v>
      </c>
      <c r="D115" s="14" t="s">
        <v>863</v>
      </c>
      <c r="E115" s="14" t="s">
        <v>282</v>
      </c>
      <c r="F115" s="14" t="s">
        <v>283</v>
      </c>
      <c r="G115" s="14" t="s">
        <v>366</v>
      </c>
      <c r="H115" s="14" t="s">
        <v>35</v>
      </c>
      <c r="I115" s="14" t="s">
        <v>526</v>
      </c>
      <c r="J115" s="14">
        <v>101</v>
      </c>
      <c r="K115" s="14">
        <v>11010</v>
      </c>
      <c r="L115" s="14">
        <v>245011</v>
      </c>
      <c r="M115" s="14">
        <v>9999</v>
      </c>
      <c r="N115" s="14" t="s">
        <v>1</v>
      </c>
      <c r="O115" s="18">
        <v>20953.349999999999</v>
      </c>
      <c r="P115" s="18">
        <v>20953.349999999999</v>
      </c>
      <c r="Q115" s="14" t="s">
        <v>2668</v>
      </c>
      <c r="R115" s="14" t="s">
        <v>2902</v>
      </c>
      <c r="S115" s="14" t="s">
        <v>227</v>
      </c>
      <c r="U115" s="14" t="s">
        <v>2903</v>
      </c>
      <c r="V115" s="14" t="s">
        <v>328</v>
      </c>
      <c r="W115" s="14" t="s">
        <v>227</v>
      </c>
      <c r="X115" s="14" t="s">
        <v>227</v>
      </c>
      <c r="Y115" s="28">
        <v>44651</v>
      </c>
      <c r="Z115" s="28">
        <v>44656</v>
      </c>
    </row>
    <row r="116" spans="1:26" x14ac:dyDescent="0.2">
      <c r="A116" s="14" t="s">
        <v>227</v>
      </c>
      <c r="B116" s="14" t="s">
        <v>227</v>
      </c>
      <c r="D116" s="14" t="s">
        <v>863</v>
      </c>
      <c r="E116" s="14" t="s">
        <v>282</v>
      </c>
      <c r="F116" s="14" t="s">
        <v>294</v>
      </c>
      <c r="G116" s="14" t="s">
        <v>295</v>
      </c>
      <c r="H116" s="14" t="s">
        <v>8</v>
      </c>
      <c r="I116" s="14" t="s">
        <v>773</v>
      </c>
      <c r="J116" s="14">
        <v>101</v>
      </c>
      <c r="K116" s="14">
        <v>13008</v>
      </c>
      <c r="L116" s="14">
        <v>245011</v>
      </c>
      <c r="M116" s="14">
        <v>9999</v>
      </c>
      <c r="N116" s="14" t="s">
        <v>1</v>
      </c>
      <c r="O116" s="18">
        <v>3548</v>
      </c>
      <c r="P116" s="18">
        <v>3548</v>
      </c>
      <c r="Q116" s="14" t="s">
        <v>2668</v>
      </c>
      <c r="R116" s="14" t="s">
        <v>2904</v>
      </c>
      <c r="S116" s="14" t="s">
        <v>227</v>
      </c>
      <c r="U116" s="14" t="s">
        <v>2905</v>
      </c>
      <c r="V116" s="14" t="s">
        <v>328</v>
      </c>
      <c r="W116" s="14" t="s">
        <v>227</v>
      </c>
      <c r="X116" s="14" t="s">
        <v>227</v>
      </c>
      <c r="Y116" s="14">
        <v>44651</v>
      </c>
      <c r="Z116" s="14">
        <v>44656</v>
      </c>
    </row>
    <row r="117" spans="1:26" x14ac:dyDescent="0.2">
      <c r="A117" s="14" t="s">
        <v>227</v>
      </c>
      <c r="B117" s="14" t="s">
        <v>227</v>
      </c>
      <c r="D117" s="14" t="s">
        <v>2754</v>
      </c>
      <c r="E117" s="14" t="s">
        <v>282</v>
      </c>
      <c r="F117" s="14" t="s">
        <v>283</v>
      </c>
      <c r="G117" s="14" t="s">
        <v>313</v>
      </c>
      <c r="H117" s="14" t="s">
        <v>22</v>
      </c>
      <c r="I117" s="14" t="s">
        <v>321</v>
      </c>
      <c r="J117" s="14">
        <v>101</v>
      </c>
      <c r="K117" s="14">
        <v>11004</v>
      </c>
      <c r="L117" s="14">
        <v>245011</v>
      </c>
      <c r="M117" s="14">
        <v>9999</v>
      </c>
      <c r="N117" s="14" t="s">
        <v>1</v>
      </c>
      <c r="O117" s="18">
        <v>491313.18</v>
      </c>
      <c r="P117" s="18">
        <v>491313.18</v>
      </c>
      <c r="Q117" s="14" t="s">
        <v>2668</v>
      </c>
      <c r="R117" s="14" t="s">
        <v>2906</v>
      </c>
      <c r="S117" s="14" t="s">
        <v>280</v>
      </c>
      <c r="U117" s="14" t="s">
        <v>2907</v>
      </c>
      <c r="V117" s="14" t="s">
        <v>287</v>
      </c>
      <c r="W117" s="14" t="s">
        <v>227</v>
      </c>
      <c r="X117" s="14" t="s">
        <v>227</v>
      </c>
      <c r="Y117" s="14">
        <v>44620</v>
      </c>
      <c r="Z117" s="14">
        <v>44624</v>
      </c>
    </row>
    <row r="118" spans="1:26" x14ac:dyDescent="0.2">
      <c r="A118" s="14" t="s">
        <v>227</v>
      </c>
      <c r="B118" s="14" t="s">
        <v>227</v>
      </c>
      <c r="D118" s="14" t="s">
        <v>759</v>
      </c>
      <c r="E118" s="14" t="s">
        <v>282</v>
      </c>
      <c r="F118" s="14" t="s">
        <v>283</v>
      </c>
      <c r="G118" s="14" t="s">
        <v>313</v>
      </c>
      <c r="H118" s="14" t="s">
        <v>11</v>
      </c>
      <c r="I118" s="14" t="s">
        <v>285</v>
      </c>
      <c r="J118" s="14">
        <v>101</v>
      </c>
      <c r="K118" s="14">
        <v>12012</v>
      </c>
      <c r="L118" s="14">
        <v>245011</v>
      </c>
      <c r="M118" s="14">
        <v>9999</v>
      </c>
      <c r="N118" s="14" t="s">
        <v>1</v>
      </c>
      <c r="O118" s="18">
        <v>68161.14</v>
      </c>
      <c r="P118" s="18">
        <v>68161.14</v>
      </c>
      <c r="Q118" s="14" t="s">
        <v>2668</v>
      </c>
      <c r="R118" s="14" t="s">
        <v>2908</v>
      </c>
      <c r="S118" s="14" t="s">
        <v>280</v>
      </c>
      <c r="U118" s="14" t="s">
        <v>2909</v>
      </c>
      <c r="V118" s="14" t="s">
        <v>287</v>
      </c>
      <c r="W118" s="14" t="s">
        <v>227</v>
      </c>
      <c r="X118" s="14" t="s">
        <v>227</v>
      </c>
      <c r="Y118" s="28">
        <v>44681</v>
      </c>
      <c r="Z118" s="28">
        <v>44685</v>
      </c>
    </row>
    <row r="119" spans="1:26" x14ac:dyDescent="0.2">
      <c r="A119" s="14" t="s">
        <v>227</v>
      </c>
      <c r="B119" s="14" t="s">
        <v>227</v>
      </c>
      <c r="D119" s="30" t="s">
        <v>2882</v>
      </c>
      <c r="E119" s="14" t="s">
        <v>282</v>
      </c>
      <c r="F119" s="14" t="s">
        <v>283</v>
      </c>
      <c r="G119" s="14" t="s">
        <v>366</v>
      </c>
      <c r="H119" s="14" t="s">
        <v>39</v>
      </c>
      <c r="I119" s="14" t="s">
        <v>432</v>
      </c>
      <c r="J119" s="14">
        <v>101</v>
      </c>
      <c r="K119" s="14">
        <v>12013</v>
      </c>
      <c r="L119" s="14">
        <v>245011</v>
      </c>
      <c r="M119" s="14">
        <v>9999</v>
      </c>
      <c r="N119" s="14" t="s">
        <v>1</v>
      </c>
      <c r="O119" s="18">
        <v>12750</v>
      </c>
      <c r="P119" s="18">
        <v>12750</v>
      </c>
      <c r="Q119" s="14" t="s">
        <v>2668</v>
      </c>
      <c r="R119" s="14" t="s">
        <v>2910</v>
      </c>
      <c r="S119" s="14" t="s">
        <v>227</v>
      </c>
      <c r="U119" s="14" t="s">
        <v>2911</v>
      </c>
      <c r="V119" s="14" t="s">
        <v>328</v>
      </c>
      <c r="W119" s="14" t="s">
        <v>227</v>
      </c>
      <c r="X119" s="14" t="s">
        <v>227</v>
      </c>
      <c r="Y119" s="28">
        <v>44469</v>
      </c>
      <c r="Z119" s="28">
        <v>44475</v>
      </c>
    </row>
    <row r="120" spans="1:26" x14ac:dyDescent="0.2">
      <c r="A120" s="14" t="s">
        <v>227</v>
      </c>
      <c r="B120" s="14" t="s">
        <v>227</v>
      </c>
      <c r="D120" s="14" t="s">
        <v>930</v>
      </c>
      <c r="E120" s="14" t="s">
        <v>282</v>
      </c>
      <c r="F120" s="14" t="s">
        <v>283</v>
      </c>
      <c r="G120" s="14" t="s">
        <v>366</v>
      </c>
      <c r="H120" s="14" t="s">
        <v>39</v>
      </c>
      <c r="I120" s="14" t="s">
        <v>733</v>
      </c>
      <c r="J120" s="14">
        <v>101</v>
      </c>
      <c r="K120" s="14">
        <v>12013</v>
      </c>
      <c r="L120" s="14">
        <v>245011</v>
      </c>
      <c r="M120" s="14">
        <v>9999</v>
      </c>
      <c r="N120" s="14" t="s">
        <v>1</v>
      </c>
      <c r="O120" s="18">
        <v>31065</v>
      </c>
      <c r="P120" s="18">
        <v>31065</v>
      </c>
      <c r="Q120" s="14" t="s">
        <v>2668</v>
      </c>
      <c r="R120" s="14" t="s">
        <v>2912</v>
      </c>
      <c r="S120" s="14" t="s">
        <v>227</v>
      </c>
      <c r="U120" s="14" t="s">
        <v>2913</v>
      </c>
      <c r="V120" s="14" t="s">
        <v>328</v>
      </c>
      <c r="W120" s="14" t="s">
        <v>227</v>
      </c>
      <c r="X120" s="14" t="s">
        <v>227</v>
      </c>
      <c r="Y120" s="28">
        <v>44530</v>
      </c>
      <c r="Z120" s="28">
        <v>44532</v>
      </c>
    </row>
    <row r="121" spans="1:26" x14ac:dyDescent="0.2">
      <c r="A121" s="14" t="s">
        <v>227</v>
      </c>
      <c r="B121" s="14" t="s">
        <v>227</v>
      </c>
      <c r="D121" s="14" t="s">
        <v>1257</v>
      </c>
      <c r="E121" s="14" t="s">
        <v>282</v>
      </c>
      <c r="F121" s="14" t="s">
        <v>283</v>
      </c>
      <c r="G121" s="14" t="s">
        <v>313</v>
      </c>
      <c r="H121" s="14" t="s">
        <v>89</v>
      </c>
      <c r="I121" s="14" t="s">
        <v>2891</v>
      </c>
      <c r="J121" s="14">
        <v>101</v>
      </c>
      <c r="K121" s="14">
        <v>11024</v>
      </c>
      <c r="L121" s="14">
        <v>245011</v>
      </c>
      <c r="M121" s="14">
        <v>9999</v>
      </c>
      <c r="N121" s="14" t="s">
        <v>1</v>
      </c>
      <c r="O121" s="18">
        <v>-2154.23</v>
      </c>
      <c r="P121" s="18">
        <v>-2154.23</v>
      </c>
      <c r="Q121" s="14" t="s">
        <v>2668</v>
      </c>
      <c r="R121" s="14" t="s">
        <v>2914</v>
      </c>
      <c r="S121" s="14" t="s">
        <v>227</v>
      </c>
      <c r="U121" s="14" t="s">
        <v>2915</v>
      </c>
      <c r="V121" s="14" t="s">
        <v>328</v>
      </c>
      <c r="W121" s="14" t="s">
        <v>2894</v>
      </c>
      <c r="X121" s="14" t="s">
        <v>227</v>
      </c>
      <c r="Y121" s="14">
        <v>44697</v>
      </c>
      <c r="Z121" s="14">
        <v>44697</v>
      </c>
    </row>
    <row r="122" spans="1:26" x14ac:dyDescent="0.2">
      <c r="A122" s="14" t="s">
        <v>227</v>
      </c>
      <c r="B122" s="14" t="s">
        <v>227</v>
      </c>
      <c r="D122" s="30" t="s">
        <v>1257</v>
      </c>
      <c r="E122" s="14" t="s">
        <v>282</v>
      </c>
      <c r="F122" s="14" t="s">
        <v>283</v>
      </c>
      <c r="G122" s="14" t="s">
        <v>366</v>
      </c>
      <c r="H122" s="14" t="s">
        <v>39</v>
      </c>
      <c r="I122" s="14" t="s">
        <v>733</v>
      </c>
      <c r="J122" s="14">
        <v>101</v>
      </c>
      <c r="K122" s="14">
        <v>12013</v>
      </c>
      <c r="L122" s="14">
        <v>245011</v>
      </c>
      <c r="M122" s="14">
        <v>9999</v>
      </c>
      <c r="N122" s="14" t="s">
        <v>1</v>
      </c>
      <c r="O122" s="18">
        <v>-31065</v>
      </c>
      <c r="P122" s="18">
        <v>-31065</v>
      </c>
      <c r="Q122" s="14" t="s">
        <v>2668</v>
      </c>
      <c r="R122" s="14" t="s">
        <v>2916</v>
      </c>
      <c r="S122" s="14" t="s">
        <v>227</v>
      </c>
      <c r="U122" s="14" t="s">
        <v>2917</v>
      </c>
      <c r="V122" s="14" t="s">
        <v>328</v>
      </c>
      <c r="W122" s="14" t="s">
        <v>227</v>
      </c>
      <c r="X122" s="14" t="s">
        <v>227</v>
      </c>
      <c r="Y122" s="28">
        <v>44712</v>
      </c>
      <c r="Z122" s="28">
        <v>44718</v>
      </c>
    </row>
    <row r="123" spans="1:26" x14ac:dyDescent="0.2">
      <c r="A123" s="14" t="s">
        <v>227</v>
      </c>
      <c r="B123" s="14" t="s">
        <v>227</v>
      </c>
      <c r="D123" s="14" t="s">
        <v>1257</v>
      </c>
      <c r="E123" s="14" t="s">
        <v>282</v>
      </c>
      <c r="F123" s="14" t="s">
        <v>283</v>
      </c>
      <c r="G123" s="14" t="s">
        <v>366</v>
      </c>
      <c r="H123" s="14" t="s">
        <v>39</v>
      </c>
      <c r="I123" s="14" t="s">
        <v>432</v>
      </c>
      <c r="J123" s="14">
        <v>101</v>
      </c>
      <c r="K123" s="14">
        <v>12013</v>
      </c>
      <c r="L123" s="14">
        <v>245011</v>
      </c>
      <c r="M123" s="14">
        <v>9999</v>
      </c>
      <c r="N123" s="14" t="s">
        <v>1</v>
      </c>
      <c r="O123" s="18">
        <v>-12750</v>
      </c>
      <c r="P123" s="18">
        <v>-12750</v>
      </c>
      <c r="Q123" s="14" t="s">
        <v>2668</v>
      </c>
      <c r="R123" s="14" t="s">
        <v>2918</v>
      </c>
      <c r="S123" s="14" t="s">
        <v>227</v>
      </c>
      <c r="U123" s="14" t="s">
        <v>2919</v>
      </c>
      <c r="V123" s="14" t="s">
        <v>328</v>
      </c>
      <c r="W123" s="14" t="s">
        <v>227</v>
      </c>
      <c r="X123" s="14" t="s">
        <v>227</v>
      </c>
      <c r="Y123" s="14">
        <v>44712</v>
      </c>
      <c r="Z123" s="14">
        <v>44718</v>
      </c>
    </row>
    <row r="124" spans="1:26" x14ac:dyDescent="0.2">
      <c r="A124" s="14" t="s">
        <v>227</v>
      </c>
      <c r="B124" s="14" t="s">
        <v>227</v>
      </c>
      <c r="D124" s="14" t="s">
        <v>1257</v>
      </c>
      <c r="E124" s="14" t="s">
        <v>282</v>
      </c>
      <c r="F124" s="14" t="s">
        <v>283</v>
      </c>
      <c r="G124" s="14" t="s">
        <v>313</v>
      </c>
      <c r="H124" s="14" t="s">
        <v>11</v>
      </c>
      <c r="I124" s="14" t="s">
        <v>285</v>
      </c>
      <c r="J124" s="14">
        <v>101</v>
      </c>
      <c r="K124" s="14">
        <v>12012</v>
      </c>
      <c r="L124" s="14">
        <v>245011</v>
      </c>
      <c r="M124" s="14">
        <v>9999</v>
      </c>
      <c r="N124" s="14" t="s">
        <v>1</v>
      </c>
      <c r="O124" s="18">
        <v>-68161.14</v>
      </c>
      <c r="P124" s="18">
        <v>-68161.14</v>
      </c>
      <c r="Q124" s="14" t="s">
        <v>2668</v>
      </c>
      <c r="R124" s="14" t="s">
        <v>2920</v>
      </c>
      <c r="S124" s="14" t="s">
        <v>280</v>
      </c>
      <c r="U124" s="14" t="s">
        <v>2921</v>
      </c>
      <c r="V124" s="14" t="s">
        <v>287</v>
      </c>
      <c r="W124" s="14" t="s">
        <v>227</v>
      </c>
      <c r="X124" s="14" t="s">
        <v>227</v>
      </c>
      <c r="Y124" s="28">
        <v>44708</v>
      </c>
      <c r="Z124" s="28">
        <v>44708</v>
      </c>
    </row>
    <row r="125" spans="1:26" x14ac:dyDescent="0.2">
      <c r="A125" s="14" t="s">
        <v>227</v>
      </c>
      <c r="B125" s="14" t="s">
        <v>227</v>
      </c>
      <c r="D125" s="14" t="s">
        <v>1257</v>
      </c>
      <c r="E125" s="14" t="s">
        <v>282</v>
      </c>
      <c r="F125" s="14" t="s">
        <v>283</v>
      </c>
      <c r="G125" s="14" t="s">
        <v>313</v>
      </c>
      <c r="H125" s="14" t="s">
        <v>22</v>
      </c>
      <c r="I125" s="14" t="s">
        <v>321</v>
      </c>
      <c r="J125" s="14">
        <v>101</v>
      </c>
      <c r="K125" s="14">
        <v>11004</v>
      </c>
      <c r="L125" s="14">
        <v>245011</v>
      </c>
      <c r="M125" s="14">
        <v>9999</v>
      </c>
      <c r="N125" s="14" t="s">
        <v>1</v>
      </c>
      <c r="O125" s="18">
        <v>-491313.18</v>
      </c>
      <c r="P125" s="18">
        <v>-491313.18</v>
      </c>
      <c r="Q125" s="14" t="s">
        <v>2668</v>
      </c>
      <c r="R125" s="14" t="s">
        <v>2922</v>
      </c>
      <c r="S125" s="14" t="s">
        <v>280</v>
      </c>
      <c r="U125" s="14" t="s">
        <v>2923</v>
      </c>
      <c r="V125" s="14" t="s">
        <v>287</v>
      </c>
      <c r="W125" s="14" t="s">
        <v>227</v>
      </c>
      <c r="X125" s="14" t="s">
        <v>227</v>
      </c>
      <c r="Y125" s="28">
        <v>44706</v>
      </c>
      <c r="Z125" s="28">
        <v>44708</v>
      </c>
    </row>
    <row r="126" spans="1:26" s="29" customFormat="1" x14ac:dyDescent="0.2">
      <c r="A126" s="14" t="s">
        <v>227</v>
      </c>
      <c r="B126" s="14" t="s">
        <v>227</v>
      </c>
      <c r="C126" s="14"/>
      <c r="D126" s="14" t="s">
        <v>1257</v>
      </c>
      <c r="E126" s="14" t="s">
        <v>282</v>
      </c>
      <c r="F126" s="14" t="s">
        <v>283</v>
      </c>
      <c r="G126" s="14" t="s">
        <v>313</v>
      </c>
      <c r="H126" s="14" t="s">
        <v>68</v>
      </c>
      <c r="I126" s="14" t="s">
        <v>547</v>
      </c>
      <c r="J126" s="14">
        <v>101</v>
      </c>
      <c r="K126" s="14">
        <v>12022</v>
      </c>
      <c r="L126" s="14">
        <v>245011</v>
      </c>
      <c r="M126" s="14">
        <v>9999</v>
      </c>
      <c r="N126" s="14" t="s">
        <v>1</v>
      </c>
      <c r="O126" s="18">
        <v>-0.02</v>
      </c>
      <c r="P126" s="18">
        <v>-0.02</v>
      </c>
      <c r="Q126" s="14" t="s">
        <v>2668</v>
      </c>
      <c r="R126" s="14" t="s">
        <v>2924</v>
      </c>
      <c r="S126" s="14" t="s">
        <v>227</v>
      </c>
      <c r="T126" s="14"/>
      <c r="U126" s="14" t="s">
        <v>2925</v>
      </c>
      <c r="V126" s="14" t="s">
        <v>328</v>
      </c>
      <c r="W126" s="14" t="s">
        <v>227</v>
      </c>
      <c r="X126" s="14" t="s">
        <v>227</v>
      </c>
      <c r="Y126" s="28">
        <v>44708</v>
      </c>
      <c r="Z126" s="28">
        <v>44708</v>
      </c>
    </row>
    <row r="127" spans="1:26" s="29" customFormat="1" x14ac:dyDescent="0.2">
      <c r="A127" s="14" t="s">
        <v>227</v>
      </c>
      <c r="B127" s="14" t="s">
        <v>227</v>
      </c>
      <c r="C127" s="14"/>
      <c r="D127" s="14" t="s">
        <v>1257</v>
      </c>
      <c r="E127" s="14" t="s">
        <v>282</v>
      </c>
      <c r="F127" s="14" t="s">
        <v>283</v>
      </c>
      <c r="G127" s="14" t="s">
        <v>313</v>
      </c>
      <c r="H127" s="14" t="s">
        <v>89</v>
      </c>
      <c r="I127" s="14" t="s">
        <v>2895</v>
      </c>
      <c r="J127" s="14">
        <v>101</v>
      </c>
      <c r="K127" s="14">
        <v>11024</v>
      </c>
      <c r="L127" s="14">
        <v>245011</v>
      </c>
      <c r="M127" s="14">
        <v>9999</v>
      </c>
      <c r="N127" s="14" t="s">
        <v>1</v>
      </c>
      <c r="O127" s="18">
        <v>-5250</v>
      </c>
      <c r="P127" s="18">
        <v>-5250</v>
      </c>
      <c r="Q127" s="14" t="s">
        <v>2668</v>
      </c>
      <c r="R127" s="14" t="s">
        <v>2926</v>
      </c>
      <c r="S127" s="14" t="s">
        <v>227</v>
      </c>
      <c r="T127" s="14"/>
      <c r="U127" s="14" t="s">
        <v>2927</v>
      </c>
      <c r="V127" s="14" t="s">
        <v>328</v>
      </c>
      <c r="W127" s="14" t="s">
        <v>227</v>
      </c>
      <c r="X127" s="14" t="s">
        <v>227</v>
      </c>
      <c r="Y127" s="28">
        <v>44697</v>
      </c>
      <c r="Z127" s="28">
        <v>44697</v>
      </c>
    </row>
    <row r="128" spans="1:26" x14ac:dyDescent="0.2">
      <c r="A128" s="14" t="s">
        <v>227</v>
      </c>
      <c r="B128" s="14" t="s">
        <v>227</v>
      </c>
      <c r="D128" s="14" t="s">
        <v>1257</v>
      </c>
      <c r="E128" s="14" t="s">
        <v>282</v>
      </c>
      <c r="F128" s="14" t="s">
        <v>283</v>
      </c>
      <c r="G128" s="14" t="s">
        <v>366</v>
      </c>
      <c r="H128" s="14" t="s">
        <v>35</v>
      </c>
      <c r="I128" s="14" t="s">
        <v>526</v>
      </c>
      <c r="J128" s="14">
        <v>101</v>
      </c>
      <c r="K128" s="14">
        <v>11010</v>
      </c>
      <c r="L128" s="14">
        <v>245011</v>
      </c>
      <c r="M128" s="14">
        <v>9999</v>
      </c>
      <c r="N128" s="14" t="s">
        <v>1</v>
      </c>
      <c r="O128" s="18">
        <v>-20953.349999999999</v>
      </c>
      <c r="P128" s="18">
        <v>-20953.349999999999</v>
      </c>
      <c r="Q128" s="14" t="s">
        <v>2668</v>
      </c>
      <c r="R128" s="14" t="s">
        <v>2928</v>
      </c>
      <c r="S128" s="14" t="s">
        <v>227</v>
      </c>
      <c r="U128" s="14" t="s">
        <v>2929</v>
      </c>
      <c r="V128" s="14" t="s">
        <v>328</v>
      </c>
      <c r="W128" s="14" t="s">
        <v>227</v>
      </c>
      <c r="X128" s="14" t="s">
        <v>227</v>
      </c>
      <c r="Y128" s="14">
        <v>44697</v>
      </c>
      <c r="Z128" s="14">
        <v>44697</v>
      </c>
    </row>
    <row r="129" spans="1:26" s="29" customFormat="1" x14ac:dyDescent="0.2">
      <c r="A129" s="14" t="s">
        <v>227</v>
      </c>
      <c r="B129" s="14" t="s">
        <v>227</v>
      </c>
      <c r="C129" s="14"/>
      <c r="D129" s="14" t="s">
        <v>1257</v>
      </c>
      <c r="E129" s="14" t="s">
        <v>282</v>
      </c>
      <c r="F129" s="14" t="s">
        <v>294</v>
      </c>
      <c r="G129" s="14" t="s">
        <v>295</v>
      </c>
      <c r="H129" s="14" t="s">
        <v>8</v>
      </c>
      <c r="I129" s="14" t="s">
        <v>773</v>
      </c>
      <c r="J129" s="14">
        <v>101</v>
      </c>
      <c r="K129" s="14">
        <v>13008</v>
      </c>
      <c r="L129" s="14">
        <v>245011</v>
      </c>
      <c r="M129" s="14">
        <v>9999</v>
      </c>
      <c r="N129" s="14" t="s">
        <v>1</v>
      </c>
      <c r="O129" s="18">
        <v>-3548</v>
      </c>
      <c r="P129" s="18">
        <v>-3548</v>
      </c>
      <c r="Q129" s="14" t="s">
        <v>2668</v>
      </c>
      <c r="R129" s="14" t="s">
        <v>2930</v>
      </c>
      <c r="S129" s="14" t="s">
        <v>227</v>
      </c>
      <c r="T129" s="14"/>
      <c r="U129" s="14" t="s">
        <v>2931</v>
      </c>
      <c r="V129" s="14" t="s">
        <v>328</v>
      </c>
      <c r="W129" s="14" t="s">
        <v>227</v>
      </c>
      <c r="X129" s="14" t="s">
        <v>227</v>
      </c>
      <c r="Y129" s="28">
        <v>44697</v>
      </c>
      <c r="Z129" s="28">
        <v>44697</v>
      </c>
    </row>
    <row r="130" spans="1:26" x14ac:dyDescent="0.2">
      <c r="A130" s="14" t="s">
        <v>227</v>
      </c>
      <c r="B130" s="14" t="s">
        <v>227</v>
      </c>
      <c r="D130" s="14" t="s">
        <v>1257</v>
      </c>
      <c r="E130" s="14" t="s">
        <v>282</v>
      </c>
      <c r="F130" s="14" t="s">
        <v>283</v>
      </c>
      <c r="G130" s="14" t="s">
        <v>313</v>
      </c>
      <c r="H130" s="14" t="s">
        <v>23</v>
      </c>
      <c r="I130" s="14" t="s">
        <v>345</v>
      </c>
      <c r="J130" s="14">
        <v>101</v>
      </c>
      <c r="K130" s="14">
        <v>11003</v>
      </c>
      <c r="L130" s="14">
        <v>245011</v>
      </c>
      <c r="M130" s="14">
        <v>9999</v>
      </c>
      <c r="N130" s="14" t="s">
        <v>1</v>
      </c>
      <c r="O130" s="18">
        <v>-34381.15</v>
      </c>
      <c r="P130" s="18">
        <v>-34381.15</v>
      </c>
      <c r="Q130" s="14" t="s">
        <v>2668</v>
      </c>
      <c r="R130" s="14" t="s">
        <v>2932</v>
      </c>
      <c r="S130" s="14" t="s">
        <v>227</v>
      </c>
      <c r="U130" s="14" t="s">
        <v>2933</v>
      </c>
      <c r="V130" s="14" t="s">
        <v>328</v>
      </c>
      <c r="W130" s="14" t="s">
        <v>227</v>
      </c>
      <c r="X130" s="14" t="s">
        <v>227</v>
      </c>
      <c r="Y130" s="14">
        <v>44697</v>
      </c>
      <c r="Z130" s="14">
        <v>44697</v>
      </c>
    </row>
    <row r="131" spans="1:26" s="29" customFormat="1" x14ac:dyDescent="0.2">
      <c r="A131" s="14" t="s">
        <v>227</v>
      </c>
      <c r="B131" s="14" t="s">
        <v>227</v>
      </c>
      <c r="C131" s="14"/>
      <c r="D131" s="14" t="s">
        <v>1257</v>
      </c>
      <c r="E131" s="14" t="s">
        <v>282</v>
      </c>
      <c r="F131" s="14" t="s">
        <v>294</v>
      </c>
      <c r="G131" s="14" t="s">
        <v>305</v>
      </c>
      <c r="H131" s="14" t="s">
        <v>37</v>
      </c>
      <c r="I131" s="14" t="s">
        <v>438</v>
      </c>
      <c r="J131" s="14">
        <v>101</v>
      </c>
      <c r="K131" s="14">
        <v>13001</v>
      </c>
      <c r="L131" s="14">
        <v>245011</v>
      </c>
      <c r="M131" s="14">
        <v>9999</v>
      </c>
      <c r="N131" s="14" t="s">
        <v>1</v>
      </c>
      <c r="O131" s="18">
        <v>-360000</v>
      </c>
      <c r="P131" s="18">
        <v>-360000</v>
      </c>
      <c r="Q131" s="14" t="s">
        <v>2668</v>
      </c>
      <c r="R131" s="14" t="s">
        <v>2934</v>
      </c>
      <c r="S131" s="14" t="s">
        <v>227</v>
      </c>
      <c r="T131" s="14"/>
      <c r="U131" s="14" t="s">
        <v>2935</v>
      </c>
      <c r="V131" s="14" t="s">
        <v>328</v>
      </c>
      <c r="W131" s="14" t="s">
        <v>227</v>
      </c>
      <c r="X131" s="14" t="s">
        <v>227</v>
      </c>
      <c r="Y131" s="14">
        <v>44686</v>
      </c>
      <c r="Z131" s="14">
        <v>44686</v>
      </c>
    </row>
    <row r="132" spans="1:26" x14ac:dyDescent="0.2">
      <c r="A132" s="14" t="s">
        <v>227</v>
      </c>
      <c r="B132" s="14" t="s">
        <v>227</v>
      </c>
      <c r="D132" s="14" t="s">
        <v>863</v>
      </c>
      <c r="E132" s="14" t="s">
        <v>282</v>
      </c>
      <c r="F132" s="14" t="s">
        <v>283</v>
      </c>
      <c r="G132" s="14" t="s">
        <v>313</v>
      </c>
      <c r="H132" s="14" t="s">
        <v>71</v>
      </c>
      <c r="I132" s="14" t="s">
        <v>443</v>
      </c>
      <c r="J132" s="14">
        <v>101</v>
      </c>
      <c r="K132" s="14">
        <v>11023</v>
      </c>
      <c r="L132" s="14">
        <v>245011</v>
      </c>
      <c r="M132" s="14">
        <v>9999</v>
      </c>
      <c r="N132" s="14" t="s">
        <v>1</v>
      </c>
      <c r="O132" s="18">
        <v>2053351.33</v>
      </c>
      <c r="P132" s="18">
        <v>2053351.33</v>
      </c>
      <c r="Q132" s="14" t="s">
        <v>2936</v>
      </c>
      <c r="R132" s="14" t="s">
        <v>2937</v>
      </c>
      <c r="S132" s="14" t="s">
        <v>280</v>
      </c>
      <c r="U132" s="14" t="s">
        <v>2938</v>
      </c>
      <c r="V132" s="14" t="s">
        <v>287</v>
      </c>
      <c r="W132" s="14" t="s">
        <v>227</v>
      </c>
      <c r="X132" s="14" t="s">
        <v>227</v>
      </c>
      <c r="Y132" s="28">
        <v>44651</v>
      </c>
      <c r="Z132" s="28">
        <v>44657</v>
      </c>
    </row>
    <row r="133" spans="1:26" x14ac:dyDescent="0.2">
      <c r="A133" s="14" t="s">
        <v>227</v>
      </c>
      <c r="B133" s="14" t="s">
        <v>227</v>
      </c>
      <c r="D133" s="14" t="s">
        <v>759</v>
      </c>
      <c r="E133" s="14" t="s">
        <v>282</v>
      </c>
      <c r="F133" s="14" t="s">
        <v>283</v>
      </c>
      <c r="G133" s="14" t="s">
        <v>313</v>
      </c>
      <c r="H133" s="14" t="s">
        <v>71</v>
      </c>
      <c r="I133" s="14" t="s">
        <v>443</v>
      </c>
      <c r="J133" s="14">
        <v>101</v>
      </c>
      <c r="K133" s="14">
        <v>11023</v>
      </c>
      <c r="L133" s="14">
        <v>245011</v>
      </c>
      <c r="M133" s="14">
        <v>9999</v>
      </c>
      <c r="N133" s="14" t="s">
        <v>1</v>
      </c>
      <c r="O133" s="18">
        <v>138446.64000000001</v>
      </c>
      <c r="P133" s="18">
        <v>138446.64000000001</v>
      </c>
      <c r="Q133" s="14" t="s">
        <v>2936</v>
      </c>
      <c r="R133" s="14" t="s">
        <v>2937</v>
      </c>
      <c r="S133" s="14" t="s">
        <v>280</v>
      </c>
      <c r="U133" s="14" t="s">
        <v>2939</v>
      </c>
      <c r="V133" s="14" t="s">
        <v>287</v>
      </c>
      <c r="W133" s="14" t="s">
        <v>227</v>
      </c>
      <c r="X133" s="14" t="s">
        <v>227</v>
      </c>
      <c r="Y133" s="28">
        <v>44681</v>
      </c>
      <c r="Z133" s="28">
        <v>44685</v>
      </c>
    </row>
    <row r="134" spans="1:26" x14ac:dyDescent="0.2">
      <c r="A134" s="14" t="s">
        <v>227</v>
      </c>
      <c r="B134" s="14" t="s">
        <v>227</v>
      </c>
      <c r="D134" s="14" t="s">
        <v>1257</v>
      </c>
      <c r="E134" s="14" t="s">
        <v>282</v>
      </c>
      <c r="F134" s="14" t="s">
        <v>283</v>
      </c>
      <c r="G134" s="14" t="s">
        <v>313</v>
      </c>
      <c r="H134" s="14" t="s">
        <v>71</v>
      </c>
      <c r="I134" s="14" t="s">
        <v>443</v>
      </c>
      <c r="J134" s="14">
        <v>101</v>
      </c>
      <c r="K134" s="14">
        <v>11023</v>
      </c>
      <c r="L134" s="14">
        <v>245011</v>
      </c>
      <c r="M134" s="14">
        <v>9999</v>
      </c>
      <c r="N134" s="14" t="s">
        <v>1</v>
      </c>
      <c r="O134" s="18">
        <v>54475.6</v>
      </c>
      <c r="P134" s="18">
        <v>54475.6</v>
      </c>
      <c r="Q134" s="14" t="s">
        <v>2936</v>
      </c>
      <c r="R134" s="14" t="s">
        <v>2937</v>
      </c>
      <c r="S134" s="14" t="s">
        <v>280</v>
      </c>
      <c r="U134" s="14" t="s">
        <v>2940</v>
      </c>
      <c r="V134" s="14" t="s">
        <v>287</v>
      </c>
      <c r="W134" s="14" t="s">
        <v>227</v>
      </c>
      <c r="X134" s="14" t="s">
        <v>227</v>
      </c>
      <c r="Y134" s="28">
        <v>44712</v>
      </c>
      <c r="Z134" s="28">
        <v>44718</v>
      </c>
    </row>
    <row r="135" spans="1:26" x14ac:dyDescent="0.2">
      <c r="A135" s="14" t="s">
        <v>227</v>
      </c>
      <c r="B135" s="14" t="s">
        <v>227</v>
      </c>
      <c r="D135" s="14" t="s">
        <v>554</v>
      </c>
      <c r="E135" s="14" t="s">
        <v>282</v>
      </c>
      <c r="F135" s="14" t="s">
        <v>283</v>
      </c>
      <c r="G135" s="14" t="s">
        <v>313</v>
      </c>
      <c r="H135" s="14" t="s">
        <v>71</v>
      </c>
      <c r="I135" s="14" t="s">
        <v>443</v>
      </c>
      <c r="J135" s="14">
        <v>101</v>
      </c>
      <c r="K135" s="14">
        <v>11023</v>
      </c>
      <c r="L135" s="14">
        <v>245011</v>
      </c>
      <c r="M135" s="14">
        <v>9999</v>
      </c>
      <c r="N135" s="14" t="s">
        <v>1</v>
      </c>
      <c r="O135" s="18">
        <v>-138446.64000000001</v>
      </c>
      <c r="P135" s="18">
        <v>-138446.64000000001</v>
      </c>
      <c r="Q135" s="14" t="s">
        <v>278</v>
      </c>
      <c r="R135" s="14" t="s">
        <v>2941</v>
      </c>
      <c r="S135" s="14" t="s">
        <v>280</v>
      </c>
      <c r="U135" s="14" t="s">
        <v>2942</v>
      </c>
      <c r="V135" s="14" t="s">
        <v>287</v>
      </c>
      <c r="W135" s="14" t="s">
        <v>227</v>
      </c>
      <c r="X135" s="14" t="s">
        <v>227</v>
      </c>
      <c r="Y135" s="28">
        <v>44740</v>
      </c>
      <c r="Z135" s="28">
        <v>44741</v>
      </c>
    </row>
    <row r="136" spans="1:26" x14ac:dyDescent="0.2">
      <c r="A136" s="14" t="s">
        <v>227</v>
      </c>
      <c r="B136" s="14" t="s">
        <v>227</v>
      </c>
      <c r="D136" s="14" t="s">
        <v>554</v>
      </c>
      <c r="E136" s="14" t="s">
        <v>282</v>
      </c>
      <c r="F136" s="14" t="s">
        <v>283</v>
      </c>
      <c r="G136" s="14" t="s">
        <v>313</v>
      </c>
      <c r="H136" s="14" t="s">
        <v>71</v>
      </c>
      <c r="I136" s="14" t="s">
        <v>443</v>
      </c>
      <c r="J136" s="14">
        <v>101</v>
      </c>
      <c r="K136" s="14">
        <v>11023</v>
      </c>
      <c r="L136" s="14">
        <v>245011</v>
      </c>
      <c r="M136" s="14">
        <v>9999</v>
      </c>
      <c r="N136" s="14" t="s">
        <v>1</v>
      </c>
      <c r="O136" s="18">
        <v>-54475.6</v>
      </c>
      <c r="P136" s="18">
        <v>-54475.6</v>
      </c>
      <c r="Q136" s="14" t="s">
        <v>278</v>
      </c>
      <c r="R136" s="14" t="s">
        <v>2943</v>
      </c>
      <c r="S136" s="14" t="s">
        <v>280</v>
      </c>
      <c r="U136" s="14" t="s">
        <v>2944</v>
      </c>
      <c r="V136" s="14" t="s">
        <v>287</v>
      </c>
      <c r="W136" s="14" t="s">
        <v>227</v>
      </c>
      <c r="X136" s="14" t="s">
        <v>227</v>
      </c>
      <c r="Y136" s="28">
        <v>44740</v>
      </c>
      <c r="Z136" s="28">
        <v>44741</v>
      </c>
    </row>
    <row r="137" spans="1:26" x14ac:dyDescent="0.2">
      <c r="A137" s="14" t="s">
        <v>227</v>
      </c>
      <c r="B137" s="14" t="s">
        <v>227</v>
      </c>
      <c r="D137" s="14" t="s">
        <v>554</v>
      </c>
      <c r="E137" s="14" t="s">
        <v>282</v>
      </c>
      <c r="F137" s="14" t="s">
        <v>283</v>
      </c>
      <c r="G137" s="14" t="s">
        <v>313</v>
      </c>
      <c r="H137" s="14" t="s">
        <v>71</v>
      </c>
      <c r="I137" s="14" t="s">
        <v>443</v>
      </c>
      <c r="J137" s="14">
        <v>101</v>
      </c>
      <c r="K137" s="14">
        <v>11023</v>
      </c>
      <c r="L137" s="14">
        <v>245011</v>
      </c>
      <c r="M137" s="14">
        <v>9999</v>
      </c>
      <c r="N137" s="14" t="s">
        <v>1</v>
      </c>
      <c r="O137" s="18">
        <v>-2053351.33</v>
      </c>
      <c r="P137" s="18">
        <v>-2053351.33</v>
      </c>
      <c r="Q137" s="14" t="s">
        <v>278</v>
      </c>
      <c r="R137" s="14" t="s">
        <v>2945</v>
      </c>
      <c r="S137" s="14" t="s">
        <v>280</v>
      </c>
      <c r="U137" s="14" t="s">
        <v>2946</v>
      </c>
      <c r="V137" s="14" t="s">
        <v>287</v>
      </c>
      <c r="W137" s="14" t="s">
        <v>227</v>
      </c>
      <c r="X137" s="14" t="s">
        <v>227</v>
      </c>
      <c r="Y137" s="28">
        <v>44740</v>
      </c>
      <c r="Z137" s="28">
        <v>44741</v>
      </c>
    </row>
    <row r="138" spans="1:26" x14ac:dyDescent="0.2">
      <c r="A138" s="14" t="s">
        <v>227</v>
      </c>
      <c r="B138" s="14" t="s">
        <v>227</v>
      </c>
      <c r="D138" s="14" t="s">
        <v>2882</v>
      </c>
      <c r="E138" s="14" t="s">
        <v>282</v>
      </c>
      <c r="F138" s="14" t="s">
        <v>283</v>
      </c>
      <c r="G138" s="14" t="s">
        <v>313</v>
      </c>
      <c r="H138" s="14" t="s">
        <v>32</v>
      </c>
      <c r="I138" s="14" t="s">
        <v>1086</v>
      </c>
      <c r="J138" s="14">
        <v>101</v>
      </c>
      <c r="K138" s="14">
        <v>12015</v>
      </c>
      <c r="L138" s="14">
        <v>245011</v>
      </c>
      <c r="M138" s="14">
        <v>9999</v>
      </c>
      <c r="N138" s="14" t="s">
        <v>1</v>
      </c>
      <c r="O138" s="18">
        <v>30791.86</v>
      </c>
      <c r="P138" s="18">
        <v>30791.86</v>
      </c>
      <c r="Q138" s="14" t="s">
        <v>2947</v>
      </c>
      <c r="R138" s="14" t="s">
        <v>2948</v>
      </c>
      <c r="S138" s="14" t="s">
        <v>227</v>
      </c>
      <c r="U138" s="14" t="s">
        <v>2949</v>
      </c>
      <c r="V138" s="14" t="s">
        <v>328</v>
      </c>
      <c r="W138" s="14" t="s">
        <v>227</v>
      </c>
      <c r="X138" s="14" t="s">
        <v>227</v>
      </c>
      <c r="Y138" s="28">
        <v>44469</v>
      </c>
      <c r="Z138" s="28">
        <v>44475</v>
      </c>
    </row>
    <row r="139" spans="1:26" x14ac:dyDescent="0.2">
      <c r="A139" s="14" t="s">
        <v>227</v>
      </c>
      <c r="B139" s="14" t="s">
        <v>227</v>
      </c>
      <c r="D139" s="14" t="s">
        <v>2675</v>
      </c>
      <c r="E139" s="14" t="s">
        <v>282</v>
      </c>
      <c r="F139" s="14" t="s">
        <v>283</v>
      </c>
      <c r="G139" s="14" t="s">
        <v>313</v>
      </c>
      <c r="H139" s="14" t="s">
        <v>32</v>
      </c>
      <c r="I139" s="14" t="s">
        <v>381</v>
      </c>
      <c r="J139" s="14">
        <v>101</v>
      </c>
      <c r="K139" s="14">
        <v>12015</v>
      </c>
      <c r="L139" s="14">
        <v>245011</v>
      </c>
      <c r="M139" s="14">
        <v>9999</v>
      </c>
      <c r="N139" s="14" t="s">
        <v>1</v>
      </c>
      <c r="O139" s="18">
        <v>-16780.04</v>
      </c>
      <c r="P139" s="18">
        <v>-16780.04</v>
      </c>
      <c r="Q139" s="14" t="s">
        <v>2947</v>
      </c>
      <c r="R139" s="14" t="s">
        <v>2950</v>
      </c>
      <c r="S139" s="14" t="s">
        <v>280</v>
      </c>
      <c r="U139" s="14" t="s">
        <v>2951</v>
      </c>
      <c r="V139" s="14" t="s">
        <v>315</v>
      </c>
      <c r="W139" s="14" t="s">
        <v>227</v>
      </c>
      <c r="X139" s="14" t="s">
        <v>227</v>
      </c>
      <c r="Y139" s="28">
        <v>44500</v>
      </c>
      <c r="Z139" s="28">
        <v>44503</v>
      </c>
    </row>
    <row r="140" spans="1:26" x14ac:dyDescent="0.2">
      <c r="A140" s="14" t="s">
        <v>227</v>
      </c>
      <c r="B140" s="14" t="s">
        <v>227</v>
      </c>
      <c r="D140" s="14" t="s">
        <v>859</v>
      </c>
      <c r="E140" s="14" t="s">
        <v>282</v>
      </c>
      <c r="F140" s="14" t="s">
        <v>283</v>
      </c>
      <c r="G140" s="14" t="s">
        <v>313</v>
      </c>
      <c r="H140" s="14" t="s">
        <v>32</v>
      </c>
      <c r="I140" s="14" t="s">
        <v>381</v>
      </c>
      <c r="J140" s="14">
        <v>101</v>
      </c>
      <c r="K140" s="14">
        <v>12015</v>
      </c>
      <c r="L140" s="14">
        <v>245011</v>
      </c>
      <c r="M140" s="14">
        <v>9999</v>
      </c>
      <c r="N140" s="14" t="s">
        <v>1</v>
      </c>
      <c r="O140" s="18">
        <v>-14011.82</v>
      </c>
      <c r="P140" s="18">
        <v>-14011.82</v>
      </c>
      <c r="Q140" s="14" t="s">
        <v>2947</v>
      </c>
      <c r="R140" s="14" t="s">
        <v>2952</v>
      </c>
      <c r="S140" s="14" t="s">
        <v>227</v>
      </c>
      <c r="U140" s="14" t="s">
        <v>2953</v>
      </c>
      <c r="V140" s="14" t="s">
        <v>328</v>
      </c>
      <c r="W140" s="14" t="s">
        <v>227</v>
      </c>
      <c r="X140" s="14" t="s">
        <v>227</v>
      </c>
      <c r="Y140" s="28">
        <v>44592</v>
      </c>
      <c r="Z140" s="28">
        <v>44592</v>
      </c>
    </row>
    <row r="141" spans="1:26" x14ac:dyDescent="0.2">
      <c r="A141" s="14" t="s">
        <v>227</v>
      </c>
      <c r="B141" s="14" t="s">
        <v>227</v>
      </c>
      <c r="D141" s="14" t="s">
        <v>1257</v>
      </c>
      <c r="E141" s="14" t="s">
        <v>282</v>
      </c>
      <c r="F141" s="14" t="s">
        <v>283</v>
      </c>
      <c r="G141" s="14" t="s">
        <v>65</v>
      </c>
      <c r="H141" s="14" t="s">
        <v>65</v>
      </c>
      <c r="I141" s="14" t="s">
        <v>540</v>
      </c>
      <c r="J141" s="14">
        <v>101</v>
      </c>
      <c r="K141" s="14">
        <v>11016</v>
      </c>
      <c r="L141" s="14">
        <v>245011</v>
      </c>
      <c r="M141" s="14">
        <v>9999</v>
      </c>
      <c r="N141" s="14" t="s">
        <v>1</v>
      </c>
      <c r="O141" s="18">
        <v>-311549.33</v>
      </c>
      <c r="P141" s="18">
        <v>-311549.33</v>
      </c>
      <c r="Q141" s="14" t="s">
        <v>2954</v>
      </c>
      <c r="R141" s="14" t="s">
        <v>2955</v>
      </c>
      <c r="S141" s="14" t="s">
        <v>280</v>
      </c>
      <c r="U141" s="14" t="s">
        <v>2956</v>
      </c>
      <c r="V141" s="14" t="s">
        <v>287</v>
      </c>
      <c r="W141" s="14" t="s">
        <v>227</v>
      </c>
      <c r="X141" s="14" t="s">
        <v>227</v>
      </c>
      <c r="Y141" s="28">
        <v>44712</v>
      </c>
      <c r="Z141" s="28">
        <v>44718</v>
      </c>
    </row>
    <row r="142" spans="1:26" x14ac:dyDescent="0.2">
      <c r="A142" s="14" t="s">
        <v>227</v>
      </c>
      <c r="B142" s="14" t="s">
        <v>227</v>
      </c>
      <c r="D142" s="14" t="s">
        <v>2957</v>
      </c>
      <c r="E142" s="14" t="s">
        <v>282</v>
      </c>
      <c r="F142" s="14" t="s">
        <v>283</v>
      </c>
      <c r="G142" s="14" t="s">
        <v>65</v>
      </c>
      <c r="H142" s="14" t="s">
        <v>65</v>
      </c>
      <c r="I142" s="14" t="s">
        <v>540</v>
      </c>
      <c r="J142" s="14">
        <v>101</v>
      </c>
      <c r="K142" s="14">
        <v>11016</v>
      </c>
      <c r="L142" s="14">
        <v>245011</v>
      </c>
      <c r="M142" s="14">
        <v>9999</v>
      </c>
      <c r="N142" s="14" t="s">
        <v>1</v>
      </c>
      <c r="O142" s="18">
        <v>311549.33</v>
      </c>
      <c r="P142" s="18">
        <v>311549.33</v>
      </c>
      <c r="Q142" s="14">
        <v>311549.33</v>
      </c>
      <c r="R142" s="14" t="s">
        <v>2958</v>
      </c>
      <c r="S142" s="14" t="s">
        <v>227</v>
      </c>
      <c r="U142" s="14" t="s">
        <v>2959</v>
      </c>
      <c r="V142" s="14" t="s">
        <v>287</v>
      </c>
      <c r="W142" s="14" t="s">
        <v>227</v>
      </c>
      <c r="X142" s="14" t="s">
        <v>227</v>
      </c>
      <c r="Y142" s="28">
        <v>44761</v>
      </c>
      <c r="Z142" s="28">
        <v>44762</v>
      </c>
    </row>
    <row r="143" spans="1:26" x14ac:dyDescent="0.2">
      <c r="A143" s="14" t="s">
        <v>227</v>
      </c>
      <c r="B143" s="14" t="s">
        <v>227</v>
      </c>
      <c r="D143" s="14" t="s">
        <v>934</v>
      </c>
      <c r="E143" s="14" t="s">
        <v>282</v>
      </c>
      <c r="F143" s="14" t="s">
        <v>294</v>
      </c>
      <c r="G143" s="14" t="s">
        <v>305</v>
      </c>
      <c r="H143" s="14" t="s">
        <v>40</v>
      </c>
      <c r="I143" s="14" t="s">
        <v>479</v>
      </c>
      <c r="J143" s="14">
        <v>101</v>
      </c>
      <c r="K143" s="14">
        <v>13004</v>
      </c>
      <c r="L143" s="14">
        <v>245011</v>
      </c>
      <c r="M143" s="14">
        <v>9999</v>
      </c>
      <c r="N143" s="14" t="s">
        <v>1</v>
      </c>
      <c r="O143" s="18">
        <v>583367</v>
      </c>
      <c r="P143" s="18">
        <v>583367</v>
      </c>
      <c r="Q143" s="14" t="s">
        <v>2960</v>
      </c>
      <c r="R143" s="14" t="s">
        <v>2961</v>
      </c>
      <c r="S143" s="14" t="s">
        <v>280</v>
      </c>
      <c r="U143" s="14" t="s">
        <v>2962</v>
      </c>
      <c r="V143" s="14" t="s">
        <v>287</v>
      </c>
      <c r="W143" s="14" t="s">
        <v>227</v>
      </c>
      <c r="X143" s="14" t="s">
        <v>227</v>
      </c>
      <c r="Y143" s="28">
        <v>44561</v>
      </c>
      <c r="Z143" s="28">
        <v>44571</v>
      </c>
    </row>
    <row r="144" spans="1:26" x14ac:dyDescent="0.2">
      <c r="A144" s="14" t="s">
        <v>227</v>
      </c>
      <c r="B144" s="14" t="s">
        <v>227</v>
      </c>
      <c r="D144" s="14" t="s">
        <v>2957</v>
      </c>
      <c r="E144" s="14" t="s">
        <v>282</v>
      </c>
      <c r="F144" s="14" t="s">
        <v>294</v>
      </c>
      <c r="G144" s="14" t="s">
        <v>305</v>
      </c>
      <c r="H144" s="14" t="s">
        <v>40</v>
      </c>
      <c r="I144" s="14" t="s">
        <v>479</v>
      </c>
      <c r="J144" s="14">
        <v>101</v>
      </c>
      <c r="K144" s="14">
        <v>13004</v>
      </c>
      <c r="L144" s="14">
        <v>245011</v>
      </c>
      <c r="M144" s="14">
        <v>9999</v>
      </c>
      <c r="N144" s="14" t="s">
        <v>1</v>
      </c>
      <c r="O144" s="18">
        <v>-583367</v>
      </c>
      <c r="P144" s="18">
        <v>-583367</v>
      </c>
      <c r="Q144" s="14">
        <v>-583367</v>
      </c>
      <c r="R144" s="14" t="s">
        <v>2963</v>
      </c>
      <c r="S144" s="14" t="s">
        <v>227</v>
      </c>
      <c r="U144" s="14" t="s">
        <v>2964</v>
      </c>
      <c r="V144" s="14" t="s">
        <v>287</v>
      </c>
      <c r="W144" s="14" t="s">
        <v>227</v>
      </c>
      <c r="X144" s="14" t="s">
        <v>227</v>
      </c>
      <c r="Y144" s="28">
        <v>44773</v>
      </c>
      <c r="Z144" s="28">
        <v>44777</v>
      </c>
    </row>
    <row r="145" spans="1:26" x14ac:dyDescent="0.2">
      <c r="A145" s="14" t="s">
        <v>227</v>
      </c>
      <c r="B145" s="14" t="s">
        <v>227</v>
      </c>
      <c r="D145" s="14" t="s">
        <v>2957</v>
      </c>
      <c r="E145" s="14" t="s">
        <v>282</v>
      </c>
      <c r="F145" s="14" t="s">
        <v>294</v>
      </c>
      <c r="G145" s="14" t="s">
        <v>295</v>
      </c>
      <c r="H145" s="14" t="s">
        <v>75</v>
      </c>
      <c r="I145" s="14" t="s">
        <v>2060</v>
      </c>
      <c r="J145" s="14">
        <v>101</v>
      </c>
      <c r="K145" s="14">
        <v>13006</v>
      </c>
      <c r="L145" s="14">
        <v>245011</v>
      </c>
      <c r="M145" s="14">
        <v>9999</v>
      </c>
      <c r="N145" s="14" t="s">
        <v>1</v>
      </c>
      <c r="O145" s="18">
        <v>132501.51999999999</v>
      </c>
      <c r="P145" s="18">
        <v>132501.51999999999</v>
      </c>
      <c r="Q145" s="14">
        <v>132501.51999999999</v>
      </c>
      <c r="R145" s="14" t="s">
        <v>2965</v>
      </c>
      <c r="S145" s="14" t="s">
        <v>227</v>
      </c>
      <c r="U145" s="14" t="s">
        <v>2966</v>
      </c>
      <c r="V145" s="14" t="s">
        <v>287</v>
      </c>
      <c r="W145" s="14" t="s">
        <v>227</v>
      </c>
      <c r="X145" s="14" t="s">
        <v>227</v>
      </c>
      <c r="Y145" s="28">
        <v>44773</v>
      </c>
      <c r="Z145" s="28">
        <v>44777</v>
      </c>
    </row>
    <row r="146" spans="1:26" x14ac:dyDescent="0.2">
      <c r="A146" s="14" t="s">
        <v>227</v>
      </c>
      <c r="B146" s="14" t="s">
        <v>227</v>
      </c>
      <c r="D146" s="14" t="s">
        <v>2957</v>
      </c>
      <c r="E146" s="14" t="s">
        <v>282</v>
      </c>
      <c r="F146" s="14" t="s">
        <v>294</v>
      </c>
      <c r="G146" s="14" t="s">
        <v>295</v>
      </c>
      <c r="H146" s="14" t="s">
        <v>75</v>
      </c>
      <c r="I146" s="14" t="s">
        <v>2060</v>
      </c>
      <c r="J146" s="14">
        <v>101</v>
      </c>
      <c r="K146" s="14">
        <v>13006</v>
      </c>
      <c r="L146" s="14">
        <v>245011</v>
      </c>
      <c r="M146" s="14">
        <v>9999</v>
      </c>
      <c r="N146" s="14" t="s">
        <v>1</v>
      </c>
      <c r="O146" s="18">
        <v>-132501.51999999999</v>
      </c>
      <c r="P146" s="18">
        <v>-132501.51999999999</v>
      </c>
      <c r="Q146" s="14">
        <v>-132501.51999999999</v>
      </c>
      <c r="R146" s="14" t="s">
        <v>2967</v>
      </c>
      <c r="S146" s="14" t="s">
        <v>227</v>
      </c>
      <c r="U146" s="14" t="s">
        <v>2968</v>
      </c>
      <c r="V146" s="14" t="s">
        <v>287</v>
      </c>
      <c r="W146" s="14" t="s">
        <v>227</v>
      </c>
      <c r="X146" s="14" t="s">
        <v>227</v>
      </c>
      <c r="Y146" s="28">
        <v>44773</v>
      </c>
      <c r="Z146" s="28">
        <v>44776</v>
      </c>
    </row>
    <row r="147" spans="1:26" s="29" customFormat="1" x14ac:dyDescent="0.2">
      <c r="A147" s="14" t="s">
        <v>227</v>
      </c>
      <c r="B147" s="14" t="s">
        <v>227</v>
      </c>
      <c r="C147" s="14"/>
      <c r="D147" s="14" t="s">
        <v>934</v>
      </c>
      <c r="E147" s="14" t="s">
        <v>282</v>
      </c>
      <c r="F147" s="14" t="s">
        <v>283</v>
      </c>
      <c r="G147" s="14" t="s">
        <v>313</v>
      </c>
      <c r="H147" s="14" t="s">
        <v>77</v>
      </c>
      <c r="I147" s="14" t="s">
        <v>594</v>
      </c>
      <c r="J147" s="14">
        <v>101</v>
      </c>
      <c r="K147" s="14">
        <v>11001</v>
      </c>
      <c r="L147" s="14">
        <v>245011</v>
      </c>
      <c r="M147" s="14">
        <v>9999</v>
      </c>
      <c r="N147" s="14" t="s">
        <v>1</v>
      </c>
      <c r="O147" s="18">
        <v>162945</v>
      </c>
      <c r="P147" s="18">
        <v>162945</v>
      </c>
      <c r="Q147" s="14" t="s">
        <v>2969</v>
      </c>
      <c r="R147" s="14" t="s">
        <v>2970</v>
      </c>
      <c r="S147" s="14" t="s">
        <v>280</v>
      </c>
      <c r="T147" s="14"/>
      <c r="U147" s="14" t="s">
        <v>2971</v>
      </c>
      <c r="V147" s="14" t="s">
        <v>315</v>
      </c>
      <c r="W147" s="14" t="s">
        <v>227</v>
      </c>
      <c r="X147" s="14" t="s">
        <v>227</v>
      </c>
      <c r="Y147" s="28">
        <v>44561</v>
      </c>
      <c r="Z147" s="28">
        <v>44568</v>
      </c>
    </row>
    <row r="148" spans="1:26" s="29" customFormat="1" x14ac:dyDescent="0.2">
      <c r="A148" s="29" t="s">
        <v>227</v>
      </c>
      <c r="B148" s="29" t="s">
        <v>227</v>
      </c>
      <c r="D148" s="29" t="s">
        <v>859</v>
      </c>
      <c r="E148" s="29" t="s">
        <v>282</v>
      </c>
      <c r="F148" s="29" t="s">
        <v>283</v>
      </c>
      <c r="G148" s="29" t="s">
        <v>313</v>
      </c>
      <c r="H148" s="29" t="s">
        <v>77</v>
      </c>
      <c r="I148" s="29" t="s">
        <v>594</v>
      </c>
      <c r="J148" s="29">
        <v>101</v>
      </c>
      <c r="K148" s="29">
        <v>11001</v>
      </c>
      <c r="L148" s="29">
        <v>245011</v>
      </c>
      <c r="M148" s="29">
        <v>9999</v>
      </c>
      <c r="N148" s="29" t="s">
        <v>1</v>
      </c>
      <c r="O148" s="18">
        <v>-151702.38</v>
      </c>
      <c r="P148" s="18">
        <v>-151702.38</v>
      </c>
      <c r="Q148" s="29" t="s">
        <v>2969</v>
      </c>
      <c r="R148" s="29" t="s">
        <v>2972</v>
      </c>
      <c r="S148" s="29" t="s">
        <v>227</v>
      </c>
      <c r="U148" s="29" t="s">
        <v>2973</v>
      </c>
      <c r="V148" s="29" t="s">
        <v>328</v>
      </c>
      <c r="W148" s="29" t="s">
        <v>227</v>
      </c>
      <c r="X148" s="29" t="s">
        <v>227</v>
      </c>
      <c r="Y148" s="29">
        <v>44592</v>
      </c>
      <c r="Z148" s="29">
        <v>44594</v>
      </c>
    </row>
    <row r="149" spans="1:26" s="29" customFormat="1" x14ac:dyDescent="0.2">
      <c r="A149" s="14" t="s">
        <v>227</v>
      </c>
      <c r="B149" s="14" t="s">
        <v>227</v>
      </c>
      <c r="C149" s="14"/>
      <c r="D149" s="14" t="s">
        <v>2754</v>
      </c>
      <c r="E149" s="14" t="s">
        <v>282</v>
      </c>
      <c r="F149" s="14" t="s">
        <v>283</v>
      </c>
      <c r="G149" s="14" t="s">
        <v>313</v>
      </c>
      <c r="H149" s="14" t="s">
        <v>77</v>
      </c>
      <c r="I149" s="14" t="s">
        <v>594</v>
      </c>
      <c r="J149" s="14">
        <v>101</v>
      </c>
      <c r="K149" s="14">
        <v>11001</v>
      </c>
      <c r="L149" s="14">
        <v>245011</v>
      </c>
      <c r="M149" s="14">
        <v>9999</v>
      </c>
      <c r="N149" s="14" t="s">
        <v>1</v>
      </c>
      <c r="O149" s="18">
        <v>-4929.1900000000014</v>
      </c>
      <c r="P149" s="18">
        <v>-4929.1900000000014</v>
      </c>
      <c r="Q149" s="14" t="s">
        <v>2969</v>
      </c>
      <c r="R149" s="14" t="s">
        <v>2972</v>
      </c>
      <c r="S149" s="14" t="s">
        <v>227</v>
      </c>
      <c r="T149" s="14"/>
      <c r="U149" s="14" t="s">
        <v>2974</v>
      </c>
      <c r="V149" s="14" t="s">
        <v>328</v>
      </c>
      <c r="W149" s="14" t="s">
        <v>227</v>
      </c>
      <c r="X149" s="14" t="s">
        <v>227</v>
      </c>
      <c r="Y149" s="28">
        <v>44620</v>
      </c>
      <c r="Z149" s="28">
        <v>44622</v>
      </c>
    </row>
    <row r="150" spans="1:26" s="29" customFormat="1" x14ac:dyDescent="0.2">
      <c r="A150" s="14" t="s">
        <v>227</v>
      </c>
      <c r="B150" s="14" t="s">
        <v>227</v>
      </c>
      <c r="C150" s="14"/>
      <c r="D150" s="14" t="s">
        <v>934</v>
      </c>
      <c r="E150" s="14" t="s">
        <v>282</v>
      </c>
      <c r="F150" s="14" t="s">
        <v>283</v>
      </c>
      <c r="G150" s="14" t="s">
        <v>313</v>
      </c>
      <c r="H150" s="14" t="s">
        <v>77</v>
      </c>
      <c r="I150" s="14" t="s">
        <v>594</v>
      </c>
      <c r="J150" s="14">
        <v>101</v>
      </c>
      <c r="K150" s="14">
        <v>11001</v>
      </c>
      <c r="L150" s="14">
        <v>245011</v>
      </c>
      <c r="M150" s="14">
        <v>9999</v>
      </c>
      <c r="N150" s="14" t="s">
        <v>1</v>
      </c>
      <c r="O150" s="18">
        <v>352573.2</v>
      </c>
      <c r="P150" s="18">
        <v>352573.2</v>
      </c>
      <c r="Q150" s="14" t="s">
        <v>2969</v>
      </c>
      <c r="R150" s="14" t="s">
        <v>2970</v>
      </c>
      <c r="S150" s="14" t="s">
        <v>280</v>
      </c>
      <c r="T150" s="14"/>
      <c r="U150" s="14" t="s">
        <v>2975</v>
      </c>
      <c r="V150" s="14" t="s">
        <v>315</v>
      </c>
      <c r="W150" s="14" t="s">
        <v>227</v>
      </c>
      <c r="X150" s="14" t="s">
        <v>227</v>
      </c>
      <c r="Y150" s="14">
        <v>44561</v>
      </c>
      <c r="Z150" s="14">
        <v>44568</v>
      </c>
    </row>
    <row r="151" spans="1:26" s="29" customFormat="1" x14ac:dyDescent="0.2">
      <c r="A151" s="14" t="s">
        <v>227</v>
      </c>
      <c r="B151" s="14" t="s">
        <v>227</v>
      </c>
      <c r="C151" s="14"/>
      <c r="D151" s="14" t="s">
        <v>554</v>
      </c>
      <c r="E151" s="14" t="s">
        <v>282</v>
      </c>
      <c r="F151" s="14" t="s">
        <v>283</v>
      </c>
      <c r="G151" s="14" t="s">
        <v>313</v>
      </c>
      <c r="H151" s="14" t="s">
        <v>77</v>
      </c>
      <c r="I151" s="14" t="s">
        <v>594</v>
      </c>
      <c r="J151" s="14">
        <v>101</v>
      </c>
      <c r="K151" s="14">
        <v>11001</v>
      </c>
      <c r="L151" s="14">
        <v>245011</v>
      </c>
      <c r="M151" s="14">
        <v>9999</v>
      </c>
      <c r="N151" s="14" t="s">
        <v>1</v>
      </c>
      <c r="O151" s="18">
        <v>-40569.17</v>
      </c>
      <c r="P151" s="18">
        <v>-40569.17</v>
      </c>
      <c r="Q151" s="14" t="s">
        <v>2969</v>
      </c>
      <c r="R151" s="14" t="s">
        <v>2976</v>
      </c>
      <c r="S151" s="14" t="s">
        <v>227</v>
      </c>
      <c r="T151" s="14"/>
      <c r="U151" s="14" t="s">
        <v>2977</v>
      </c>
      <c r="V151" s="14" t="s">
        <v>328</v>
      </c>
      <c r="W151" s="14" t="s">
        <v>227</v>
      </c>
      <c r="X151" s="14" t="s">
        <v>227</v>
      </c>
      <c r="Y151" s="28">
        <v>44742</v>
      </c>
      <c r="Z151" s="28">
        <v>44748</v>
      </c>
    </row>
    <row r="152" spans="1:26" s="29" customFormat="1" x14ac:dyDescent="0.2">
      <c r="A152" s="14" t="s">
        <v>227</v>
      </c>
      <c r="B152" s="14" t="s">
        <v>227</v>
      </c>
      <c r="C152" s="14"/>
      <c r="D152" s="30" t="s">
        <v>562</v>
      </c>
      <c r="E152" s="14" t="s">
        <v>282</v>
      </c>
      <c r="F152" s="14" t="s">
        <v>283</v>
      </c>
      <c r="G152" s="14" t="s">
        <v>313</v>
      </c>
      <c r="H152" s="14" t="s">
        <v>77</v>
      </c>
      <c r="I152" s="14" t="s">
        <v>594</v>
      </c>
      <c r="J152" s="14">
        <v>101</v>
      </c>
      <c r="K152" s="14">
        <v>11001</v>
      </c>
      <c r="L152" s="14">
        <v>245011</v>
      </c>
      <c r="M152" s="14">
        <v>9999</v>
      </c>
      <c r="N152" s="14" t="s">
        <v>1</v>
      </c>
      <c r="O152" s="18">
        <v>4929.1900000000014</v>
      </c>
      <c r="P152" s="18">
        <v>4929.1900000000014</v>
      </c>
      <c r="Q152" s="14"/>
      <c r="R152" s="14" t="s">
        <v>2978</v>
      </c>
      <c r="S152" s="14" t="s">
        <v>227</v>
      </c>
      <c r="T152" s="14"/>
      <c r="U152" s="14" t="s">
        <v>2979</v>
      </c>
      <c r="V152" s="14" t="s">
        <v>328</v>
      </c>
      <c r="W152" s="14" t="s">
        <v>227</v>
      </c>
      <c r="X152" s="14" t="s">
        <v>227</v>
      </c>
      <c r="Y152" s="28">
        <v>44799</v>
      </c>
      <c r="Z152" s="28">
        <v>44799</v>
      </c>
    </row>
    <row r="153" spans="1:26" s="29" customFormat="1" x14ac:dyDescent="0.2">
      <c r="A153" s="14" t="s">
        <v>227</v>
      </c>
      <c r="B153" s="14" t="s">
        <v>227</v>
      </c>
      <c r="C153" s="14"/>
      <c r="D153" s="30" t="s">
        <v>562</v>
      </c>
      <c r="E153" s="14" t="s">
        <v>282</v>
      </c>
      <c r="F153" s="14" t="s">
        <v>283</v>
      </c>
      <c r="G153" s="14" t="s">
        <v>313</v>
      </c>
      <c r="H153" s="14" t="s">
        <v>77</v>
      </c>
      <c r="I153" s="14" t="s">
        <v>594</v>
      </c>
      <c r="J153" s="14">
        <v>101</v>
      </c>
      <c r="K153" s="14">
        <v>11001</v>
      </c>
      <c r="L153" s="14">
        <v>245011</v>
      </c>
      <c r="M153" s="14">
        <v>9999</v>
      </c>
      <c r="N153" s="14" t="s">
        <v>1</v>
      </c>
      <c r="O153" s="18">
        <v>-352573.2</v>
      </c>
      <c r="P153" s="18">
        <v>-352573.2</v>
      </c>
      <c r="Q153" s="14"/>
      <c r="R153" s="14" t="s">
        <v>2980</v>
      </c>
      <c r="S153" s="14" t="s">
        <v>227</v>
      </c>
      <c r="T153" s="14"/>
      <c r="U153" s="14" t="s">
        <v>2981</v>
      </c>
      <c r="V153" s="14" t="s">
        <v>315</v>
      </c>
      <c r="W153" s="14" t="s">
        <v>227</v>
      </c>
      <c r="X153" s="14" t="s">
        <v>227</v>
      </c>
      <c r="Y153" s="28">
        <v>44799</v>
      </c>
      <c r="Z153" s="28">
        <v>44799</v>
      </c>
    </row>
    <row r="154" spans="1:26" s="29" customFormat="1" x14ac:dyDescent="0.2">
      <c r="A154" s="29" t="s">
        <v>227</v>
      </c>
      <c r="B154" s="29" t="s">
        <v>227</v>
      </c>
      <c r="D154" s="29" t="s">
        <v>562</v>
      </c>
      <c r="E154" s="29" t="s">
        <v>282</v>
      </c>
      <c r="F154" s="29" t="s">
        <v>283</v>
      </c>
      <c r="G154" s="29" t="s">
        <v>313</v>
      </c>
      <c r="H154" s="29" t="s">
        <v>77</v>
      </c>
      <c r="I154" s="29" t="s">
        <v>594</v>
      </c>
      <c r="J154" s="29">
        <v>101</v>
      </c>
      <c r="K154" s="29">
        <v>11001</v>
      </c>
      <c r="L154" s="29">
        <v>245011</v>
      </c>
      <c r="M154" s="29">
        <v>9999</v>
      </c>
      <c r="N154" s="29" t="s">
        <v>1</v>
      </c>
      <c r="O154" s="18">
        <v>-162945</v>
      </c>
      <c r="P154" s="18">
        <v>-162945</v>
      </c>
      <c r="R154" s="29" t="s">
        <v>2982</v>
      </c>
      <c r="S154" s="29" t="s">
        <v>227</v>
      </c>
      <c r="U154" s="29" t="s">
        <v>2983</v>
      </c>
      <c r="V154" s="29" t="s">
        <v>315</v>
      </c>
      <c r="W154" s="29" t="s">
        <v>227</v>
      </c>
      <c r="X154" s="29" t="s">
        <v>227</v>
      </c>
      <c r="Y154" s="29">
        <v>44799</v>
      </c>
      <c r="Z154" s="29">
        <v>44799</v>
      </c>
    </row>
    <row r="155" spans="1:26" s="29" customFormat="1" x14ac:dyDescent="0.2">
      <c r="A155" s="14" t="s">
        <v>227</v>
      </c>
      <c r="B155" s="14" t="s">
        <v>227</v>
      </c>
      <c r="C155" s="14"/>
      <c r="D155" s="14" t="s">
        <v>562</v>
      </c>
      <c r="E155" s="14" t="s">
        <v>282</v>
      </c>
      <c r="F155" s="14" t="s">
        <v>283</v>
      </c>
      <c r="G155" s="14" t="s">
        <v>313</v>
      </c>
      <c r="H155" s="14" t="s">
        <v>77</v>
      </c>
      <c r="I155" s="14" t="s">
        <v>594</v>
      </c>
      <c r="J155" s="14">
        <v>101</v>
      </c>
      <c r="K155" s="14">
        <v>11001</v>
      </c>
      <c r="L155" s="14">
        <v>245011</v>
      </c>
      <c r="M155" s="14">
        <v>9999</v>
      </c>
      <c r="N155" s="14" t="s">
        <v>1</v>
      </c>
      <c r="O155" s="18">
        <v>151702.38</v>
      </c>
      <c r="P155" s="18">
        <v>151702.38</v>
      </c>
      <c r="Q155" s="14"/>
      <c r="R155" s="14" t="s">
        <v>2984</v>
      </c>
      <c r="S155" s="14" t="s">
        <v>227</v>
      </c>
      <c r="T155" s="14"/>
      <c r="U155" s="14" t="s">
        <v>2985</v>
      </c>
      <c r="V155" s="14" t="s">
        <v>328</v>
      </c>
      <c r="W155" s="14" t="s">
        <v>227</v>
      </c>
      <c r="X155" s="14" t="s">
        <v>227</v>
      </c>
      <c r="Y155" s="28">
        <v>44799</v>
      </c>
      <c r="Z155" s="28">
        <v>44799</v>
      </c>
    </row>
    <row r="156" spans="1:26" x14ac:dyDescent="0.2">
      <c r="A156" s="14" t="s">
        <v>227</v>
      </c>
      <c r="B156" s="14" t="s">
        <v>227</v>
      </c>
      <c r="D156" s="30" t="s">
        <v>562</v>
      </c>
      <c r="E156" s="14" t="s">
        <v>282</v>
      </c>
      <c r="F156" s="14" t="s">
        <v>283</v>
      </c>
      <c r="G156" s="14" t="s">
        <v>313</v>
      </c>
      <c r="H156" s="14" t="s">
        <v>77</v>
      </c>
      <c r="I156" s="14" t="s">
        <v>594</v>
      </c>
      <c r="J156" s="14">
        <v>101</v>
      </c>
      <c r="K156" s="14">
        <v>11001</v>
      </c>
      <c r="L156" s="14">
        <v>245011</v>
      </c>
      <c r="M156" s="14">
        <v>9999</v>
      </c>
      <c r="N156" s="14" t="s">
        <v>1</v>
      </c>
      <c r="O156" s="18">
        <v>40569.17</v>
      </c>
      <c r="P156" s="18">
        <v>40569.17</v>
      </c>
      <c r="R156" s="14" t="s">
        <v>2986</v>
      </c>
      <c r="S156" s="14" t="s">
        <v>227</v>
      </c>
      <c r="U156" s="14" t="s">
        <v>2987</v>
      </c>
      <c r="V156" s="14" t="s">
        <v>328</v>
      </c>
      <c r="W156" s="14" t="s">
        <v>227</v>
      </c>
      <c r="X156" s="14" t="s">
        <v>227</v>
      </c>
      <c r="Y156" s="28">
        <v>44799</v>
      </c>
      <c r="Z156" s="28">
        <v>44799</v>
      </c>
    </row>
    <row r="157" spans="1:26" x14ac:dyDescent="0.2">
      <c r="A157" s="14" t="s">
        <v>227</v>
      </c>
      <c r="B157" s="14" t="s">
        <v>227</v>
      </c>
      <c r="D157" s="14" t="s">
        <v>554</v>
      </c>
      <c r="E157" s="14" t="s">
        <v>282</v>
      </c>
      <c r="F157" s="14" t="s">
        <v>283</v>
      </c>
      <c r="G157" s="14" t="s">
        <v>313</v>
      </c>
      <c r="H157" s="14" t="s">
        <v>23</v>
      </c>
      <c r="I157" s="14" t="s">
        <v>415</v>
      </c>
      <c r="J157" s="14">
        <v>101</v>
      </c>
      <c r="K157" s="14">
        <v>11003</v>
      </c>
      <c r="L157" s="14">
        <v>245011</v>
      </c>
      <c r="M157" s="14">
        <v>9999</v>
      </c>
      <c r="N157" s="14" t="s">
        <v>1</v>
      </c>
      <c r="O157" s="18">
        <v>21938.02</v>
      </c>
      <c r="P157" s="18">
        <v>21938.02</v>
      </c>
      <c r="Q157" s="14" t="s">
        <v>2988</v>
      </c>
      <c r="R157" s="14" t="s">
        <v>2989</v>
      </c>
      <c r="S157" s="14" t="s">
        <v>280</v>
      </c>
      <c r="U157" s="14" t="s">
        <v>2990</v>
      </c>
      <c r="V157" s="14" t="s">
        <v>287</v>
      </c>
      <c r="W157" s="14" t="s">
        <v>227</v>
      </c>
      <c r="X157" s="14" t="s">
        <v>227</v>
      </c>
      <c r="Y157" s="28">
        <v>44742</v>
      </c>
      <c r="Z157" s="28">
        <v>44748</v>
      </c>
    </row>
    <row r="158" spans="1:26" x14ac:dyDescent="0.2">
      <c r="A158" s="14" t="s">
        <v>227</v>
      </c>
      <c r="B158" s="14" t="s">
        <v>227</v>
      </c>
      <c r="D158" s="14" t="s">
        <v>562</v>
      </c>
      <c r="E158" s="14" t="s">
        <v>282</v>
      </c>
      <c r="F158" s="14" t="s">
        <v>283</v>
      </c>
      <c r="G158" s="14" t="s">
        <v>313</v>
      </c>
      <c r="H158" s="14" t="s">
        <v>23</v>
      </c>
      <c r="I158" s="14" t="s">
        <v>415</v>
      </c>
      <c r="J158" s="14">
        <v>101</v>
      </c>
      <c r="K158" s="14">
        <v>11003</v>
      </c>
      <c r="L158" s="14">
        <v>245011</v>
      </c>
      <c r="M158" s="14">
        <v>9999</v>
      </c>
      <c r="N158" s="14" t="s">
        <v>1</v>
      </c>
      <c r="O158" s="18">
        <v>-21938.02</v>
      </c>
      <c r="P158" s="18">
        <v>-21938.02</v>
      </c>
      <c r="R158" s="14" t="s">
        <v>2991</v>
      </c>
      <c r="S158" s="14" t="s">
        <v>227</v>
      </c>
      <c r="U158" s="14" t="s">
        <v>2992</v>
      </c>
      <c r="V158" s="14" t="s">
        <v>287</v>
      </c>
      <c r="W158" s="14" t="s">
        <v>227</v>
      </c>
      <c r="X158" s="14" t="s">
        <v>227</v>
      </c>
      <c r="Y158" s="28">
        <v>44795</v>
      </c>
      <c r="Z158" s="28">
        <v>44795</v>
      </c>
    </row>
    <row r="159" spans="1:26" x14ac:dyDescent="0.2">
      <c r="A159" s="14" t="s">
        <v>227</v>
      </c>
      <c r="B159" s="14" t="s">
        <v>227</v>
      </c>
      <c r="D159" s="14" t="s">
        <v>2847</v>
      </c>
      <c r="E159" s="14" t="s">
        <v>282</v>
      </c>
      <c r="F159" s="14" t="s">
        <v>283</v>
      </c>
      <c r="G159" s="14" t="s">
        <v>366</v>
      </c>
      <c r="H159" s="14" t="s">
        <v>35</v>
      </c>
      <c r="I159" s="14" t="s">
        <v>490</v>
      </c>
      <c r="J159" s="14">
        <v>101</v>
      </c>
      <c r="K159" s="14">
        <v>11010</v>
      </c>
      <c r="L159" s="14">
        <v>245011</v>
      </c>
      <c r="M159" s="14">
        <v>9999</v>
      </c>
      <c r="N159" s="14" t="s">
        <v>1</v>
      </c>
      <c r="O159" s="18">
        <v>163817.5</v>
      </c>
      <c r="P159" s="18">
        <v>163817.5</v>
      </c>
      <c r="Q159" s="14" t="s">
        <v>2993</v>
      </c>
      <c r="R159" s="14" t="s">
        <v>2994</v>
      </c>
      <c r="S159" s="14" t="s">
        <v>227</v>
      </c>
      <c r="U159" s="14" t="s">
        <v>2995</v>
      </c>
      <c r="V159" s="14" t="s">
        <v>328</v>
      </c>
      <c r="W159" s="14" t="s">
        <v>227</v>
      </c>
      <c r="X159" s="14" t="s">
        <v>227</v>
      </c>
      <c r="Y159" s="28">
        <v>44439</v>
      </c>
      <c r="Z159" s="28">
        <v>44445</v>
      </c>
    </row>
    <row r="160" spans="1:26" x14ac:dyDescent="0.2">
      <c r="A160" s="14" t="s">
        <v>227</v>
      </c>
      <c r="B160" s="14" t="s">
        <v>227</v>
      </c>
      <c r="D160" s="14" t="s">
        <v>562</v>
      </c>
      <c r="E160" s="14" t="s">
        <v>282</v>
      </c>
      <c r="F160" s="14" t="s">
        <v>283</v>
      </c>
      <c r="G160" s="14" t="s">
        <v>366</v>
      </c>
      <c r="H160" s="14" t="s">
        <v>35</v>
      </c>
      <c r="I160" s="14" t="s">
        <v>490</v>
      </c>
      <c r="J160" s="14">
        <v>101</v>
      </c>
      <c r="K160" s="14">
        <v>11010</v>
      </c>
      <c r="L160" s="14">
        <v>245011</v>
      </c>
      <c r="M160" s="14">
        <v>9999</v>
      </c>
      <c r="N160" s="14" t="s">
        <v>1</v>
      </c>
      <c r="O160" s="18">
        <v>-163817.5</v>
      </c>
      <c r="P160" s="18">
        <v>-163817.5</v>
      </c>
      <c r="R160" s="14" t="s">
        <v>2996</v>
      </c>
      <c r="S160" s="14" t="s">
        <v>227</v>
      </c>
      <c r="U160" s="14" t="s">
        <v>2997</v>
      </c>
      <c r="V160" s="14" t="s">
        <v>328</v>
      </c>
      <c r="W160" s="14" t="s">
        <v>227</v>
      </c>
      <c r="X160" s="14" t="s">
        <v>227</v>
      </c>
      <c r="Y160" s="28">
        <v>44778</v>
      </c>
      <c r="Z160" s="28">
        <v>44778</v>
      </c>
    </row>
    <row r="161" spans="1:26" x14ac:dyDescent="0.2">
      <c r="A161" s="14" t="s">
        <v>227</v>
      </c>
      <c r="B161" s="14" t="s">
        <v>227</v>
      </c>
      <c r="D161" s="14" t="s">
        <v>863</v>
      </c>
      <c r="E161" s="14" t="s">
        <v>282</v>
      </c>
      <c r="F161" s="14" t="s">
        <v>283</v>
      </c>
      <c r="G161" s="14" t="s">
        <v>65</v>
      </c>
      <c r="H161" s="14" t="s">
        <v>65</v>
      </c>
      <c r="I161" s="14" t="s">
        <v>540</v>
      </c>
      <c r="J161" s="14">
        <v>101</v>
      </c>
      <c r="K161" s="14">
        <v>11016</v>
      </c>
      <c r="L161" s="14">
        <v>245011</v>
      </c>
      <c r="M161" s="14">
        <v>9999</v>
      </c>
      <c r="N161" s="14" t="s">
        <v>1</v>
      </c>
      <c r="O161" s="18">
        <v>-489207.12</v>
      </c>
      <c r="P161" s="18">
        <v>-489207.12</v>
      </c>
      <c r="Q161" s="14" t="s">
        <v>2998</v>
      </c>
      <c r="R161" s="14" t="s">
        <v>2842</v>
      </c>
      <c r="S161" s="14" t="s">
        <v>227</v>
      </c>
      <c r="U161" s="14" t="s">
        <v>2843</v>
      </c>
      <c r="V161" s="14" t="s">
        <v>328</v>
      </c>
      <c r="W161" s="14" t="s">
        <v>227</v>
      </c>
      <c r="X161" s="14" t="s">
        <v>227</v>
      </c>
      <c r="Y161" s="28">
        <v>44635</v>
      </c>
      <c r="Z161" s="28">
        <v>44635</v>
      </c>
    </row>
    <row r="162" spans="1:26" x14ac:dyDescent="0.2">
      <c r="A162" s="14" t="s">
        <v>227</v>
      </c>
      <c r="B162" s="14" t="s">
        <v>227</v>
      </c>
      <c r="D162" s="14" t="s">
        <v>863</v>
      </c>
      <c r="E162" s="14" t="s">
        <v>282</v>
      </c>
      <c r="F162" s="14" t="s">
        <v>283</v>
      </c>
      <c r="G162" s="14" t="s">
        <v>65</v>
      </c>
      <c r="H162" s="14" t="s">
        <v>65</v>
      </c>
      <c r="I162" s="14" t="s">
        <v>540</v>
      </c>
      <c r="J162" s="14">
        <v>101</v>
      </c>
      <c r="K162" s="14">
        <v>11016</v>
      </c>
      <c r="L162" s="14">
        <v>245011</v>
      </c>
      <c r="M162" s="14">
        <v>9999</v>
      </c>
      <c r="N162" s="14" t="s">
        <v>1</v>
      </c>
      <c r="O162" s="18">
        <v>-78000</v>
      </c>
      <c r="P162" s="18">
        <v>-78000</v>
      </c>
      <c r="Q162" s="14" t="s">
        <v>2998</v>
      </c>
      <c r="R162" s="14" t="s">
        <v>2999</v>
      </c>
      <c r="S162" s="14" t="s">
        <v>280</v>
      </c>
      <c r="U162" s="14" t="s">
        <v>3000</v>
      </c>
      <c r="V162" s="14" t="s">
        <v>287</v>
      </c>
      <c r="W162" s="14" t="s">
        <v>227</v>
      </c>
      <c r="X162" s="14" t="s">
        <v>227</v>
      </c>
      <c r="Y162" s="28">
        <v>44651</v>
      </c>
      <c r="Z162" s="28">
        <v>44657</v>
      </c>
    </row>
    <row r="163" spans="1:26" x14ac:dyDescent="0.2">
      <c r="A163" s="14" t="s">
        <v>227</v>
      </c>
      <c r="B163" s="14" t="s">
        <v>227</v>
      </c>
      <c r="D163" s="14" t="s">
        <v>863</v>
      </c>
      <c r="E163" s="14" t="s">
        <v>282</v>
      </c>
      <c r="F163" s="14" t="s">
        <v>283</v>
      </c>
      <c r="G163" s="14" t="s">
        <v>65</v>
      </c>
      <c r="H163" s="14" t="s">
        <v>65</v>
      </c>
      <c r="I163" s="14" t="s">
        <v>540</v>
      </c>
      <c r="J163" s="14">
        <v>101</v>
      </c>
      <c r="K163" s="14">
        <v>11016</v>
      </c>
      <c r="L163" s="14">
        <v>245011</v>
      </c>
      <c r="M163" s="14">
        <v>9999</v>
      </c>
      <c r="N163" s="14" t="s">
        <v>1</v>
      </c>
      <c r="O163" s="18">
        <v>543000</v>
      </c>
      <c r="P163" s="18">
        <v>543000</v>
      </c>
      <c r="Q163" s="14" t="s">
        <v>2998</v>
      </c>
      <c r="R163" s="14" t="s">
        <v>2842</v>
      </c>
      <c r="S163" s="14" t="s">
        <v>227</v>
      </c>
      <c r="U163" s="14" t="s">
        <v>2843</v>
      </c>
      <c r="V163" s="14" t="s">
        <v>328</v>
      </c>
      <c r="W163" s="14" t="s">
        <v>227</v>
      </c>
      <c r="X163" s="14" t="s">
        <v>227</v>
      </c>
      <c r="Y163" s="28">
        <v>44635</v>
      </c>
      <c r="Z163" s="28">
        <v>44635</v>
      </c>
    </row>
    <row r="164" spans="1:26" x14ac:dyDescent="0.2">
      <c r="A164" s="14" t="s">
        <v>227</v>
      </c>
      <c r="B164" s="14" t="s">
        <v>227</v>
      </c>
      <c r="D164" s="14" t="s">
        <v>562</v>
      </c>
      <c r="E164" s="14" t="s">
        <v>282</v>
      </c>
      <c r="F164" s="14" t="s">
        <v>283</v>
      </c>
      <c r="G164" s="14" t="s">
        <v>65</v>
      </c>
      <c r="H164" s="14" t="s">
        <v>65</v>
      </c>
      <c r="I164" s="14" t="s">
        <v>540</v>
      </c>
      <c r="J164" s="14">
        <v>101</v>
      </c>
      <c r="K164" s="14">
        <v>11016</v>
      </c>
      <c r="L164" s="14">
        <v>245011</v>
      </c>
      <c r="M164" s="14">
        <v>9999</v>
      </c>
      <c r="N164" s="14" t="s">
        <v>1</v>
      </c>
      <c r="O164" s="18">
        <v>489207.12</v>
      </c>
      <c r="P164" s="18">
        <v>489207.12</v>
      </c>
      <c r="R164" s="14" t="s">
        <v>563</v>
      </c>
      <c r="S164" s="14" t="s">
        <v>227</v>
      </c>
      <c r="U164" s="14" t="s">
        <v>560</v>
      </c>
      <c r="V164" s="14" t="s">
        <v>328</v>
      </c>
      <c r="W164" s="14" t="s">
        <v>227</v>
      </c>
      <c r="X164" s="14" t="s">
        <v>227</v>
      </c>
      <c r="Y164" s="28">
        <v>44790</v>
      </c>
      <c r="Z164" s="28">
        <v>44790</v>
      </c>
    </row>
    <row r="165" spans="1:26" x14ac:dyDescent="0.2">
      <c r="A165" s="14" t="s">
        <v>227</v>
      </c>
      <c r="B165" s="14" t="s">
        <v>227</v>
      </c>
      <c r="D165" s="14" t="s">
        <v>562</v>
      </c>
      <c r="E165" s="14" t="s">
        <v>282</v>
      </c>
      <c r="F165" s="14" t="s">
        <v>283</v>
      </c>
      <c r="G165" s="14" t="s">
        <v>65</v>
      </c>
      <c r="H165" s="14" t="s">
        <v>65</v>
      </c>
      <c r="I165" s="14" t="s">
        <v>540</v>
      </c>
      <c r="J165" s="14">
        <v>101</v>
      </c>
      <c r="K165" s="14">
        <v>11016</v>
      </c>
      <c r="L165" s="14">
        <v>245011</v>
      </c>
      <c r="M165" s="14">
        <v>9999</v>
      </c>
      <c r="N165" s="14" t="s">
        <v>1</v>
      </c>
      <c r="O165" s="18">
        <v>-543000</v>
      </c>
      <c r="P165" s="18">
        <v>-543000</v>
      </c>
      <c r="R165" s="14" t="s">
        <v>563</v>
      </c>
      <c r="S165" s="14" t="s">
        <v>227</v>
      </c>
      <c r="U165" s="14" t="s">
        <v>560</v>
      </c>
      <c r="V165" s="14" t="s">
        <v>328</v>
      </c>
      <c r="W165" s="14" t="s">
        <v>227</v>
      </c>
      <c r="X165" s="14" t="s">
        <v>227</v>
      </c>
      <c r="Y165" s="28">
        <v>44790</v>
      </c>
      <c r="Z165" s="28">
        <v>44790</v>
      </c>
    </row>
    <row r="166" spans="1:26" x14ac:dyDescent="0.2">
      <c r="A166" s="14" t="s">
        <v>227</v>
      </c>
      <c r="B166" s="14" t="s">
        <v>227</v>
      </c>
      <c r="D166" s="14" t="s">
        <v>562</v>
      </c>
      <c r="E166" s="14" t="s">
        <v>282</v>
      </c>
      <c r="F166" s="14" t="s">
        <v>283</v>
      </c>
      <c r="G166" s="14" t="s">
        <v>65</v>
      </c>
      <c r="H166" s="14" t="s">
        <v>65</v>
      </c>
      <c r="I166" s="14" t="s">
        <v>540</v>
      </c>
      <c r="J166" s="14">
        <v>101</v>
      </c>
      <c r="K166" s="14">
        <v>11016</v>
      </c>
      <c r="L166" s="14">
        <v>245011</v>
      </c>
      <c r="M166" s="14">
        <v>9999</v>
      </c>
      <c r="N166" s="14" t="s">
        <v>1</v>
      </c>
      <c r="O166" s="18">
        <v>78000</v>
      </c>
      <c r="P166" s="18">
        <v>78000</v>
      </c>
      <c r="R166" s="14" t="s">
        <v>3001</v>
      </c>
      <c r="S166" s="14" t="s">
        <v>227</v>
      </c>
      <c r="U166" s="14" t="s">
        <v>3002</v>
      </c>
      <c r="V166" s="14" t="s">
        <v>287</v>
      </c>
      <c r="W166" s="14" t="s">
        <v>227</v>
      </c>
      <c r="X166" s="14" t="s">
        <v>227</v>
      </c>
      <c r="Y166" s="28">
        <v>44790</v>
      </c>
      <c r="Z166" s="28">
        <v>44795</v>
      </c>
    </row>
    <row r="167" spans="1:26" x14ac:dyDescent="0.2">
      <c r="A167" s="14" t="s">
        <v>227</v>
      </c>
      <c r="B167" s="14" t="s">
        <v>227</v>
      </c>
      <c r="D167" s="14" t="s">
        <v>2675</v>
      </c>
      <c r="E167" s="14" t="s">
        <v>282</v>
      </c>
      <c r="F167" s="14" t="s">
        <v>283</v>
      </c>
      <c r="G167" s="14" t="s">
        <v>366</v>
      </c>
      <c r="H167" s="14" t="s">
        <v>73</v>
      </c>
      <c r="I167" s="14" t="s">
        <v>602</v>
      </c>
      <c r="J167" s="14">
        <v>101</v>
      </c>
      <c r="K167" s="14">
        <v>12021</v>
      </c>
      <c r="L167" s="14">
        <v>245011</v>
      </c>
      <c r="M167" s="14">
        <v>9999</v>
      </c>
      <c r="N167" s="14" t="s">
        <v>1</v>
      </c>
      <c r="O167" s="18">
        <v>2072.48</v>
      </c>
      <c r="P167" s="18">
        <v>2072.48</v>
      </c>
      <c r="Q167" s="14" t="s">
        <v>2993</v>
      </c>
      <c r="R167" s="14" t="s">
        <v>3003</v>
      </c>
      <c r="S167" s="14" t="s">
        <v>280</v>
      </c>
      <c r="U167" s="14" t="s">
        <v>3004</v>
      </c>
      <c r="V167" s="14" t="s">
        <v>315</v>
      </c>
      <c r="W167" s="14" t="s">
        <v>227</v>
      </c>
      <c r="X167" s="14" t="s">
        <v>227</v>
      </c>
      <c r="Y167" s="28">
        <v>44500</v>
      </c>
      <c r="Z167" s="28">
        <v>44503</v>
      </c>
    </row>
    <row r="168" spans="1:26" x14ac:dyDescent="0.2">
      <c r="A168" s="14" t="s">
        <v>227</v>
      </c>
      <c r="B168" s="14" t="s">
        <v>227</v>
      </c>
      <c r="D168" s="14" t="s">
        <v>562</v>
      </c>
      <c r="E168" s="14" t="s">
        <v>282</v>
      </c>
      <c r="F168" s="14" t="s">
        <v>283</v>
      </c>
      <c r="G168" s="14" t="s">
        <v>366</v>
      </c>
      <c r="H168" s="14" t="s">
        <v>73</v>
      </c>
      <c r="I168" s="14" t="s">
        <v>602</v>
      </c>
      <c r="J168" s="14">
        <v>101</v>
      </c>
      <c r="K168" s="14">
        <v>12021</v>
      </c>
      <c r="L168" s="14">
        <v>245011</v>
      </c>
      <c r="M168" s="14">
        <v>9999</v>
      </c>
      <c r="N168" s="14" t="s">
        <v>1</v>
      </c>
      <c r="O168" s="18">
        <v>-2072.48</v>
      </c>
      <c r="P168" s="18">
        <v>-2072.48</v>
      </c>
      <c r="R168" s="14" t="s">
        <v>3005</v>
      </c>
      <c r="S168" s="14" t="s">
        <v>227</v>
      </c>
      <c r="U168" s="14" t="s">
        <v>3006</v>
      </c>
      <c r="V168" s="14" t="s">
        <v>315</v>
      </c>
      <c r="W168" s="14" t="s">
        <v>227</v>
      </c>
      <c r="X168" s="14" t="s">
        <v>227</v>
      </c>
      <c r="Y168" s="28">
        <v>44790</v>
      </c>
      <c r="Z168" s="28">
        <v>44790</v>
      </c>
    </row>
    <row r="169" spans="1:26" x14ac:dyDescent="0.2">
      <c r="A169" s="14" t="s">
        <v>227</v>
      </c>
      <c r="B169" s="14" t="s">
        <v>227</v>
      </c>
      <c r="D169" s="14" t="s">
        <v>930</v>
      </c>
      <c r="E169" s="14" t="s">
        <v>282</v>
      </c>
      <c r="F169" s="14" t="s">
        <v>294</v>
      </c>
      <c r="G169" s="14" t="s">
        <v>295</v>
      </c>
      <c r="H169" s="14" t="s">
        <v>75</v>
      </c>
      <c r="I169" s="14" t="s">
        <v>474</v>
      </c>
      <c r="J169" s="14">
        <v>101</v>
      </c>
      <c r="K169" s="14">
        <v>13006</v>
      </c>
      <c r="L169" s="14">
        <v>245011</v>
      </c>
      <c r="M169" s="14">
        <v>9999</v>
      </c>
      <c r="N169" s="14" t="s">
        <v>1</v>
      </c>
      <c r="O169" s="18">
        <v>79370</v>
      </c>
      <c r="P169" s="18">
        <v>79370</v>
      </c>
      <c r="Q169" s="14" t="s">
        <v>3007</v>
      </c>
      <c r="R169" s="14" t="s">
        <v>3008</v>
      </c>
      <c r="S169" s="14" t="s">
        <v>280</v>
      </c>
      <c r="U169" s="14" t="s">
        <v>3009</v>
      </c>
      <c r="V169" s="14" t="s">
        <v>287</v>
      </c>
      <c r="W169" s="14" t="s">
        <v>227</v>
      </c>
      <c r="X169" s="14" t="s">
        <v>227</v>
      </c>
      <c r="Y169" s="28">
        <v>44530</v>
      </c>
      <c r="Z169" s="28">
        <v>44536</v>
      </c>
    </row>
    <row r="170" spans="1:26" x14ac:dyDescent="0.2">
      <c r="A170" s="14" t="s">
        <v>227</v>
      </c>
      <c r="B170" s="14" t="s">
        <v>227</v>
      </c>
      <c r="D170" s="14" t="s">
        <v>2754</v>
      </c>
      <c r="E170" s="14" t="s">
        <v>282</v>
      </c>
      <c r="F170" s="14" t="s">
        <v>294</v>
      </c>
      <c r="G170" s="14" t="s">
        <v>295</v>
      </c>
      <c r="H170" s="14" t="s">
        <v>75</v>
      </c>
      <c r="I170" s="14" t="s">
        <v>474</v>
      </c>
      <c r="J170" s="14">
        <v>101</v>
      </c>
      <c r="K170" s="14">
        <v>13006</v>
      </c>
      <c r="L170" s="14">
        <v>245011</v>
      </c>
      <c r="M170" s="14">
        <v>9999</v>
      </c>
      <c r="N170" s="14" t="s">
        <v>1</v>
      </c>
      <c r="O170" s="18">
        <v>-51135.97</v>
      </c>
      <c r="P170" s="18">
        <v>-51135.97</v>
      </c>
      <c r="Q170" s="14" t="s">
        <v>3007</v>
      </c>
      <c r="R170" s="14" t="s">
        <v>3010</v>
      </c>
      <c r="S170" s="14" t="s">
        <v>280</v>
      </c>
      <c r="U170" s="14" t="s">
        <v>3011</v>
      </c>
      <c r="V170" s="14" t="s">
        <v>287</v>
      </c>
      <c r="W170" s="14" t="s">
        <v>227</v>
      </c>
      <c r="X170" s="14" t="s">
        <v>227</v>
      </c>
      <c r="Y170" s="28">
        <v>44620</v>
      </c>
      <c r="Z170" s="28">
        <v>44624</v>
      </c>
    </row>
    <row r="171" spans="1:26" x14ac:dyDescent="0.2">
      <c r="A171" s="14" t="s">
        <v>227</v>
      </c>
      <c r="B171" s="14" t="s">
        <v>227</v>
      </c>
      <c r="D171" s="14" t="s">
        <v>863</v>
      </c>
      <c r="E171" s="14" t="s">
        <v>282</v>
      </c>
      <c r="F171" s="14" t="s">
        <v>294</v>
      </c>
      <c r="G171" s="14" t="s">
        <v>295</v>
      </c>
      <c r="H171" s="14" t="s">
        <v>75</v>
      </c>
      <c r="I171" s="14" t="s">
        <v>474</v>
      </c>
      <c r="J171" s="14">
        <v>101</v>
      </c>
      <c r="K171" s="14">
        <v>13006</v>
      </c>
      <c r="L171" s="14">
        <v>245011</v>
      </c>
      <c r="M171" s="14">
        <v>9999</v>
      </c>
      <c r="N171" s="14" t="s">
        <v>1</v>
      </c>
      <c r="O171" s="18">
        <v>-5169</v>
      </c>
      <c r="P171" s="18">
        <v>-5169</v>
      </c>
      <c r="Q171" s="14" t="s">
        <v>3007</v>
      </c>
      <c r="R171" s="14" t="s">
        <v>3010</v>
      </c>
      <c r="S171" s="14" t="s">
        <v>280</v>
      </c>
      <c r="U171" s="14" t="s">
        <v>3012</v>
      </c>
      <c r="V171" s="14" t="s">
        <v>287</v>
      </c>
      <c r="W171" s="14" t="s">
        <v>227</v>
      </c>
      <c r="X171" s="14" t="s">
        <v>227</v>
      </c>
      <c r="Y171" s="28">
        <v>44651</v>
      </c>
      <c r="Z171" s="28">
        <v>44657</v>
      </c>
    </row>
    <row r="172" spans="1:26" x14ac:dyDescent="0.2">
      <c r="A172" s="14" t="s">
        <v>227</v>
      </c>
      <c r="B172" s="14" t="s">
        <v>227</v>
      </c>
      <c r="D172" s="14" t="s">
        <v>2957</v>
      </c>
      <c r="E172" s="14" t="s">
        <v>282</v>
      </c>
      <c r="F172" s="14" t="s">
        <v>294</v>
      </c>
      <c r="G172" s="14" t="s">
        <v>295</v>
      </c>
      <c r="H172" s="14" t="s">
        <v>75</v>
      </c>
      <c r="I172" s="14" t="s">
        <v>2060</v>
      </c>
      <c r="J172" s="14">
        <v>101</v>
      </c>
      <c r="K172" s="14">
        <v>13006</v>
      </c>
      <c r="L172" s="14">
        <v>245011</v>
      </c>
      <c r="M172" s="14">
        <v>9999</v>
      </c>
      <c r="N172" s="14" t="s">
        <v>1</v>
      </c>
      <c r="O172" s="18">
        <v>-132501.51999999999</v>
      </c>
      <c r="P172" s="18">
        <v>-132501.51999999999</v>
      </c>
      <c r="Q172" s="14" t="s">
        <v>805</v>
      </c>
      <c r="R172" s="14" t="s">
        <v>3013</v>
      </c>
      <c r="S172" s="14" t="s">
        <v>227</v>
      </c>
      <c r="U172" s="14" t="s">
        <v>3014</v>
      </c>
      <c r="V172" s="14" t="s">
        <v>287</v>
      </c>
      <c r="W172" s="14" t="s">
        <v>227</v>
      </c>
      <c r="X172" s="14" t="s">
        <v>227</v>
      </c>
      <c r="Y172" s="28">
        <v>44773</v>
      </c>
      <c r="Z172" s="28">
        <v>44777</v>
      </c>
    </row>
    <row r="173" spans="1:26" x14ac:dyDescent="0.2">
      <c r="A173" s="14" t="s">
        <v>227</v>
      </c>
      <c r="B173" s="14" t="s">
        <v>227</v>
      </c>
      <c r="D173" s="14" t="s">
        <v>2957</v>
      </c>
      <c r="E173" s="14" t="s">
        <v>282</v>
      </c>
      <c r="F173" s="14" t="s">
        <v>294</v>
      </c>
      <c r="G173" s="14" t="s">
        <v>295</v>
      </c>
      <c r="H173" s="14" t="s">
        <v>75</v>
      </c>
      <c r="I173" s="14" t="s">
        <v>474</v>
      </c>
      <c r="J173" s="14">
        <v>101</v>
      </c>
      <c r="K173" s="14">
        <v>13006</v>
      </c>
      <c r="L173" s="14">
        <v>245011</v>
      </c>
      <c r="M173" s="14">
        <v>9999</v>
      </c>
      <c r="N173" s="14" t="s">
        <v>1</v>
      </c>
      <c r="O173" s="18">
        <v>-11107.2</v>
      </c>
      <c r="P173" s="18">
        <v>-11107.2</v>
      </c>
      <c r="Q173" s="14" t="s">
        <v>805</v>
      </c>
      <c r="R173" s="14" t="s">
        <v>3015</v>
      </c>
      <c r="S173" s="14" t="s">
        <v>227</v>
      </c>
      <c r="U173" s="14" t="s">
        <v>3015</v>
      </c>
      <c r="V173" s="14" t="s">
        <v>328</v>
      </c>
      <c r="W173" s="14" t="s">
        <v>227</v>
      </c>
      <c r="X173" s="14" t="s">
        <v>227</v>
      </c>
      <c r="Y173" s="28">
        <v>44773</v>
      </c>
      <c r="Z173" s="28">
        <v>44776</v>
      </c>
    </row>
    <row r="174" spans="1:26" x14ac:dyDescent="0.2">
      <c r="A174" s="14" t="s">
        <v>227</v>
      </c>
      <c r="B174" s="14" t="s">
        <v>227</v>
      </c>
      <c r="D174" s="14" t="s">
        <v>562</v>
      </c>
      <c r="E174" s="14" t="s">
        <v>282</v>
      </c>
      <c r="F174" s="14" t="s">
        <v>294</v>
      </c>
      <c r="G174" s="14" t="s">
        <v>295</v>
      </c>
      <c r="H174" s="14" t="s">
        <v>75</v>
      </c>
      <c r="I174" s="14" t="s">
        <v>474</v>
      </c>
      <c r="J174" s="14">
        <v>101</v>
      </c>
      <c r="K174" s="14">
        <v>13006</v>
      </c>
      <c r="L174" s="14">
        <v>245011</v>
      </c>
      <c r="M174" s="14">
        <v>9999</v>
      </c>
      <c r="N174" s="14" t="s">
        <v>1</v>
      </c>
      <c r="O174" s="18">
        <v>11107.2</v>
      </c>
      <c r="P174" s="18">
        <v>11107.2</v>
      </c>
      <c r="R174" s="39" t="s">
        <v>3016</v>
      </c>
      <c r="S174" s="14" t="s">
        <v>227</v>
      </c>
      <c r="U174" s="14" t="s">
        <v>3017</v>
      </c>
      <c r="V174" s="14" t="s">
        <v>328</v>
      </c>
      <c r="W174" s="14" t="s">
        <v>227</v>
      </c>
      <c r="X174" s="14" t="s">
        <v>227</v>
      </c>
      <c r="Y174" s="28">
        <v>44778</v>
      </c>
      <c r="Z174" s="28">
        <v>44781</v>
      </c>
    </row>
    <row r="175" spans="1:26" x14ac:dyDescent="0.2">
      <c r="A175" s="14" t="s">
        <v>227</v>
      </c>
      <c r="B175" s="14" t="s">
        <v>227</v>
      </c>
      <c r="D175" s="14" t="s">
        <v>562</v>
      </c>
      <c r="E175" s="14" t="s">
        <v>282</v>
      </c>
      <c r="F175" s="14" t="s">
        <v>294</v>
      </c>
      <c r="G175" s="14" t="s">
        <v>295</v>
      </c>
      <c r="H175" s="14" t="s">
        <v>75</v>
      </c>
      <c r="I175" s="14" t="s">
        <v>474</v>
      </c>
      <c r="J175" s="14">
        <v>101</v>
      </c>
      <c r="K175" s="14">
        <v>13006</v>
      </c>
      <c r="L175" s="14">
        <v>245011</v>
      </c>
      <c r="M175" s="14">
        <v>9999</v>
      </c>
      <c r="N175" s="14" t="s">
        <v>1</v>
      </c>
      <c r="O175" s="18">
        <v>5169</v>
      </c>
      <c r="P175" s="18">
        <v>5169</v>
      </c>
      <c r="R175" s="39" t="s">
        <v>3018</v>
      </c>
      <c r="S175" s="14" t="s">
        <v>227</v>
      </c>
      <c r="U175" s="14" t="s">
        <v>3019</v>
      </c>
      <c r="V175" s="14" t="s">
        <v>287</v>
      </c>
      <c r="W175" s="14" t="s">
        <v>227</v>
      </c>
      <c r="X175" s="14" t="s">
        <v>227</v>
      </c>
      <c r="Y175" s="28">
        <v>44804</v>
      </c>
      <c r="Z175" s="28">
        <v>44810</v>
      </c>
    </row>
    <row r="176" spans="1:26" x14ac:dyDescent="0.2">
      <c r="A176" s="14" t="s">
        <v>227</v>
      </c>
      <c r="B176" s="14" t="s">
        <v>227</v>
      </c>
      <c r="D176" s="14" t="s">
        <v>562</v>
      </c>
      <c r="E176" s="14" t="s">
        <v>282</v>
      </c>
      <c r="F176" s="14" t="s">
        <v>294</v>
      </c>
      <c r="G176" s="14" t="s">
        <v>295</v>
      </c>
      <c r="H176" s="14" t="s">
        <v>75</v>
      </c>
      <c r="I176" s="14" t="s">
        <v>474</v>
      </c>
      <c r="J176" s="14">
        <v>101</v>
      </c>
      <c r="K176" s="14">
        <v>13006</v>
      </c>
      <c r="L176" s="14">
        <v>245011</v>
      </c>
      <c r="M176" s="14">
        <v>9999</v>
      </c>
      <c r="N176" s="14" t="s">
        <v>1</v>
      </c>
      <c r="O176" s="18">
        <v>132501.51999999999</v>
      </c>
      <c r="P176" s="18">
        <v>132501.51999999999</v>
      </c>
      <c r="R176" s="39" t="s">
        <v>3020</v>
      </c>
      <c r="S176" s="14" t="s">
        <v>227</v>
      </c>
      <c r="U176" s="14" t="s">
        <v>3021</v>
      </c>
      <c r="V176" s="14" t="s">
        <v>287</v>
      </c>
      <c r="W176" s="14" t="s">
        <v>227</v>
      </c>
      <c r="X176" s="14" t="s">
        <v>227</v>
      </c>
      <c r="Y176" s="28">
        <v>44803</v>
      </c>
      <c r="Z176" s="28">
        <v>44804</v>
      </c>
    </row>
    <row r="177" spans="1:26" x14ac:dyDescent="0.2">
      <c r="A177" s="14" t="s">
        <v>227</v>
      </c>
      <c r="B177" s="14" t="s">
        <v>227</v>
      </c>
      <c r="D177" s="14" t="s">
        <v>562</v>
      </c>
      <c r="E177" s="14" t="s">
        <v>282</v>
      </c>
      <c r="F177" s="14" t="s">
        <v>294</v>
      </c>
      <c r="G177" s="14" t="s">
        <v>295</v>
      </c>
      <c r="H177" s="14" t="s">
        <v>75</v>
      </c>
      <c r="I177" s="14" t="s">
        <v>474</v>
      </c>
      <c r="J177" s="14">
        <v>101</v>
      </c>
      <c r="K177" s="14">
        <v>13006</v>
      </c>
      <c r="L177" s="14">
        <v>245011</v>
      </c>
      <c r="M177" s="14">
        <v>9999</v>
      </c>
      <c r="N177" s="14" t="s">
        <v>1</v>
      </c>
      <c r="O177" s="18">
        <v>51135.97</v>
      </c>
      <c r="P177" s="18">
        <v>51135.97</v>
      </c>
      <c r="R177" s="39" t="s">
        <v>3022</v>
      </c>
      <c r="S177" s="14" t="s">
        <v>227</v>
      </c>
      <c r="U177" s="14" t="s">
        <v>3023</v>
      </c>
      <c r="V177" s="14" t="s">
        <v>287</v>
      </c>
      <c r="W177" s="14" t="s">
        <v>227</v>
      </c>
      <c r="X177" s="14" t="s">
        <v>227</v>
      </c>
      <c r="Y177" s="28">
        <v>44804</v>
      </c>
      <c r="Z177" s="28">
        <v>44810</v>
      </c>
    </row>
    <row r="178" spans="1:26" x14ac:dyDescent="0.2">
      <c r="A178" s="14" t="s">
        <v>227</v>
      </c>
      <c r="B178" s="14" t="s">
        <v>227</v>
      </c>
      <c r="D178" s="14" t="s">
        <v>562</v>
      </c>
      <c r="E178" s="14" t="s">
        <v>282</v>
      </c>
      <c r="F178" s="14" t="s">
        <v>294</v>
      </c>
      <c r="G178" s="14" t="s">
        <v>295</v>
      </c>
      <c r="H178" s="14" t="s">
        <v>75</v>
      </c>
      <c r="I178" s="14" t="s">
        <v>474</v>
      </c>
      <c r="J178" s="14">
        <v>101</v>
      </c>
      <c r="K178" s="14">
        <v>13006</v>
      </c>
      <c r="L178" s="14">
        <v>245011</v>
      </c>
      <c r="M178" s="14">
        <v>9999</v>
      </c>
      <c r="N178" s="14" t="s">
        <v>1</v>
      </c>
      <c r="O178" s="18">
        <v>-79370</v>
      </c>
      <c r="P178" s="18">
        <v>-79370</v>
      </c>
      <c r="R178" s="14" t="s">
        <v>3024</v>
      </c>
      <c r="S178" s="14" t="s">
        <v>227</v>
      </c>
      <c r="U178" s="14" t="s">
        <v>3025</v>
      </c>
      <c r="V178" s="14" t="s">
        <v>287</v>
      </c>
      <c r="W178" s="14" t="s">
        <v>227</v>
      </c>
      <c r="X178" s="14" t="s">
        <v>227</v>
      </c>
      <c r="Y178" s="28">
        <v>44804</v>
      </c>
      <c r="Z178" s="28">
        <v>44810</v>
      </c>
    </row>
    <row r="179" spans="1:26" x14ac:dyDescent="0.2">
      <c r="A179" s="14" t="s">
        <v>227</v>
      </c>
      <c r="B179" s="14" t="s">
        <v>227</v>
      </c>
      <c r="D179" s="14" t="s">
        <v>554</v>
      </c>
      <c r="E179" s="14" t="s">
        <v>282</v>
      </c>
      <c r="F179" s="14" t="s">
        <v>294</v>
      </c>
      <c r="G179" s="14" t="s">
        <v>305</v>
      </c>
      <c r="H179" s="14" t="s">
        <v>230</v>
      </c>
      <c r="I179" s="14" t="s">
        <v>2558</v>
      </c>
      <c r="J179" s="14">
        <v>101</v>
      </c>
      <c r="K179" s="14">
        <v>13002</v>
      </c>
      <c r="L179" s="14">
        <v>245011</v>
      </c>
      <c r="M179" s="14">
        <v>9999</v>
      </c>
      <c r="N179" s="14" t="s">
        <v>1</v>
      </c>
      <c r="O179" s="18">
        <v>-89294.64</v>
      </c>
      <c r="P179" s="18">
        <v>-89294.64</v>
      </c>
      <c r="Q179" s="14" t="s">
        <v>3026</v>
      </c>
      <c r="R179" s="14" t="s">
        <v>3027</v>
      </c>
      <c r="S179" s="14" t="s">
        <v>280</v>
      </c>
      <c r="U179" s="14" t="s">
        <v>3028</v>
      </c>
      <c r="V179" s="14" t="s">
        <v>287</v>
      </c>
      <c r="W179" s="14" t="s">
        <v>227</v>
      </c>
      <c r="X179" s="14" t="s">
        <v>227</v>
      </c>
      <c r="Y179" s="28">
        <v>44742</v>
      </c>
      <c r="Z179" s="28">
        <v>44749</v>
      </c>
    </row>
    <row r="180" spans="1:26" x14ac:dyDescent="0.2">
      <c r="A180" s="14" t="s">
        <v>227</v>
      </c>
      <c r="B180" s="14" t="s">
        <v>227</v>
      </c>
      <c r="D180" s="14" t="s">
        <v>554</v>
      </c>
      <c r="E180" s="14" t="s">
        <v>282</v>
      </c>
      <c r="F180" s="14" t="s">
        <v>294</v>
      </c>
      <c r="G180" s="14" t="s">
        <v>305</v>
      </c>
      <c r="H180" s="14" t="s">
        <v>230</v>
      </c>
      <c r="I180" s="14" t="s">
        <v>2558</v>
      </c>
      <c r="J180" s="14">
        <v>101</v>
      </c>
      <c r="K180" s="14">
        <v>13002</v>
      </c>
      <c r="L180" s="14">
        <v>245011</v>
      </c>
      <c r="M180" s="14">
        <v>9999</v>
      </c>
      <c r="N180" s="14" t="s">
        <v>1</v>
      </c>
      <c r="O180" s="18">
        <v>1017374.64</v>
      </c>
      <c r="P180" s="18">
        <v>1017374.64</v>
      </c>
      <c r="Q180" s="14" t="s">
        <v>3026</v>
      </c>
      <c r="R180" s="14" t="s">
        <v>3029</v>
      </c>
      <c r="S180" s="14" t="s">
        <v>280</v>
      </c>
      <c r="U180" s="14" t="s">
        <v>3030</v>
      </c>
      <c r="V180" s="14" t="s">
        <v>287</v>
      </c>
      <c r="W180" s="14" t="s">
        <v>227</v>
      </c>
      <c r="X180" s="14" t="s">
        <v>227</v>
      </c>
      <c r="Y180" s="28">
        <v>44742</v>
      </c>
      <c r="Z180" s="28">
        <v>44749</v>
      </c>
    </row>
    <row r="181" spans="1:26" x14ac:dyDescent="0.2">
      <c r="A181" s="14" t="s">
        <v>227</v>
      </c>
      <c r="B181" s="14" t="s">
        <v>227</v>
      </c>
      <c r="D181" s="14" t="s">
        <v>562</v>
      </c>
      <c r="E181" s="14" t="s">
        <v>282</v>
      </c>
      <c r="F181" s="14" t="s">
        <v>294</v>
      </c>
      <c r="G181" s="14" t="s">
        <v>305</v>
      </c>
      <c r="H181" s="14" t="s">
        <v>230</v>
      </c>
      <c r="I181" s="14" t="s">
        <v>2558</v>
      </c>
      <c r="J181" s="14">
        <v>101</v>
      </c>
      <c r="K181" s="14">
        <v>13002</v>
      </c>
      <c r="L181" s="14">
        <v>245011</v>
      </c>
      <c r="M181" s="14">
        <v>9999</v>
      </c>
      <c r="N181" s="14" t="s">
        <v>1</v>
      </c>
      <c r="O181" s="18">
        <v>-1017374.64</v>
      </c>
      <c r="P181" s="18">
        <v>-1017374.64</v>
      </c>
      <c r="R181" s="14" t="s">
        <v>3031</v>
      </c>
      <c r="S181" s="14" t="s">
        <v>227</v>
      </c>
      <c r="U181" s="14" t="s">
        <v>3032</v>
      </c>
      <c r="V181" s="14" t="s">
        <v>287</v>
      </c>
      <c r="W181" s="14" t="s">
        <v>227</v>
      </c>
      <c r="X181" s="14" t="s">
        <v>227</v>
      </c>
      <c r="Y181" s="28">
        <v>44804</v>
      </c>
      <c r="Z181" s="28">
        <v>44811</v>
      </c>
    </row>
    <row r="182" spans="1:26" x14ac:dyDescent="0.2">
      <c r="A182" s="14" t="s">
        <v>227</v>
      </c>
      <c r="B182" s="14" t="s">
        <v>227</v>
      </c>
      <c r="D182" s="14" t="s">
        <v>562</v>
      </c>
      <c r="E182" s="14" t="s">
        <v>282</v>
      </c>
      <c r="F182" s="14" t="s">
        <v>294</v>
      </c>
      <c r="G182" s="14" t="s">
        <v>305</v>
      </c>
      <c r="H182" s="14" t="s">
        <v>230</v>
      </c>
      <c r="I182" s="14" t="s">
        <v>2558</v>
      </c>
      <c r="J182" s="14">
        <v>101</v>
      </c>
      <c r="K182" s="14">
        <v>13002</v>
      </c>
      <c r="L182" s="14">
        <v>245011</v>
      </c>
      <c r="M182" s="14">
        <v>9999</v>
      </c>
      <c r="N182" s="14" t="s">
        <v>1</v>
      </c>
      <c r="O182" s="18">
        <v>89294.64</v>
      </c>
      <c r="P182" s="18">
        <v>89294.64</v>
      </c>
      <c r="R182" s="14" t="s">
        <v>3033</v>
      </c>
      <c r="S182" s="14" t="s">
        <v>227</v>
      </c>
      <c r="U182" s="14" t="s">
        <v>3034</v>
      </c>
      <c r="V182" s="14" t="s">
        <v>287</v>
      </c>
      <c r="W182" s="14" t="s">
        <v>227</v>
      </c>
      <c r="X182" s="14" t="s">
        <v>227</v>
      </c>
      <c r="Y182" s="28">
        <v>44804</v>
      </c>
      <c r="Z182" s="28">
        <v>44811</v>
      </c>
    </row>
    <row r="183" spans="1:26" x14ac:dyDescent="0.2">
      <c r="A183" s="14" t="s">
        <v>227</v>
      </c>
      <c r="B183" s="14" t="s">
        <v>227</v>
      </c>
      <c r="D183" s="14" t="s">
        <v>2957</v>
      </c>
      <c r="E183" s="14" t="s">
        <v>282</v>
      </c>
      <c r="F183" s="14" t="s">
        <v>294</v>
      </c>
      <c r="G183" s="14" t="s">
        <v>295</v>
      </c>
      <c r="H183" s="14" t="s">
        <v>8</v>
      </c>
      <c r="I183" s="14" t="s">
        <v>296</v>
      </c>
      <c r="J183" s="14">
        <v>101</v>
      </c>
      <c r="K183" s="14">
        <v>13008</v>
      </c>
      <c r="L183" s="14">
        <v>245011</v>
      </c>
      <c r="M183" s="14">
        <v>9999</v>
      </c>
      <c r="N183" s="14" t="s">
        <v>1</v>
      </c>
      <c r="O183" s="18">
        <v>767179.82000000007</v>
      </c>
      <c r="P183" s="18">
        <v>767179.82000000007</v>
      </c>
      <c r="Q183" s="14" t="s">
        <v>805</v>
      </c>
      <c r="R183" s="14" t="s">
        <v>3035</v>
      </c>
      <c r="S183" s="14" t="s">
        <v>227</v>
      </c>
      <c r="U183" s="14" t="s">
        <v>3036</v>
      </c>
      <c r="V183" s="14" t="s">
        <v>287</v>
      </c>
      <c r="W183" s="14" t="s">
        <v>227</v>
      </c>
      <c r="X183" s="14" t="s">
        <v>227</v>
      </c>
      <c r="Y183" s="28">
        <v>44773</v>
      </c>
      <c r="Z183" s="28">
        <v>44777</v>
      </c>
    </row>
    <row r="184" spans="1:26" x14ac:dyDescent="0.2">
      <c r="A184" s="14" t="s">
        <v>227</v>
      </c>
      <c r="B184" s="14" t="s">
        <v>227</v>
      </c>
      <c r="D184" s="14" t="s">
        <v>562</v>
      </c>
      <c r="E184" s="14" t="s">
        <v>282</v>
      </c>
      <c r="F184" s="14" t="s">
        <v>294</v>
      </c>
      <c r="G184" s="14" t="s">
        <v>295</v>
      </c>
      <c r="H184" s="14" t="s">
        <v>8</v>
      </c>
      <c r="I184" s="14" t="s">
        <v>296</v>
      </c>
      <c r="J184" s="14">
        <v>101</v>
      </c>
      <c r="K184" s="14">
        <v>13008</v>
      </c>
      <c r="L184" s="14">
        <v>245011</v>
      </c>
      <c r="M184" s="14">
        <v>9999</v>
      </c>
      <c r="N184" s="14" t="s">
        <v>1</v>
      </c>
      <c r="O184" s="18">
        <v>-767179.82000000007</v>
      </c>
      <c r="P184" s="18">
        <v>-767179.82000000007</v>
      </c>
      <c r="R184" s="14" t="s">
        <v>3037</v>
      </c>
      <c r="S184" s="14" t="s">
        <v>227</v>
      </c>
      <c r="U184" s="14" t="s">
        <v>3038</v>
      </c>
      <c r="V184" s="14" t="s">
        <v>287</v>
      </c>
      <c r="W184" s="14" t="s">
        <v>227</v>
      </c>
      <c r="X184" s="14" t="s">
        <v>227</v>
      </c>
      <c r="Y184" s="28">
        <v>44788</v>
      </c>
      <c r="Z184" s="28">
        <v>44789</v>
      </c>
    </row>
    <row r="185" spans="1:26" s="40" customFormat="1" x14ac:dyDescent="0.2">
      <c r="A185" s="40" t="s">
        <v>227</v>
      </c>
      <c r="B185" s="40" t="s">
        <v>227</v>
      </c>
      <c r="D185" s="40" t="s">
        <v>562</v>
      </c>
      <c r="E185" s="40" t="s">
        <v>3039</v>
      </c>
      <c r="F185" s="40" t="s">
        <v>3039</v>
      </c>
      <c r="G185" s="40" t="s">
        <v>3039</v>
      </c>
      <c r="H185" s="40" t="s">
        <v>3039</v>
      </c>
      <c r="I185" s="40" t="s">
        <v>3040</v>
      </c>
      <c r="J185" s="40">
        <v>101</v>
      </c>
      <c r="K185" s="40">
        <v>99999</v>
      </c>
      <c r="L185" s="40">
        <v>245011</v>
      </c>
      <c r="M185" s="40">
        <v>9999</v>
      </c>
      <c r="N185" s="40" t="s">
        <v>1</v>
      </c>
      <c r="O185" s="41">
        <v>-45993.2</v>
      </c>
      <c r="P185" s="41">
        <v>-45993.2</v>
      </c>
      <c r="Q185" s="40" t="s">
        <v>3041</v>
      </c>
      <c r="R185" s="40" t="s">
        <v>3042</v>
      </c>
      <c r="S185" s="40" t="s">
        <v>227</v>
      </c>
      <c r="U185" s="40" t="s">
        <v>3043</v>
      </c>
      <c r="V185" s="40" t="s">
        <v>315</v>
      </c>
      <c r="W185" s="40" t="s">
        <v>227</v>
      </c>
      <c r="X185" s="40" t="s">
        <v>227</v>
      </c>
      <c r="Y185" s="42">
        <v>44804</v>
      </c>
      <c r="Z185" s="42">
        <v>44811</v>
      </c>
    </row>
    <row r="186" spans="1:26" s="40" customFormat="1" x14ac:dyDescent="0.2">
      <c r="A186" s="40" t="s">
        <v>227</v>
      </c>
      <c r="B186" s="40" t="s">
        <v>227</v>
      </c>
      <c r="D186" s="40" t="s">
        <v>524</v>
      </c>
      <c r="E186" s="40" t="s">
        <v>3039</v>
      </c>
      <c r="F186" s="40" t="s">
        <v>3039</v>
      </c>
      <c r="G186" s="40" t="s">
        <v>3039</v>
      </c>
      <c r="H186" s="40" t="s">
        <v>3039</v>
      </c>
      <c r="I186" s="40" t="s">
        <v>3040</v>
      </c>
      <c r="J186" s="40">
        <v>101</v>
      </c>
      <c r="K186" s="40">
        <v>99999</v>
      </c>
      <c r="L186" s="40">
        <v>245011</v>
      </c>
      <c r="M186" s="40">
        <v>9999</v>
      </c>
      <c r="N186" s="40" t="s">
        <v>1</v>
      </c>
      <c r="O186" s="41">
        <v>45993.2</v>
      </c>
      <c r="P186" s="41">
        <v>45993.2</v>
      </c>
      <c r="R186" s="40" t="s">
        <v>3044</v>
      </c>
      <c r="S186" s="40" t="s">
        <v>3045</v>
      </c>
      <c r="U186" s="40" t="s">
        <v>3046</v>
      </c>
      <c r="V186" s="40" t="s">
        <v>315</v>
      </c>
      <c r="W186" s="40" t="s">
        <v>227</v>
      </c>
      <c r="X186" s="40" t="s">
        <v>227</v>
      </c>
      <c r="Y186" s="42">
        <v>44811</v>
      </c>
      <c r="Z186" s="42">
        <v>44811</v>
      </c>
    </row>
    <row r="187" spans="1:26" s="40" customFormat="1" x14ac:dyDescent="0.2">
      <c r="A187" s="40" t="s">
        <v>227</v>
      </c>
      <c r="B187" s="40" t="s">
        <v>227</v>
      </c>
      <c r="D187" s="40" t="s">
        <v>562</v>
      </c>
      <c r="E187" s="40" t="s">
        <v>282</v>
      </c>
      <c r="F187" s="40" t="s">
        <v>283</v>
      </c>
      <c r="G187" s="40" t="s">
        <v>313</v>
      </c>
      <c r="H187" s="40" t="s">
        <v>23</v>
      </c>
      <c r="I187" s="40" t="s">
        <v>3047</v>
      </c>
      <c r="J187" s="40">
        <v>101</v>
      </c>
      <c r="K187" s="40">
        <v>11003</v>
      </c>
      <c r="L187" s="40">
        <v>245011</v>
      </c>
      <c r="M187" s="40">
        <v>9999</v>
      </c>
      <c r="N187" s="40" t="s">
        <v>1</v>
      </c>
      <c r="O187" s="41">
        <v>27181.7</v>
      </c>
      <c r="P187" s="41">
        <v>27181.7</v>
      </c>
      <c r="Q187" s="40" t="s">
        <v>3048</v>
      </c>
      <c r="R187" s="40" t="s">
        <v>3049</v>
      </c>
      <c r="S187" s="40" t="s">
        <v>227</v>
      </c>
      <c r="U187" s="40" t="s">
        <v>3050</v>
      </c>
      <c r="V187" s="40" t="s">
        <v>328</v>
      </c>
      <c r="W187" s="40" t="s">
        <v>3051</v>
      </c>
      <c r="X187" s="40" t="s">
        <v>227</v>
      </c>
      <c r="Y187" s="42">
        <v>44804</v>
      </c>
      <c r="Z187" s="42">
        <v>44810</v>
      </c>
    </row>
    <row r="188" spans="1:26" s="40" customFormat="1" x14ac:dyDescent="0.2">
      <c r="A188" s="40" t="s">
        <v>227</v>
      </c>
      <c r="B188" s="40" t="s">
        <v>227</v>
      </c>
      <c r="D188" s="40" t="s">
        <v>524</v>
      </c>
      <c r="E188" s="40" t="s">
        <v>282</v>
      </c>
      <c r="F188" s="40" t="s">
        <v>283</v>
      </c>
      <c r="G188" s="40" t="s">
        <v>313</v>
      </c>
      <c r="H188" s="40" t="s">
        <v>23</v>
      </c>
      <c r="I188" s="40" t="s">
        <v>3047</v>
      </c>
      <c r="J188" s="40">
        <v>101</v>
      </c>
      <c r="K188" s="40">
        <v>11003</v>
      </c>
      <c r="L188" s="40">
        <v>245011</v>
      </c>
      <c r="M188" s="40">
        <v>9999</v>
      </c>
      <c r="N188" s="40" t="s">
        <v>1</v>
      </c>
      <c r="O188" s="41">
        <v>-27181.7</v>
      </c>
      <c r="P188" s="41">
        <v>-27181.7</v>
      </c>
      <c r="R188" s="40" t="s">
        <v>3052</v>
      </c>
      <c r="S188" s="40" t="s">
        <v>227</v>
      </c>
      <c r="U188" s="40" t="s">
        <v>3053</v>
      </c>
      <c r="V188" s="40" t="s">
        <v>328</v>
      </c>
      <c r="W188" s="40" t="s">
        <v>3054</v>
      </c>
      <c r="X188" s="40" t="s">
        <v>227</v>
      </c>
      <c r="Y188" s="42">
        <v>44833</v>
      </c>
      <c r="Z188" s="42">
        <v>44833</v>
      </c>
    </row>
    <row r="189" spans="1:26" s="40" customFormat="1" x14ac:dyDescent="0.2">
      <c r="A189" s="40" t="s">
        <v>227</v>
      </c>
      <c r="B189" s="40" t="s">
        <v>227</v>
      </c>
      <c r="D189" s="40" t="s">
        <v>562</v>
      </c>
      <c r="E189" s="40" t="s">
        <v>282</v>
      </c>
      <c r="F189" s="40" t="s">
        <v>283</v>
      </c>
      <c r="G189" s="40" t="s">
        <v>313</v>
      </c>
      <c r="H189" s="40" t="s">
        <v>11</v>
      </c>
      <c r="I189" s="40" t="s">
        <v>285</v>
      </c>
      <c r="J189" s="40">
        <v>101</v>
      </c>
      <c r="K189" s="40">
        <v>12012</v>
      </c>
      <c r="L189" s="40">
        <v>245011</v>
      </c>
      <c r="M189" s="40">
        <v>9999</v>
      </c>
      <c r="N189" s="40" t="s">
        <v>1</v>
      </c>
      <c r="O189" s="41">
        <v>2095162.89</v>
      </c>
      <c r="P189" s="41">
        <v>2095162.89</v>
      </c>
      <c r="Q189" s="40" t="s">
        <v>3055</v>
      </c>
      <c r="R189" s="40" t="s">
        <v>3056</v>
      </c>
      <c r="S189" s="40" t="s">
        <v>227</v>
      </c>
      <c r="U189" s="40" t="s">
        <v>3057</v>
      </c>
      <c r="V189" s="40" t="s">
        <v>328</v>
      </c>
      <c r="W189" s="40" t="s">
        <v>227</v>
      </c>
      <c r="X189" s="40" t="s">
        <v>227</v>
      </c>
      <c r="Y189" s="42">
        <v>44804</v>
      </c>
      <c r="Z189" s="42">
        <v>44810</v>
      </c>
    </row>
    <row r="190" spans="1:26" s="40" customFormat="1" x14ac:dyDescent="0.2">
      <c r="A190" s="40" t="s">
        <v>227</v>
      </c>
      <c r="B190" s="40" t="s">
        <v>227</v>
      </c>
      <c r="D190" s="40" t="s">
        <v>524</v>
      </c>
      <c r="E190" s="40" t="s">
        <v>282</v>
      </c>
      <c r="F190" s="40" t="s">
        <v>283</v>
      </c>
      <c r="G190" s="40" t="s">
        <v>313</v>
      </c>
      <c r="H190" s="40" t="s">
        <v>11</v>
      </c>
      <c r="I190" s="40" t="s">
        <v>285</v>
      </c>
      <c r="J190" s="40">
        <v>101</v>
      </c>
      <c r="K190" s="40">
        <v>12012</v>
      </c>
      <c r="L190" s="40">
        <v>245011</v>
      </c>
      <c r="M190" s="40">
        <v>9999</v>
      </c>
      <c r="N190" s="40" t="s">
        <v>1</v>
      </c>
      <c r="O190" s="41">
        <v>-2095162.89</v>
      </c>
      <c r="P190" s="41">
        <v>-2095162.89</v>
      </c>
      <c r="R190" s="40" t="s">
        <v>3058</v>
      </c>
      <c r="S190" s="40" t="s">
        <v>227</v>
      </c>
      <c r="U190" s="40" t="s">
        <v>3059</v>
      </c>
      <c r="V190" s="40" t="s">
        <v>328</v>
      </c>
      <c r="W190" s="40" t="s">
        <v>227</v>
      </c>
      <c r="X190" s="40" t="s">
        <v>227</v>
      </c>
      <c r="Y190" s="42">
        <v>44834</v>
      </c>
      <c r="Z190" s="42">
        <v>44838</v>
      </c>
    </row>
    <row r="191" spans="1:26" x14ac:dyDescent="0.2">
      <c r="A191" s="40" t="s">
        <v>227</v>
      </c>
      <c r="B191" s="40" t="s">
        <v>227</v>
      </c>
      <c r="C191" s="40"/>
      <c r="D191" s="40" t="s">
        <v>562</v>
      </c>
      <c r="E191" s="40" t="s">
        <v>282</v>
      </c>
      <c r="F191" s="40" t="s">
        <v>294</v>
      </c>
      <c r="G191" s="40" t="s">
        <v>295</v>
      </c>
      <c r="H191" s="40" t="s">
        <v>75</v>
      </c>
      <c r="I191" s="40" t="s">
        <v>474</v>
      </c>
      <c r="J191" s="40">
        <v>101</v>
      </c>
      <c r="K191" s="40">
        <v>13006</v>
      </c>
      <c r="L191" s="40">
        <v>245011</v>
      </c>
      <c r="M191" s="40">
        <v>9999</v>
      </c>
      <c r="N191" s="40" t="s">
        <v>1</v>
      </c>
      <c r="O191" s="41">
        <v>-875.5</v>
      </c>
      <c r="P191" s="41">
        <v>-875.5</v>
      </c>
      <c r="Q191" s="40" t="s">
        <v>3060</v>
      </c>
      <c r="R191" s="40" t="s">
        <v>3061</v>
      </c>
      <c r="S191" s="40" t="s">
        <v>227</v>
      </c>
      <c r="T191" s="40"/>
      <c r="U191" s="40" t="s">
        <v>3062</v>
      </c>
      <c r="V191" s="40" t="s">
        <v>287</v>
      </c>
      <c r="W191" s="40" t="s">
        <v>227</v>
      </c>
      <c r="X191" s="40" t="s">
        <v>227</v>
      </c>
      <c r="Y191" s="42">
        <v>44804</v>
      </c>
      <c r="Z191" s="42">
        <v>44812</v>
      </c>
    </row>
    <row r="192" spans="1:26" s="40" customFormat="1" x14ac:dyDescent="0.2">
      <c r="A192" s="40" t="s">
        <v>227</v>
      </c>
      <c r="B192" s="40" t="s">
        <v>227</v>
      </c>
      <c r="D192" s="40" t="s">
        <v>524</v>
      </c>
      <c r="E192" s="40" t="s">
        <v>282</v>
      </c>
      <c r="F192" s="40" t="s">
        <v>294</v>
      </c>
      <c r="G192" s="40" t="s">
        <v>295</v>
      </c>
      <c r="H192" s="40" t="s">
        <v>75</v>
      </c>
      <c r="I192" s="40" t="s">
        <v>474</v>
      </c>
      <c r="J192" s="40">
        <v>101</v>
      </c>
      <c r="K192" s="40">
        <v>13006</v>
      </c>
      <c r="L192" s="40">
        <v>245011</v>
      </c>
      <c r="M192" s="40">
        <v>9999</v>
      </c>
      <c r="N192" s="40" t="s">
        <v>1</v>
      </c>
      <c r="O192" s="41">
        <v>875.5</v>
      </c>
      <c r="P192" s="41">
        <v>875.5</v>
      </c>
      <c r="R192" s="40" t="s">
        <v>3063</v>
      </c>
      <c r="S192" s="40" t="s">
        <v>280</v>
      </c>
      <c r="U192" s="40" t="s">
        <v>3064</v>
      </c>
      <c r="V192" s="40" t="s">
        <v>287</v>
      </c>
      <c r="W192" s="40" t="s">
        <v>227</v>
      </c>
      <c r="X192" s="40" t="s">
        <v>227</v>
      </c>
      <c r="Y192" s="42">
        <v>44819</v>
      </c>
      <c r="Z192" s="42">
        <v>44825</v>
      </c>
    </row>
    <row r="193" spans="1:26" s="43" customFormat="1" x14ac:dyDescent="0.2">
      <c r="A193" s="14" t="s">
        <v>227</v>
      </c>
      <c r="B193" s="14" t="s">
        <v>227</v>
      </c>
      <c r="C193" s="14"/>
      <c r="D193" s="14" t="s">
        <v>524</v>
      </c>
      <c r="E193" s="14" t="s">
        <v>282</v>
      </c>
      <c r="F193" s="14" t="s">
        <v>283</v>
      </c>
      <c r="G193" s="14" t="s">
        <v>313</v>
      </c>
      <c r="H193" s="14" t="s">
        <v>77</v>
      </c>
      <c r="I193" s="14" t="s">
        <v>594</v>
      </c>
      <c r="J193" s="14">
        <v>101</v>
      </c>
      <c r="K193" s="14">
        <v>11001</v>
      </c>
      <c r="L193" s="14">
        <v>245011</v>
      </c>
      <c r="M193" s="14">
        <v>9999</v>
      </c>
      <c r="N193" s="14" t="s">
        <v>1</v>
      </c>
      <c r="O193" s="18">
        <v>-106105.82</v>
      </c>
      <c r="P193" s="18">
        <v>-106105.82</v>
      </c>
      <c r="Q193" s="14" t="s">
        <v>3065</v>
      </c>
      <c r="R193" s="14" t="s">
        <v>3066</v>
      </c>
      <c r="S193" s="14" t="s">
        <v>3066</v>
      </c>
      <c r="T193" s="14"/>
      <c r="U193" s="14" t="s">
        <v>3067</v>
      </c>
      <c r="V193" s="14" t="s">
        <v>328</v>
      </c>
      <c r="W193" s="14" t="s">
        <v>227</v>
      </c>
      <c r="X193" s="14" t="s">
        <v>227</v>
      </c>
      <c r="Y193" s="28">
        <v>44834</v>
      </c>
      <c r="Z193" s="28">
        <v>44838</v>
      </c>
    </row>
    <row r="194" spans="1:26" x14ac:dyDescent="0.2">
      <c r="A194" s="14" t="s">
        <v>227</v>
      </c>
      <c r="B194" s="14" t="s">
        <v>227</v>
      </c>
      <c r="D194" s="14" t="s">
        <v>532</v>
      </c>
      <c r="E194" s="14" t="s">
        <v>282</v>
      </c>
      <c r="F194" s="14" t="s">
        <v>283</v>
      </c>
      <c r="G194" s="14" t="s">
        <v>313</v>
      </c>
      <c r="H194" s="14" t="s">
        <v>77</v>
      </c>
      <c r="I194" s="14" t="s">
        <v>594</v>
      </c>
      <c r="J194" s="14">
        <v>101</v>
      </c>
      <c r="K194" s="14">
        <v>11001</v>
      </c>
      <c r="L194" s="14">
        <v>245011</v>
      </c>
      <c r="M194" s="14">
        <v>9999</v>
      </c>
      <c r="N194" s="14" t="s">
        <v>1</v>
      </c>
      <c r="O194" s="18">
        <v>-106105.82</v>
      </c>
      <c r="P194" s="18">
        <v>-106105.82</v>
      </c>
      <c r="R194" s="14" t="s">
        <v>3068</v>
      </c>
      <c r="S194" s="14" t="s">
        <v>3069</v>
      </c>
      <c r="U194" s="14" t="s">
        <v>3068</v>
      </c>
      <c r="V194" s="14" t="s">
        <v>328</v>
      </c>
      <c r="W194" s="14" t="s">
        <v>227</v>
      </c>
      <c r="X194" s="14" t="s">
        <v>227</v>
      </c>
      <c r="Y194" s="28">
        <v>44865</v>
      </c>
      <c r="Z194" s="28">
        <v>44867</v>
      </c>
    </row>
    <row r="195" spans="1:26" s="43" customFormat="1" x14ac:dyDescent="0.2">
      <c r="A195" s="14" t="s">
        <v>227</v>
      </c>
      <c r="B195" s="14" t="s">
        <v>227</v>
      </c>
      <c r="C195" s="14"/>
      <c r="D195" s="14" t="s">
        <v>2754</v>
      </c>
      <c r="E195" s="14" t="s">
        <v>282</v>
      </c>
      <c r="F195" s="14" t="s">
        <v>283</v>
      </c>
      <c r="G195" s="14" t="s">
        <v>313</v>
      </c>
      <c r="H195" s="14" t="s">
        <v>23</v>
      </c>
      <c r="I195" s="14" t="s">
        <v>415</v>
      </c>
      <c r="J195" s="14">
        <v>101</v>
      </c>
      <c r="K195" s="14">
        <v>11003</v>
      </c>
      <c r="L195" s="14">
        <v>245011</v>
      </c>
      <c r="M195" s="14">
        <v>9999</v>
      </c>
      <c r="N195" s="14" t="s">
        <v>1</v>
      </c>
      <c r="O195" s="18">
        <v>198386.47</v>
      </c>
      <c r="P195" s="18">
        <v>198386.47</v>
      </c>
      <c r="Q195" s="14" t="s">
        <v>3070</v>
      </c>
      <c r="R195" s="14" t="s">
        <v>3071</v>
      </c>
      <c r="S195" s="14" t="s">
        <v>280</v>
      </c>
      <c r="T195" s="14"/>
      <c r="U195" s="14" t="s">
        <v>3072</v>
      </c>
      <c r="V195" s="14" t="s">
        <v>287</v>
      </c>
      <c r="W195" s="14" t="s">
        <v>227</v>
      </c>
      <c r="X195" s="14" t="s">
        <v>227</v>
      </c>
      <c r="Y195" s="14">
        <v>44620</v>
      </c>
      <c r="Z195" s="14">
        <v>44623</v>
      </c>
    </row>
    <row r="196" spans="1:26" x14ac:dyDescent="0.2">
      <c r="A196" s="14" t="s">
        <v>227</v>
      </c>
      <c r="B196" s="14" t="s">
        <v>227</v>
      </c>
      <c r="D196" s="14" t="s">
        <v>524</v>
      </c>
      <c r="E196" s="14" t="s">
        <v>282</v>
      </c>
      <c r="F196" s="14" t="s">
        <v>283</v>
      </c>
      <c r="G196" s="14" t="s">
        <v>313</v>
      </c>
      <c r="H196" s="14" t="s">
        <v>23</v>
      </c>
      <c r="I196" s="14" t="s">
        <v>415</v>
      </c>
      <c r="J196" s="14">
        <v>101</v>
      </c>
      <c r="K196" s="14">
        <v>11003</v>
      </c>
      <c r="L196" s="14">
        <v>245011</v>
      </c>
      <c r="M196" s="14">
        <v>9999</v>
      </c>
      <c r="N196" s="14" t="s">
        <v>1</v>
      </c>
      <c r="O196" s="18">
        <v>-43806.2</v>
      </c>
      <c r="P196" s="18">
        <v>-43806.2</v>
      </c>
      <c r="Q196" s="14" t="s">
        <v>3070</v>
      </c>
      <c r="R196" s="14" t="s">
        <v>3073</v>
      </c>
      <c r="S196" s="14" t="s">
        <v>280</v>
      </c>
      <c r="U196" s="14" t="s">
        <v>3074</v>
      </c>
      <c r="V196" s="14" t="s">
        <v>287</v>
      </c>
      <c r="W196" s="14" t="s">
        <v>227</v>
      </c>
      <c r="X196" s="14" t="s">
        <v>227</v>
      </c>
      <c r="Y196" s="28">
        <v>44834</v>
      </c>
      <c r="Z196" s="28">
        <v>44839</v>
      </c>
    </row>
    <row r="197" spans="1:26" x14ac:dyDescent="0.2">
      <c r="A197" s="14" t="s">
        <v>227</v>
      </c>
      <c r="B197" s="14" t="s">
        <v>227</v>
      </c>
      <c r="D197" s="14" t="s">
        <v>532</v>
      </c>
      <c r="E197" s="14" t="s">
        <v>282</v>
      </c>
      <c r="F197" s="14" t="s">
        <v>283</v>
      </c>
      <c r="G197" s="14" t="s">
        <v>313</v>
      </c>
      <c r="H197" s="14" t="s">
        <v>23</v>
      </c>
      <c r="I197" s="14" t="s">
        <v>415</v>
      </c>
      <c r="J197" s="14">
        <v>101</v>
      </c>
      <c r="K197" s="14">
        <v>11003</v>
      </c>
      <c r="L197" s="14">
        <v>245011</v>
      </c>
      <c r="M197" s="14">
        <v>9999</v>
      </c>
      <c r="N197" s="14" t="s">
        <v>1</v>
      </c>
      <c r="O197" s="18">
        <v>43806.2</v>
      </c>
      <c r="P197" s="18">
        <v>43806.2</v>
      </c>
      <c r="R197" s="14" t="s">
        <v>3075</v>
      </c>
      <c r="S197" s="14" t="s">
        <v>280</v>
      </c>
      <c r="U197" s="14" t="s">
        <v>3076</v>
      </c>
      <c r="V197" s="14" t="s">
        <v>287</v>
      </c>
      <c r="W197" s="14" t="s">
        <v>227</v>
      </c>
      <c r="X197" s="14" t="s">
        <v>227</v>
      </c>
      <c r="Y197" s="28">
        <v>44865</v>
      </c>
      <c r="Z197" s="28">
        <v>44868</v>
      </c>
    </row>
    <row r="198" spans="1:26" x14ac:dyDescent="0.2">
      <c r="A198" s="14" t="s">
        <v>227</v>
      </c>
      <c r="B198" s="14" t="s">
        <v>227</v>
      </c>
      <c r="D198" s="14" t="s">
        <v>532</v>
      </c>
      <c r="E198" s="14" t="s">
        <v>282</v>
      </c>
      <c r="F198" s="14" t="s">
        <v>283</v>
      </c>
      <c r="G198" s="14" t="s">
        <v>313</v>
      </c>
      <c r="H198" s="14" t="s">
        <v>23</v>
      </c>
      <c r="I198" s="14" t="s">
        <v>415</v>
      </c>
      <c r="J198" s="14">
        <v>101</v>
      </c>
      <c r="K198" s="14">
        <v>11003</v>
      </c>
      <c r="L198" s="14">
        <v>245011</v>
      </c>
      <c r="M198" s="14">
        <v>9999</v>
      </c>
      <c r="N198" s="14" t="s">
        <v>1</v>
      </c>
      <c r="O198" s="18">
        <v>-198386.47</v>
      </c>
      <c r="P198" s="18">
        <v>-198386.47</v>
      </c>
      <c r="R198" s="14" t="s">
        <v>3077</v>
      </c>
      <c r="S198" s="14" t="s">
        <v>280</v>
      </c>
      <c r="U198" s="14" t="s">
        <v>3078</v>
      </c>
      <c r="V198" s="14" t="s">
        <v>287</v>
      </c>
      <c r="W198" s="14" t="s">
        <v>227</v>
      </c>
      <c r="X198" s="14" t="s">
        <v>227</v>
      </c>
      <c r="Y198" s="28">
        <v>44865</v>
      </c>
      <c r="Z198" s="28">
        <v>44868</v>
      </c>
    </row>
    <row r="199" spans="1:26" x14ac:dyDescent="0.2">
      <c r="A199" s="14" t="s">
        <v>227</v>
      </c>
      <c r="B199" s="14" t="s">
        <v>227</v>
      </c>
      <c r="D199" s="14" t="s">
        <v>2754</v>
      </c>
      <c r="E199" s="14" t="s">
        <v>282</v>
      </c>
      <c r="F199" s="14" t="s">
        <v>283</v>
      </c>
      <c r="G199" s="14" t="s">
        <v>366</v>
      </c>
      <c r="H199" s="14" t="s">
        <v>35</v>
      </c>
      <c r="I199" s="14" t="s">
        <v>490</v>
      </c>
      <c r="J199" s="14">
        <v>101</v>
      </c>
      <c r="K199" s="14">
        <v>11010</v>
      </c>
      <c r="L199" s="14">
        <v>245011</v>
      </c>
      <c r="M199" s="14">
        <v>9999</v>
      </c>
      <c r="N199" s="14" t="s">
        <v>1</v>
      </c>
      <c r="O199" s="18">
        <v>372606</v>
      </c>
      <c r="P199" s="18">
        <v>372606</v>
      </c>
      <c r="Q199" s="14" t="s">
        <v>3079</v>
      </c>
      <c r="R199" s="14" t="s">
        <v>2757</v>
      </c>
      <c r="S199" s="14" t="s">
        <v>280</v>
      </c>
      <c r="U199" s="14" t="s">
        <v>3080</v>
      </c>
      <c r="V199" s="14" t="s">
        <v>287</v>
      </c>
      <c r="W199" s="14" t="s">
        <v>227</v>
      </c>
      <c r="X199" s="14" t="s">
        <v>227</v>
      </c>
      <c r="Y199" s="28">
        <v>44620</v>
      </c>
      <c r="Z199" s="28">
        <v>44624</v>
      </c>
    </row>
    <row r="200" spans="1:26" x14ac:dyDescent="0.2">
      <c r="A200" s="14" t="s">
        <v>227</v>
      </c>
      <c r="B200" s="14" t="s">
        <v>227</v>
      </c>
      <c r="D200" s="14" t="s">
        <v>759</v>
      </c>
      <c r="E200" s="14" t="s">
        <v>282</v>
      </c>
      <c r="F200" s="14" t="s">
        <v>283</v>
      </c>
      <c r="G200" s="14" t="s">
        <v>366</v>
      </c>
      <c r="H200" s="14" t="s">
        <v>35</v>
      </c>
      <c r="I200" s="14" t="s">
        <v>490</v>
      </c>
      <c r="J200" s="14">
        <v>101</v>
      </c>
      <c r="K200" s="14">
        <v>11010</v>
      </c>
      <c r="L200" s="14">
        <v>245011</v>
      </c>
      <c r="M200" s="14">
        <v>9999</v>
      </c>
      <c r="N200" s="14" t="s">
        <v>1</v>
      </c>
      <c r="O200" s="18">
        <v>-251978.68</v>
      </c>
      <c r="P200" s="18">
        <v>-251978.68</v>
      </c>
      <c r="Q200" s="14" t="s">
        <v>3079</v>
      </c>
      <c r="R200" s="14" t="s">
        <v>3081</v>
      </c>
      <c r="S200" s="14" t="s">
        <v>280</v>
      </c>
      <c r="U200" s="14" t="s">
        <v>3082</v>
      </c>
      <c r="V200" s="14" t="s">
        <v>287</v>
      </c>
      <c r="W200" s="14" t="s">
        <v>227</v>
      </c>
      <c r="X200" s="14" t="s">
        <v>227</v>
      </c>
      <c r="Y200" s="28">
        <v>44681</v>
      </c>
      <c r="Z200" s="28">
        <v>44686</v>
      </c>
    </row>
    <row r="201" spans="1:26" x14ac:dyDescent="0.2">
      <c r="A201" s="14" t="s">
        <v>227</v>
      </c>
      <c r="B201" s="14" t="s">
        <v>227</v>
      </c>
      <c r="D201" s="30" t="s">
        <v>1257</v>
      </c>
      <c r="E201" s="14" t="s">
        <v>282</v>
      </c>
      <c r="F201" s="14" t="s">
        <v>283</v>
      </c>
      <c r="G201" s="14" t="s">
        <v>366</v>
      </c>
      <c r="H201" s="14" t="s">
        <v>35</v>
      </c>
      <c r="I201" s="14" t="s">
        <v>490</v>
      </c>
      <c r="J201" s="14">
        <v>101</v>
      </c>
      <c r="K201" s="14">
        <v>11010</v>
      </c>
      <c r="L201" s="14">
        <v>245011</v>
      </c>
      <c r="M201" s="14">
        <v>9999</v>
      </c>
      <c r="N201" s="14" t="s">
        <v>1</v>
      </c>
      <c r="O201" s="18">
        <v>-41621.919999999998</v>
      </c>
      <c r="P201" s="18">
        <v>-41621.919999999998</v>
      </c>
      <c r="Q201" s="14" t="s">
        <v>3079</v>
      </c>
      <c r="R201" s="14" t="s">
        <v>3081</v>
      </c>
      <c r="S201" s="14" t="s">
        <v>280</v>
      </c>
      <c r="U201" s="14" t="s">
        <v>3083</v>
      </c>
      <c r="V201" s="14" t="s">
        <v>287</v>
      </c>
      <c r="W201" s="14" t="s">
        <v>227</v>
      </c>
      <c r="X201" s="14" t="s">
        <v>227</v>
      </c>
      <c r="Y201" s="28">
        <v>44712</v>
      </c>
      <c r="Z201" s="28">
        <v>44718</v>
      </c>
    </row>
    <row r="202" spans="1:26" x14ac:dyDescent="0.2">
      <c r="A202" s="14" t="s">
        <v>227</v>
      </c>
      <c r="B202" s="14" t="s">
        <v>227</v>
      </c>
      <c r="D202" s="14" t="s">
        <v>524</v>
      </c>
      <c r="E202" s="14" t="s">
        <v>282</v>
      </c>
      <c r="F202" s="14" t="s">
        <v>283</v>
      </c>
      <c r="G202" s="14" t="s">
        <v>366</v>
      </c>
      <c r="H202" s="14" t="s">
        <v>35</v>
      </c>
      <c r="I202" s="14" t="s">
        <v>490</v>
      </c>
      <c r="J202" s="14">
        <v>101</v>
      </c>
      <c r="K202" s="14">
        <v>11010</v>
      </c>
      <c r="L202" s="14">
        <v>245011</v>
      </c>
      <c r="M202" s="14">
        <v>9999</v>
      </c>
      <c r="N202" s="14" t="s">
        <v>1</v>
      </c>
      <c r="O202" s="18">
        <v>-41400</v>
      </c>
      <c r="P202" s="18">
        <v>-41400</v>
      </c>
      <c r="Q202" s="14" t="s">
        <v>3079</v>
      </c>
      <c r="R202" s="14" t="s">
        <v>3084</v>
      </c>
      <c r="S202" s="14" t="s">
        <v>280</v>
      </c>
      <c r="U202" s="14" t="s">
        <v>3085</v>
      </c>
      <c r="V202" s="14" t="s">
        <v>287</v>
      </c>
      <c r="W202" s="14" t="s">
        <v>227</v>
      </c>
      <c r="X202" s="14" t="s">
        <v>227</v>
      </c>
      <c r="Y202" s="28">
        <v>44834</v>
      </c>
      <c r="Z202" s="28">
        <v>44840</v>
      </c>
    </row>
    <row r="203" spans="1:26" x14ac:dyDescent="0.2">
      <c r="A203" s="14" t="s">
        <v>227</v>
      </c>
      <c r="B203" s="14" t="s">
        <v>227</v>
      </c>
      <c r="D203" s="14" t="s">
        <v>532</v>
      </c>
      <c r="E203" s="14" t="s">
        <v>282</v>
      </c>
      <c r="F203" s="14" t="s">
        <v>283</v>
      </c>
      <c r="G203" s="14" t="s">
        <v>366</v>
      </c>
      <c r="H203" s="14" t="s">
        <v>35</v>
      </c>
      <c r="I203" s="14" t="s">
        <v>490</v>
      </c>
      <c r="J203" s="14">
        <v>101</v>
      </c>
      <c r="K203" s="14">
        <v>11010</v>
      </c>
      <c r="L203" s="14">
        <v>245011</v>
      </c>
      <c r="M203" s="14">
        <v>9999</v>
      </c>
      <c r="N203" s="14" t="s">
        <v>1</v>
      </c>
      <c r="O203" s="18">
        <v>41400</v>
      </c>
      <c r="P203" s="18">
        <v>41400</v>
      </c>
      <c r="R203" s="14" t="s">
        <v>3086</v>
      </c>
      <c r="S203" s="14" t="s">
        <v>280</v>
      </c>
      <c r="U203" s="14" t="s">
        <v>3087</v>
      </c>
      <c r="V203" s="14" t="s">
        <v>287</v>
      </c>
      <c r="W203" s="14" t="s">
        <v>227</v>
      </c>
      <c r="X203" s="14" t="s">
        <v>227</v>
      </c>
      <c r="Y203" s="28">
        <v>44865</v>
      </c>
      <c r="Z203" s="28">
        <v>44868</v>
      </c>
    </row>
    <row r="204" spans="1:26" x14ac:dyDescent="0.2">
      <c r="A204" s="14" t="s">
        <v>227</v>
      </c>
      <c r="B204" s="14" t="s">
        <v>227</v>
      </c>
      <c r="D204" s="14" t="s">
        <v>532</v>
      </c>
      <c r="E204" s="14" t="s">
        <v>282</v>
      </c>
      <c r="F204" s="14" t="s">
        <v>283</v>
      </c>
      <c r="G204" s="14" t="s">
        <v>366</v>
      </c>
      <c r="H204" s="14" t="s">
        <v>35</v>
      </c>
      <c r="I204" s="14" t="s">
        <v>490</v>
      </c>
      <c r="J204" s="14">
        <v>101</v>
      </c>
      <c r="K204" s="14">
        <v>11010</v>
      </c>
      <c r="L204" s="14">
        <v>245011</v>
      </c>
      <c r="M204" s="14">
        <v>9999</v>
      </c>
      <c r="N204" s="14" t="s">
        <v>1</v>
      </c>
      <c r="O204" s="18">
        <v>41621.919999999998</v>
      </c>
      <c r="P204" s="18">
        <v>41621.919999999998</v>
      </c>
      <c r="R204" s="14" t="s">
        <v>3088</v>
      </c>
      <c r="S204" s="14" t="s">
        <v>280</v>
      </c>
      <c r="U204" s="14" t="s">
        <v>3089</v>
      </c>
      <c r="V204" s="14" t="s">
        <v>287</v>
      </c>
      <c r="W204" s="14" t="s">
        <v>227</v>
      </c>
      <c r="X204" s="14" t="s">
        <v>227</v>
      </c>
      <c r="Y204" s="28">
        <v>44865</v>
      </c>
      <c r="Z204" s="28">
        <v>44868</v>
      </c>
    </row>
    <row r="205" spans="1:26" x14ac:dyDescent="0.2">
      <c r="A205" s="14" t="s">
        <v>227</v>
      </c>
      <c r="B205" s="14" t="s">
        <v>227</v>
      </c>
      <c r="D205" s="14" t="s">
        <v>532</v>
      </c>
      <c r="E205" s="14" t="s">
        <v>282</v>
      </c>
      <c r="F205" s="14" t="s">
        <v>283</v>
      </c>
      <c r="G205" s="14" t="s">
        <v>366</v>
      </c>
      <c r="H205" s="14" t="s">
        <v>35</v>
      </c>
      <c r="I205" s="14" t="s">
        <v>490</v>
      </c>
      <c r="J205" s="14">
        <v>101</v>
      </c>
      <c r="K205" s="14">
        <v>11010</v>
      </c>
      <c r="L205" s="14">
        <v>245011</v>
      </c>
      <c r="M205" s="14">
        <v>9999</v>
      </c>
      <c r="N205" s="14" t="s">
        <v>1</v>
      </c>
      <c r="O205" s="18">
        <v>251978.68</v>
      </c>
      <c r="P205" s="18">
        <v>251978.68</v>
      </c>
      <c r="R205" s="14" t="s">
        <v>3090</v>
      </c>
      <c r="S205" s="14" t="s">
        <v>280</v>
      </c>
      <c r="U205" s="14" t="s">
        <v>3091</v>
      </c>
      <c r="V205" s="14" t="s">
        <v>287</v>
      </c>
      <c r="W205" s="14" t="s">
        <v>227</v>
      </c>
      <c r="X205" s="14" t="s">
        <v>227</v>
      </c>
      <c r="Y205" s="28">
        <v>44865</v>
      </c>
      <c r="Z205" s="28">
        <v>44868</v>
      </c>
    </row>
    <row r="206" spans="1:26" x14ac:dyDescent="0.2">
      <c r="A206" s="14" t="s">
        <v>227</v>
      </c>
      <c r="B206" s="14" t="s">
        <v>227</v>
      </c>
      <c r="D206" s="14" t="s">
        <v>532</v>
      </c>
      <c r="E206" s="14" t="s">
        <v>282</v>
      </c>
      <c r="F206" s="14" t="s">
        <v>283</v>
      </c>
      <c r="G206" s="14" t="s">
        <v>366</v>
      </c>
      <c r="H206" s="14" t="s">
        <v>35</v>
      </c>
      <c r="I206" s="14" t="s">
        <v>490</v>
      </c>
      <c r="J206" s="14">
        <v>101</v>
      </c>
      <c r="K206" s="14">
        <v>11010</v>
      </c>
      <c r="L206" s="14">
        <v>245011</v>
      </c>
      <c r="M206" s="14">
        <v>9999</v>
      </c>
      <c r="N206" s="14" t="s">
        <v>1</v>
      </c>
      <c r="O206" s="18">
        <v>-372606</v>
      </c>
      <c r="P206" s="18">
        <v>-372606</v>
      </c>
      <c r="R206" s="14" t="s">
        <v>3092</v>
      </c>
      <c r="S206" s="14" t="s">
        <v>280</v>
      </c>
      <c r="U206" s="14" t="s">
        <v>3093</v>
      </c>
      <c r="V206" s="14" t="s">
        <v>287</v>
      </c>
      <c r="W206" s="14" t="s">
        <v>227</v>
      </c>
      <c r="X206" s="14" t="s">
        <v>227</v>
      </c>
      <c r="Y206" s="28">
        <v>44865</v>
      </c>
      <c r="Z206" s="28">
        <v>44868</v>
      </c>
    </row>
    <row r="207" spans="1:26" x14ac:dyDescent="0.2">
      <c r="A207" s="14" t="s">
        <v>227</v>
      </c>
      <c r="B207" s="14" t="s">
        <v>227</v>
      </c>
      <c r="D207" s="14" t="s">
        <v>524</v>
      </c>
      <c r="E207" s="14" t="s">
        <v>282</v>
      </c>
      <c r="F207" s="14" t="s">
        <v>283</v>
      </c>
      <c r="G207" s="14" t="s">
        <v>313</v>
      </c>
      <c r="H207" s="14" t="s">
        <v>11</v>
      </c>
      <c r="I207" s="14" t="s">
        <v>285</v>
      </c>
      <c r="J207" s="14">
        <v>101</v>
      </c>
      <c r="K207" s="14">
        <v>12012</v>
      </c>
      <c r="L207" s="14">
        <v>245011</v>
      </c>
      <c r="M207" s="14">
        <v>9999</v>
      </c>
      <c r="N207" s="14" t="s">
        <v>1</v>
      </c>
      <c r="O207" s="18">
        <v>178472.34</v>
      </c>
      <c r="P207" s="18">
        <v>178472.34</v>
      </c>
      <c r="Q207" s="14" t="s">
        <v>3094</v>
      </c>
      <c r="R207" s="14" t="s">
        <v>3095</v>
      </c>
      <c r="S207" s="14" t="s">
        <v>280</v>
      </c>
      <c r="U207" s="14" t="s">
        <v>3096</v>
      </c>
      <c r="V207" s="14" t="s">
        <v>287</v>
      </c>
      <c r="W207" s="14" t="s">
        <v>227</v>
      </c>
      <c r="X207" s="14" t="s">
        <v>227</v>
      </c>
      <c r="Y207" s="28">
        <v>44834</v>
      </c>
      <c r="Z207" s="28">
        <v>44839</v>
      </c>
    </row>
    <row r="208" spans="1:26" x14ac:dyDescent="0.2">
      <c r="A208" s="14" t="s">
        <v>227</v>
      </c>
      <c r="B208" s="14" t="s">
        <v>227</v>
      </c>
      <c r="D208" s="14" t="s">
        <v>532</v>
      </c>
      <c r="E208" s="14" t="s">
        <v>282</v>
      </c>
      <c r="F208" s="14" t="s">
        <v>283</v>
      </c>
      <c r="G208" s="14" t="s">
        <v>313</v>
      </c>
      <c r="H208" s="14" t="s">
        <v>11</v>
      </c>
      <c r="I208" s="14" t="s">
        <v>285</v>
      </c>
      <c r="J208" s="14">
        <v>101</v>
      </c>
      <c r="K208" s="14">
        <v>12012</v>
      </c>
      <c r="L208" s="14">
        <v>245011</v>
      </c>
      <c r="M208" s="14">
        <v>9999</v>
      </c>
      <c r="N208" s="14" t="s">
        <v>1</v>
      </c>
      <c r="O208" s="18">
        <v>-178472.34</v>
      </c>
      <c r="P208" s="18">
        <v>-178472.34</v>
      </c>
      <c r="R208" s="14" t="s">
        <v>3097</v>
      </c>
      <c r="S208" s="14" t="s">
        <v>280</v>
      </c>
      <c r="U208" s="14" t="s">
        <v>3098</v>
      </c>
      <c r="V208" s="14" t="s">
        <v>287</v>
      </c>
      <c r="W208" s="14" t="s">
        <v>227</v>
      </c>
      <c r="X208" s="14" t="s">
        <v>227</v>
      </c>
      <c r="Y208" s="28">
        <v>44845</v>
      </c>
      <c r="Z208" s="28">
        <v>44845</v>
      </c>
    </row>
    <row r="209" spans="1:26" x14ac:dyDescent="0.2">
      <c r="A209" s="14" t="s">
        <v>227</v>
      </c>
      <c r="B209" s="14" t="s">
        <v>227</v>
      </c>
      <c r="D209" s="14" t="s">
        <v>562</v>
      </c>
      <c r="E209" s="14" t="s">
        <v>282</v>
      </c>
      <c r="F209" s="14" t="s">
        <v>283</v>
      </c>
      <c r="G209" s="14" t="s">
        <v>313</v>
      </c>
      <c r="H209" s="14" t="s">
        <v>68</v>
      </c>
      <c r="I209" s="14" t="s">
        <v>547</v>
      </c>
      <c r="J209" s="14">
        <v>101</v>
      </c>
      <c r="K209" s="14">
        <v>12022</v>
      </c>
      <c r="L209" s="14">
        <v>245011</v>
      </c>
      <c r="M209" s="14">
        <v>9999</v>
      </c>
      <c r="N209" s="14" t="s">
        <v>1</v>
      </c>
      <c r="O209" s="18">
        <v>-621183</v>
      </c>
      <c r="P209" s="18">
        <v>-621183</v>
      </c>
      <c r="Q209" s="14" t="s">
        <v>3099</v>
      </c>
      <c r="R209" s="14" t="s">
        <v>3100</v>
      </c>
      <c r="S209" s="14" t="s">
        <v>227</v>
      </c>
      <c r="U209" s="14" t="s">
        <v>3101</v>
      </c>
      <c r="V209" s="14" t="s">
        <v>287</v>
      </c>
      <c r="W209" s="14" t="s">
        <v>227</v>
      </c>
      <c r="X209" s="14" t="s">
        <v>227</v>
      </c>
      <c r="Y209" s="28">
        <v>44804</v>
      </c>
      <c r="Z209" s="28">
        <v>44811</v>
      </c>
    </row>
    <row r="210" spans="1:26" x14ac:dyDescent="0.2">
      <c r="A210" s="14" t="s">
        <v>227</v>
      </c>
      <c r="B210" s="14" t="s">
        <v>227</v>
      </c>
      <c r="D210" s="14" t="s">
        <v>524</v>
      </c>
      <c r="E210" s="14" t="s">
        <v>282</v>
      </c>
      <c r="F210" s="14" t="s">
        <v>283</v>
      </c>
      <c r="G210" s="14" t="s">
        <v>313</v>
      </c>
      <c r="H210" s="14" t="s">
        <v>68</v>
      </c>
      <c r="I210" s="14" t="s">
        <v>547</v>
      </c>
      <c r="J210" s="14">
        <v>101</v>
      </c>
      <c r="K210" s="14">
        <v>12022</v>
      </c>
      <c r="L210" s="14">
        <v>245011</v>
      </c>
      <c r="M210" s="14">
        <v>9999</v>
      </c>
      <c r="N210" s="14" t="s">
        <v>1</v>
      </c>
      <c r="O210" s="18">
        <v>-620000</v>
      </c>
      <c r="P210" s="18">
        <v>-620000</v>
      </c>
      <c r="Q210" s="14" t="s">
        <v>3099</v>
      </c>
      <c r="R210" s="14" t="s">
        <v>3102</v>
      </c>
      <c r="S210" s="14" t="s">
        <v>280</v>
      </c>
      <c r="U210" s="14" t="s">
        <v>3103</v>
      </c>
      <c r="V210" s="14" t="s">
        <v>287</v>
      </c>
      <c r="W210" s="14" t="s">
        <v>227</v>
      </c>
      <c r="X210" s="14" t="s">
        <v>227</v>
      </c>
      <c r="Y210" s="28">
        <v>44834</v>
      </c>
      <c r="Z210" s="28">
        <v>44840</v>
      </c>
    </row>
    <row r="211" spans="1:26" x14ac:dyDescent="0.2">
      <c r="A211" s="14" t="s">
        <v>227</v>
      </c>
      <c r="B211" s="14" t="s">
        <v>227</v>
      </c>
      <c r="D211" s="14" t="s">
        <v>532</v>
      </c>
      <c r="E211" s="14" t="s">
        <v>282</v>
      </c>
      <c r="F211" s="14" t="s">
        <v>283</v>
      </c>
      <c r="G211" s="14" t="s">
        <v>313</v>
      </c>
      <c r="H211" s="14" t="s">
        <v>68</v>
      </c>
      <c r="I211" s="14" t="s">
        <v>3104</v>
      </c>
      <c r="J211" s="14">
        <v>100</v>
      </c>
      <c r="K211" s="14">
        <v>12022</v>
      </c>
      <c r="L211" s="14">
        <v>245011</v>
      </c>
      <c r="M211" s="14">
        <v>9999</v>
      </c>
      <c r="N211" s="14" t="s">
        <v>1</v>
      </c>
      <c r="O211" s="18">
        <v>-23435.91</v>
      </c>
      <c r="P211" s="18">
        <v>-23435.91</v>
      </c>
      <c r="R211" s="14" t="s">
        <v>3105</v>
      </c>
      <c r="S211" s="14" t="s">
        <v>3106</v>
      </c>
      <c r="U211" s="14" t="s">
        <v>3107</v>
      </c>
      <c r="V211" s="14" t="s">
        <v>328</v>
      </c>
      <c r="W211" s="14" t="s">
        <v>227</v>
      </c>
      <c r="X211" s="14" t="s">
        <v>227</v>
      </c>
      <c r="Y211" s="28">
        <v>44865</v>
      </c>
      <c r="Z211" s="28">
        <v>44869</v>
      </c>
    </row>
    <row r="212" spans="1:26" x14ac:dyDescent="0.2">
      <c r="A212" s="14" t="s">
        <v>227</v>
      </c>
      <c r="B212" s="14" t="s">
        <v>227</v>
      </c>
      <c r="D212" s="14" t="s">
        <v>532</v>
      </c>
      <c r="E212" s="14" t="s">
        <v>282</v>
      </c>
      <c r="F212" s="14" t="s">
        <v>283</v>
      </c>
      <c r="G212" s="14" t="s">
        <v>313</v>
      </c>
      <c r="H212" s="14" t="s">
        <v>68</v>
      </c>
      <c r="I212" s="14" t="s">
        <v>3104</v>
      </c>
      <c r="J212" s="14">
        <v>100</v>
      </c>
      <c r="K212" s="14">
        <v>12022</v>
      </c>
      <c r="L212" s="14">
        <v>245011</v>
      </c>
      <c r="M212" s="14">
        <v>9999</v>
      </c>
      <c r="N212" s="14" t="s">
        <v>1</v>
      </c>
      <c r="O212" s="18">
        <v>-82465.78</v>
      </c>
      <c r="P212" s="18">
        <v>-82465.78</v>
      </c>
      <c r="R212" s="14" t="s">
        <v>3105</v>
      </c>
      <c r="S212" s="14" t="s">
        <v>3108</v>
      </c>
      <c r="U212" s="14" t="s">
        <v>3107</v>
      </c>
      <c r="V212" s="14" t="s">
        <v>328</v>
      </c>
      <c r="W212" s="14" t="s">
        <v>227</v>
      </c>
      <c r="X212" s="14" t="s">
        <v>227</v>
      </c>
      <c r="Y212" s="28">
        <v>44865</v>
      </c>
      <c r="Z212" s="28">
        <v>44869</v>
      </c>
    </row>
    <row r="213" spans="1:26" x14ac:dyDescent="0.2">
      <c r="A213" s="14" t="s">
        <v>227</v>
      </c>
      <c r="B213" s="14" t="s">
        <v>227</v>
      </c>
      <c r="D213" s="14" t="s">
        <v>532</v>
      </c>
      <c r="E213" s="14" t="s">
        <v>282</v>
      </c>
      <c r="F213" s="14" t="s">
        <v>283</v>
      </c>
      <c r="G213" s="14" t="s">
        <v>313</v>
      </c>
      <c r="H213" s="14" t="s">
        <v>68</v>
      </c>
      <c r="I213" s="14" t="s">
        <v>3104</v>
      </c>
      <c r="J213" s="14">
        <v>100</v>
      </c>
      <c r="K213" s="14">
        <v>12022</v>
      </c>
      <c r="L213" s="14">
        <v>245011</v>
      </c>
      <c r="M213" s="14">
        <v>9999</v>
      </c>
      <c r="N213" s="14" t="s">
        <v>1</v>
      </c>
      <c r="O213" s="18">
        <v>23435.91</v>
      </c>
      <c r="P213" s="18">
        <v>23435.91</v>
      </c>
      <c r="R213" s="14" t="s">
        <v>3109</v>
      </c>
      <c r="S213" s="14" t="s">
        <v>3106</v>
      </c>
      <c r="U213" s="14" t="s">
        <v>3109</v>
      </c>
      <c r="V213" s="14" t="s">
        <v>328</v>
      </c>
      <c r="W213" s="14" t="s">
        <v>227</v>
      </c>
      <c r="X213" s="14" t="s">
        <v>227</v>
      </c>
      <c r="Y213" s="28">
        <v>44865</v>
      </c>
      <c r="Z213" s="28">
        <v>44868</v>
      </c>
    </row>
    <row r="214" spans="1:26" x14ac:dyDescent="0.2">
      <c r="A214" s="14" t="s">
        <v>227</v>
      </c>
      <c r="B214" s="14" t="s">
        <v>227</v>
      </c>
      <c r="D214" s="14" t="s">
        <v>532</v>
      </c>
      <c r="E214" s="14" t="s">
        <v>282</v>
      </c>
      <c r="F214" s="14" t="s">
        <v>283</v>
      </c>
      <c r="G214" s="14" t="s">
        <v>313</v>
      </c>
      <c r="H214" s="14" t="s">
        <v>68</v>
      </c>
      <c r="I214" s="14" t="s">
        <v>3104</v>
      </c>
      <c r="J214" s="14">
        <v>100</v>
      </c>
      <c r="K214" s="14">
        <v>12022</v>
      </c>
      <c r="L214" s="14">
        <v>245011</v>
      </c>
      <c r="M214" s="14">
        <v>9999</v>
      </c>
      <c r="N214" s="14" t="s">
        <v>1</v>
      </c>
      <c r="O214" s="18">
        <v>82465.78</v>
      </c>
      <c r="P214" s="18">
        <v>82465.78</v>
      </c>
      <c r="R214" s="14" t="s">
        <v>3109</v>
      </c>
      <c r="S214" s="14" t="s">
        <v>3108</v>
      </c>
      <c r="U214" s="14" t="s">
        <v>3109</v>
      </c>
      <c r="V214" s="14" t="s">
        <v>328</v>
      </c>
      <c r="W214" s="14" t="s">
        <v>227</v>
      </c>
      <c r="X214" s="14" t="s">
        <v>227</v>
      </c>
      <c r="Y214" s="28">
        <v>44865</v>
      </c>
      <c r="Z214" s="28">
        <v>44868</v>
      </c>
    </row>
    <row r="215" spans="1:26" x14ac:dyDescent="0.2">
      <c r="A215" s="14" t="s">
        <v>227</v>
      </c>
      <c r="B215" s="14" t="s">
        <v>227</v>
      </c>
      <c r="D215" s="14" t="s">
        <v>532</v>
      </c>
      <c r="E215" s="14" t="s">
        <v>282</v>
      </c>
      <c r="F215" s="14" t="s">
        <v>283</v>
      </c>
      <c r="G215" s="14" t="s">
        <v>313</v>
      </c>
      <c r="H215" s="14" t="s">
        <v>68</v>
      </c>
      <c r="I215" s="14" t="s">
        <v>547</v>
      </c>
      <c r="J215" s="14">
        <v>101</v>
      </c>
      <c r="K215" s="14">
        <v>12022</v>
      </c>
      <c r="L215" s="14">
        <v>245011</v>
      </c>
      <c r="M215" s="14">
        <v>9999</v>
      </c>
      <c r="N215" s="14" t="s">
        <v>1</v>
      </c>
      <c r="O215" s="18">
        <v>621183</v>
      </c>
      <c r="P215" s="18">
        <v>621183</v>
      </c>
      <c r="R215" s="14" t="s">
        <v>3110</v>
      </c>
      <c r="S215" s="14" t="s">
        <v>280</v>
      </c>
      <c r="U215" s="14" t="s">
        <v>3111</v>
      </c>
      <c r="V215" s="14" t="s">
        <v>287</v>
      </c>
      <c r="W215" s="14" t="s">
        <v>227</v>
      </c>
      <c r="X215" s="14" t="s">
        <v>227</v>
      </c>
      <c r="Y215" s="14">
        <v>44855</v>
      </c>
      <c r="Z215" s="14">
        <v>44856</v>
      </c>
    </row>
    <row r="216" spans="1:26" x14ac:dyDescent="0.2">
      <c r="A216" s="14" t="s">
        <v>227</v>
      </c>
      <c r="B216" s="14" t="s">
        <v>227</v>
      </c>
      <c r="D216" s="14" t="s">
        <v>532</v>
      </c>
      <c r="E216" s="14" t="s">
        <v>282</v>
      </c>
      <c r="F216" s="14" t="s">
        <v>283</v>
      </c>
      <c r="G216" s="14" t="s">
        <v>313</v>
      </c>
      <c r="H216" s="14" t="s">
        <v>68</v>
      </c>
      <c r="I216" s="14" t="s">
        <v>547</v>
      </c>
      <c r="J216" s="14">
        <v>101</v>
      </c>
      <c r="K216" s="14">
        <v>12022</v>
      </c>
      <c r="L216" s="14">
        <v>245011</v>
      </c>
      <c r="M216" s="14">
        <v>9999</v>
      </c>
      <c r="N216" s="14" t="s">
        <v>1</v>
      </c>
      <c r="O216" s="18">
        <v>620000</v>
      </c>
      <c r="P216" s="18">
        <v>620000</v>
      </c>
      <c r="R216" s="14" t="s">
        <v>3112</v>
      </c>
      <c r="S216" s="14" t="s">
        <v>280</v>
      </c>
      <c r="U216" s="14" t="s">
        <v>3113</v>
      </c>
      <c r="V216" s="14" t="s">
        <v>287</v>
      </c>
      <c r="W216" s="14" t="s">
        <v>227</v>
      </c>
      <c r="X216" s="14" t="s">
        <v>227</v>
      </c>
      <c r="Y216" s="14">
        <v>44855</v>
      </c>
      <c r="Z216" s="14">
        <v>44856</v>
      </c>
    </row>
    <row r="217" spans="1:26" x14ac:dyDescent="0.2">
      <c r="A217" s="44" t="s">
        <v>227</v>
      </c>
      <c r="B217" s="44" t="s">
        <v>227</v>
      </c>
      <c r="C217" s="44"/>
      <c r="D217" s="44" t="s">
        <v>562</v>
      </c>
      <c r="E217" s="44" t="s">
        <v>282</v>
      </c>
      <c r="F217" s="44" t="s">
        <v>283</v>
      </c>
      <c r="G217" s="44" t="s">
        <v>313</v>
      </c>
      <c r="H217" s="44" t="s">
        <v>77</v>
      </c>
      <c r="I217" s="44" t="s">
        <v>594</v>
      </c>
      <c r="J217" s="44">
        <v>101</v>
      </c>
      <c r="K217" s="44">
        <v>11001</v>
      </c>
      <c r="L217" s="44">
        <v>245011</v>
      </c>
      <c r="M217" s="44">
        <v>9999</v>
      </c>
      <c r="N217" s="44" t="s">
        <v>1</v>
      </c>
      <c r="O217" s="45">
        <v>212211.64</v>
      </c>
      <c r="P217" s="45">
        <v>212211.64</v>
      </c>
      <c r="Q217" s="44" t="s">
        <v>3114</v>
      </c>
      <c r="R217" s="44" t="s">
        <v>3066</v>
      </c>
      <c r="S217" s="44" t="s">
        <v>227</v>
      </c>
      <c r="T217" s="44"/>
      <c r="U217" s="44" t="s">
        <v>3115</v>
      </c>
      <c r="V217" s="44" t="s">
        <v>328</v>
      </c>
      <c r="W217" s="44" t="s">
        <v>227</v>
      </c>
      <c r="X217" s="44" t="s">
        <v>227</v>
      </c>
      <c r="Y217" s="46">
        <v>44804</v>
      </c>
      <c r="Z217" s="46">
        <v>44811</v>
      </c>
    </row>
    <row r="218" spans="1:26" s="53" customFormat="1" x14ac:dyDescent="0.2">
      <c r="A218" s="47" t="s">
        <v>227</v>
      </c>
      <c r="B218" s="47" t="s">
        <v>227</v>
      </c>
      <c r="C218" s="48"/>
      <c r="D218" s="47" t="s">
        <v>488</v>
      </c>
      <c r="E218" s="47" t="s">
        <v>282</v>
      </c>
      <c r="F218" s="47" t="s">
        <v>283</v>
      </c>
      <c r="G218" s="47" t="s">
        <v>313</v>
      </c>
      <c r="H218" s="47" t="s">
        <v>77</v>
      </c>
      <c r="I218" s="47" t="s">
        <v>594</v>
      </c>
      <c r="J218" s="49">
        <v>101</v>
      </c>
      <c r="K218" s="49">
        <v>11001</v>
      </c>
      <c r="L218" s="49">
        <v>245011</v>
      </c>
      <c r="M218" s="49">
        <v>9999</v>
      </c>
      <c r="N218" s="47" t="s">
        <v>1</v>
      </c>
      <c r="O218" s="50">
        <v>-50160.75</v>
      </c>
      <c r="P218" s="50">
        <v>-50160.75</v>
      </c>
      <c r="Q218" s="47"/>
      <c r="R218" s="47" t="s">
        <v>489</v>
      </c>
      <c r="S218" s="47" t="s">
        <v>280</v>
      </c>
      <c r="T218" s="51"/>
      <c r="U218" s="47" t="s">
        <v>3116</v>
      </c>
      <c r="V218" s="47" t="s">
        <v>287</v>
      </c>
      <c r="W218" s="47" t="s">
        <v>227</v>
      </c>
      <c r="X218" s="47" t="s">
        <v>227</v>
      </c>
      <c r="Y218" s="52">
        <v>44895</v>
      </c>
      <c r="Z218" s="52">
        <v>44901</v>
      </c>
    </row>
    <row r="219" spans="1:26" s="53" customFormat="1" x14ac:dyDescent="0.2">
      <c r="A219" s="47" t="s">
        <v>227</v>
      </c>
      <c r="B219" s="47" t="s">
        <v>227</v>
      </c>
      <c r="C219" s="48"/>
      <c r="D219" s="47" t="s">
        <v>488</v>
      </c>
      <c r="E219" s="47" t="s">
        <v>282</v>
      </c>
      <c r="F219" s="47" t="s">
        <v>283</v>
      </c>
      <c r="G219" s="47" t="s">
        <v>313</v>
      </c>
      <c r="H219" s="47" t="s">
        <v>77</v>
      </c>
      <c r="I219" s="47" t="s">
        <v>594</v>
      </c>
      <c r="J219" s="49">
        <v>101</v>
      </c>
      <c r="K219" s="49">
        <v>11001</v>
      </c>
      <c r="L219" s="49">
        <v>245011</v>
      </c>
      <c r="M219" s="49">
        <v>9999</v>
      </c>
      <c r="N219" s="47" t="s">
        <v>1</v>
      </c>
      <c r="O219" s="50">
        <v>50160.75</v>
      </c>
      <c r="P219" s="50">
        <v>50160.75</v>
      </c>
      <c r="Q219" s="47"/>
      <c r="R219" s="47" t="s">
        <v>3117</v>
      </c>
      <c r="S219" s="47" t="s">
        <v>280</v>
      </c>
      <c r="T219" s="51"/>
      <c r="U219" s="47" t="s">
        <v>3118</v>
      </c>
      <c r="V219" s="47" t="s">
        <v>287</v>
      </c>
      <c r="W219" s="47" t="s">
        <v>227</v>
      </c>
      <c r="X219" s="47" t="s">
        <v>227</v>
      </c>
      <c r="Y219" s="52">
        <v>44895</v>
      </c>
      <c r="Z219" s="52">
        <v>44901</v>
      </c>
    </row>
    <row r="220" spans="1:26" x14ac:dyDescent="0.2">
      <c r="A220" s="54" t="s">
        <v>227</v>
      </c>
      <c r="B220" s="54" t="s">
        <v>227</v>
      </c>
      <c r="C220" s="54"/>
      <c r="D220" s="54" t="s">
        <v>3119</v>
      </c>
      <c r="E220" s="54" t="s">
        <v>282</v>
      </c>
      <c r="F220" s="54" t="s">
        <v>283</v>
      </c>
      <c r="G220" s="54" t="s">
        <v>313</v>
      </c>
      <c r="H220" s="54" t="s">
        <v>23</v>
      </c>
      <c r="I220" s="54" t="s">
        <v>415</v>
      </c>
      <c r="J220" s="54">
        <v>101</v>
      </c>
      <c r="K220" s="54">
        <v>11003</v>
      </c>
      <c r="L220" s="54">
        <v>245011</v>
      </c>
      <c r="M220" s="54">
        <v>9999</v>
      </c>
      <c r="N220" s="54" t="s">
        <v>1</v>
      </c>
      <c r="O220" s="55">
        <v>-135500.29999999999</v>
      </c>
      <c r="P220" s="55">
        <v>-135500.29999999999</v>
      </c>
      <c r="Q220" s="54" t="s">
        <v>3120</v>
      </c>
      <c r="R220" s="54" t="s">
        <v>3121</v>
      </c>
      <c r="S220" s="54" t="s">
        <v>280</v>
      </c>
      <c r="T220" s="54"/>
      <c r="U220" s="54" t="s">
        <v>3122</v>
      </c>
      <c r="V220" s="54" t="s">
        <v>287</v>
      </c>
      <c r="W220" s="54" t="s">
        <v>227</v>
      </c>
      <c r="X220" s="54" t="s">
        <v>227</v>
      </c>
      <c r="Y220" s="56">
        <v>44135</v>
      </c>
      <c r="Z220" s="56">
        <v>44139</v>
      </c>
    </row>
    <row r="221" spans="1:26" x14ac:dyDescent="0.2">
      <c r="A221" s="54" t="s">
        <v>227</v>
      </c>
      <c r="B221" s="54" t="s">
        <v>227</v>
      </c>
      <c r="C221" s="54"/>
      <c r="D221" s="54" t="s">
        <v>3119</v>
      </c>
      <c r="E221" s="54" t="s">
        <v>282</v>
      </c>
      <c r="F221" s="54" t="s">
        <v>283</v>
      </c>
      <c r="G221" s="54" t="s">
        <v>313</v>
      </c>
      <c r="H221" s="54" t="s">
        <v>23</v>
      </c>
      <c r="I221" s="54" t="s">
        <v>415</v>
      </c>
      <c r="J221" s="54">
        <v>101</v>
      </c>
      <c r="K221" s="54">
        <v>11003</v>
      </c>
      <c r="L221" s="54">
        <v>245011</v>
      </c>
      <c r="M221" s="54">
        <v>9999</v>
      </c>
      <c r="N221" s="54" t="s">
        <v>1</v>
      </c>
      <c r="O221" s="55">
        <v>11718</v>
      </c>
      <c r="P221" s="55">
        <v>11718</v>
      </c>
      <c r="Q221" s="54" t="s">
        <v>3120</v>
      </c>
      <c r="R221" s="54" t="s">
        <v>3123</v>
      </c>
      <c r="S221" s="54" t="s">
        <v>280</v>
      </c>
      <c r="T221" s="54"/>
      <c r="U221" s="54" t="s">
        <v>3122</v>
      </c>
      <c r="V221" s="54" t="s">
        <v>287</v>
      </c>
      <c r="W221" s="54" t="s">
        <v>227</v>
      </c>
      <c r="X221" s="54" t="s">
        <v>227</v>
      </c>
      <c r="Y221" s="56">
        <v>44135</v>
      </c>
      <c r="Z221" s="56">
        <v>44139</v>
      </c>
    </row>
    <row r="222" spans="1:26" s="53" customFormat="1" x14ac:dyDescent="0.2">
      <c r="A222" s="47" t="s">
        <v>227</v>
      </c>
      <c r="B222" s="47" t="s">
        <v>227</v>
      </c>
      <c r="C222" s="48"/>
      <c r="D222" s="47" t="s">
        <v>488</v>
      </c>
      <c r="E222" s="47" t="s">
        <v>282</v>
      </c>
      <c r="F222" s="47" t="s">
        <v>283</v>
      </c>
      <c r="G222" s="47" t="s">
        <v>313</v>
      </c>
      <c r="H222" s="47" t="s">
        <v>23</v>
      </c>
      <c r="I222" s="47" t="s">
        <v>415</v>
      </c>
      <c r="J222" s="49">
        <v>101</v>
      </c>
      <c r="K222" s="49">
        <v>11003</v>
      </c>
      <c r="L222" s="49">
        <v>245011</v>
      </c>
      <c r="M222" s="49">
        <v>9999</v>
      </c>
      <c r="N222" s="47" t="s">
        <v>1</v>
      </c>
      <c r="O222" s="50">
        <v>135500.29999999999</v>
      </c>
      <c r="P222" s="50">
        <v>135500.29999999999</v>
      </c>
      <c r="Q222" s="47"/>
      <c r="R222" s="47" t="s">
        <v>3124</v>
      </c>
      <c r="S222" s="47" t="s">
        <v>280</v>
      </c>
      <c r="T222" s="51"/>
      <c r="U222" s="47" t="s">
        <v>3125</v>
      </c>
      <c r="V222" s="47" t="s">
        <v>287</v>
      </c>
      <c r="W222" s="47" t="s">
        <v>227</v>
      </c>
      <c r="X222" s="47" t="s">
        <v>227</v>
      </c>
      <c r="Y222" s="52">
        <v>44895</v>
      </c>
      <c r="Z222" s="52">
        <v>44901</v>
      </c>
    </row>
    <row r="223" spans="1:26" s="53" customFormat="1" x14ac:dyDescent="0.2">
      <c r="A223" s="47" t="s">
        <v>227</v>
      </c>
      <c r="B223" s="47" t="s">
        <v>227</v>
      </c>
      <c r="C223" s="48"/>
      <c r="D223" s="47" t="s">
        <v>488</v>
      </c>
      <c r="E223" s="47" t="s">
        <v>282</v>
      </c>
      <c r="F223" s="47" t="s">
        <v>283</v>
      </c>
      <c r="G223" s="47" t="s">
        <v>313</v>
      </c>
      <c r="H223" s="47" t="s">
        <v>23</v>
      </c>
      <c r="I223" s="47" t="s">
        <v>415</v>
      </c>
      <c r="J223" s="49">
        <v>101</v>
      </c>
      <c r="K223" s="49">
        <v>11003</v>
      </c>
      <c r="L223" s="49">
        <v>245011</v>
      </c>
      <c r="M223" s="49">
        <v>9999</v>
      </c>
      <c r="N223" s="47" t="s">
        <v>1</v>
      </c>
      <c r="O223" s="50">
        <v>-11718</v>
      </c>
      <c r="P223" s="50">
        <v>-11718</v>
      </c>
      <c r="Q223" s="47"/>
      <c r="R223" s="47" t="s">
        <v>3124</v>
      </c>
      <c r="S223" s="47" t="s">
        <v>280</v>
      </c>
      <c r="T223" s="51"/>
      <c r="U223" s="47" t="s">
        <v>3125</v>
      </c>
      <c r="V223" s="47" t="s">
        <v>287</v>
      </c>
      <c r="W223" s="47" t="s">
        <v>227</v>
      </c>
      <c r="X223" s="47" t="s">
        <v>227</v>
      </c>
      <c r="Y223" s="52">
        <v>44895</v>
      </c>
      <c r="Z223" s="52">
        <v>44901</v>
      </c>
    </row>
    <row r="224" spans="1:26" x14ac:dyDescent="0.2">
      <c r="A224" s="14" t="s">
        <v>227</v>
      </c>
      <c r="B224" s="14" t="s">
        <v>227</v>
      </c>
      <c r="D224" s="14" t="s">
        <v>532</v>
      </c>
      <c r="E224" s="14" t="s">
        <v>282</v>
      </c>
      <c r="F224" s="14" t="s">
        <v>283</v>
      </c>
      <c r="G224" s="14" t="s">
        <v>366</v>
      </c>
      <c r="H224" s="14" t="s">
        <v>57</v>
      </c>
      <c r="I224" s="14" t="s">
        <v>461</v>
      </c>
      <c r="J224" s="14">
        <v>101</v>
      </c>
      <c r="K224" s="14">
        <v>12014</v>
      </c>
      <c r="L224" s="14">
        <v>245011</v>
      </c>
      <c r="M224" s="14">
        <v>9999</v>
      </c>
      <c r="N224" s="14" t="s">
        <v>1</v>
      </c>
      <c r="O224" s="18">
        <v>-325000</v>
      </c>
      <c r="P224" s="18">
        <v>-325000</v>
      </c>
      <c r="Q224" s="14" t="s">
        <v>3126</v>
      </c>
      <c r="R224" s="14" t="s">
        <v>3127</v>
      </c>
      <c r="S224" s="14" t="s">
        <v>280</v>
      </c>
      <c r="U224" s="14" t="s">
        <v>3128</v>
      </c>
      <c r="V224" s="14" t="s">
        <v>287</v>
      </c>
      <c r="W224" s="14" t="s">
        <v>227</v>
      </c>
      <c r="X224" s="14" t="s">
        <v>227</v>
      </c>
      <c r="Y224" s="28">
        <v>44865</v>
      </c>
      <c r="Z224" s="28">
        <v>44868</v>
      </c>
    </row>
    <row r="225" spans="1:26" x14ac:dyDescent="0.2">
      <c r="A225" s="14" t="s">
        <v>227</v>
      </c>
      <c r="B225" s="14" t="s">
        <v>227</v>
      </c>
      <c r="D225" s="14" t="s">
        <v>488</v>
      </c>
      <c r="E225" s="14" t="s">
        <v>282</v>
      </c>
      <c r="F225" s="14" t="s">
        <v>283</v>
      </c>
      <c r="G225" s="14" t="s">
        <v>366</v>
      </c>
      <c r="H225" s="14" t="s">
        <v>57</v>
      </c>
      <c r="I225" s="14" t="s">
        <v>461</v>
      </c>
      <c r="J225" s="14">
        <v>101</v>
      </c>
      <c r="K225" s="14">
        <v>12014</v>
      </c>
      <c r="L225" s="14">
        <v>245011</v>
      </c>
      <c r="M225" s="14">
        <v>9999</v>
      </c>
      <c r="N225" s="14" t="s">
        <v>1</v>
      </c>
      <c r="O225" s="18">
        <v>-575000</v>
      </c>
      <c r="P225" s="18">
        <v>-575000</v>
      </c>
      <c r="R225" s="14" t="s">
        <v>539</v>
      </c>
      <c r="S225" s="14" t="s">
        <v>280</v>
      </c>
      <c r="U225" s="14" t="s">
        <v>3129</v>
      </c>
      <c r="V225" s="14" t="s">
        <v>287</v>
      </c>
      <c r="W225" s="14" t="s">
        <v>227</v>
      </c>
      <c r="X225" s="14" t="s">
        <v>227</v>
      </c>
      <c r="Y225" s="28">
        <v>44895</v>
      </c>
      <c r="Z225" s="28">
        <v>44901</v>
      </c>
    </row>
    <row r="226" spans="1:26" x14ac:dyDescent="0.2">
      <c r="A226" s="14" t="s">
        <v>227</v>
      </c>
      <c r="B226" s="14" t="s">
        <v>227</v>
      </c>
      <c r="D226" s="14" t="s">
        <v>488</v>
      </c>
      <c r="E226" s="14" t="s">
        <v>282</v>
      </c>
      <c r="F226" s="14" t="s">
        <v>283</v>
      </c>
      <c r="G226" s="14" t="s">
        <v>366</v>
      </c>
      <c r="H226" s="14" t="s">
        <v>57</v>
      </c>
      <c r="I226" s="14" t="s">
        <v>461</v>
      </c>
      <c r="J226" s="14">
        <v>101</v>
      </c>
      <c r="K226" s="14">
        <v>12014</v>
      </c>
      <c r="L226" s="14">
        <v>245011</v>
      </c>
      <c r="M226" s="14">
        <v>9999</v>
      </c>
      <c r="N226" s="14" t="s">
        <v>1</v>
      </c>
      <c r="O226" s="18">
        <v>325000</v>
      </c>
      <c r="P226" s="18">
        <v>325000</v>
      </c>
      <c r="R226" s="14" t="s">
        <v>3130</v>
      </c>
      <c r="S226" s="14" t="s">
        <v>280</v>
      </c>
      <c r="U226" s="14" t="s">
        <v>3131</v>
      </c>
      <c r="V226" s="14" t="s">
        <v>287</v>
      </c>
      <c r="W226" s="14" t="s">
        <v>227</v>
      </c>
      <c r="X226" s="14" t="s">
        <v>227</v>
      </c>
      <c r="Y226" s="28">
        <v>44895</v>
      </c>
      <c r="Z226" s="28">
        <v>44900</v>
      </c>
    </row>
    <row r="227" spans="1:26" x14ac:dyDescent="0.2">
      <c r="A227" s="14" t="s">
        <v>227</v>
      </c>
      <c r="B227" s="14" t="s">
        <v>227</v>
      </c>
      <c r="D227" s="14" t="s">
        <v>488</v>
      </c>
      <c r="E227" s="14" t="s">
        <v>282</v>
      </c>
      <c r="F227" s="14" t="s">
        <v>283</v>
      </c>
      <c r="G227" s="14" t="s">
        <v>366</v>
      </c>
      <c r="H227" s="14" t="s">
        <v>57</v>
      </c>
      <c r="I227" s="14" t="s">
        <v>461</v>
      </c>
      <c r="J227" s="14">
        <v>101</v>
      </c>
      <c r="K227" s="14">
        <v>12014</v>
      </c>
      <c r="L227" s="14">
        <v>245011</v>
      </c>
      <c r="M227" s="14">
        <v>9999</v>
      </c>
      <c r="N227" s="14" t="s">
        <v>1</v>
      </c>
      <c r="O227" s="18">
        <v>575000</v>
      </c>
      <c r="P227" s="18">
        <v>575000</v>
      </c>
      <c r="R227" s="14" t="s">
        <v>539</v>
      </c>
      <c r="S227" s="14" t="s">
        <v>280</v>
      </c>
      <c r="U227" s="14" t="s">
        <v>537</v>
      </c>
      <c r="V227" s="14" t="s">
        <v>287</v>
      </c>
      <c r="W227" s="14" t="s">
        <v>227</v>
      </c>
      <c r="X227" s="14" t="s">
        <v>227</v>
      </c>
      <c r="Y227" s="28">
        <v>44895</v>
      </c>
      <c r="Z227" s="28">
        <v>44901</v>
      </c>
    </row>
    <row r="228" spans="1:26" x14ac:dyDescent="0.2">
      <c r="A228" s="14" t="s">
        <v>227</v>
      </c>
      <c r="B228" s="14" t="s">
        <v>227</v>
      </c>
      <c r="D228" s="14" t="s">
        <v>532</v>
      </c>
      <c r="E228" s="14" t="s">
        <v>282</v>
      </c>
      <c r="F228" s="14" t="s">
        <v>283</v>
      </c>
      <c r="G228" s="14" t="s">
        <v>65</v>
      </c>
      <c r="H228" s="14" t="s">
        <v>65</v>
      </c>
      <c r="I228" s="14" t="s">
        <v>540</v>
      </c>
      <c r="J228" s="14">
        <v>101</v>
      </c>
      <c r="K228" s="14">
        <v>11016</v>
      </c>
      <c r="L228" s="14">
        <v>245011</v>
      </c>
      <c r="M228" s="14">
        <v>9999</v>
      </c>
      <c r="N228" s="14" t="s">
        <v>1</v>
      </c>
      <c r="O228" s="18">
        <v>-500000</v>
      </c>
      <c r="P228" s="18">
        <v>-500000</v>
      </c>
      <c r="Q228" s="14" t="s">
        <v>59</v>
      </c>
      <c r="R228" s="14" t="s">
        <v>3132</v>
      </c>
      <c r="S228" s="14" t="s">
        <v>280</v>
      </c>
      <c r="U228" s="14" t="s">
        <v>3133</v>
      </c>
      <c r="V228" s="14" t="s">
        <v>287</v>
      </c>
      <c r="W228" s="14" t="s">
        <v>227</v>
      </c>
      <c r="X228" s="14" t="s">
        <v>227</v>
      </c>
      <c r="Y228" s="28">
        <v>44865</v>
      </c>
      <c r="Z228" s="28">
        <v>44868</v>
      </c>
    </row>
    <row r="229" spans="1:26" x14ac:dyDescent="0.2">
      <c r="A229" s="14" t="s">
        <v>227</v>
      </c>
      <c r="B229" s="14" t="s">
        <v>227</v>
      </c>
      <c r="D229" s="14" t="s">
        <v>488</v>
      </c>
      <c r="E229" s="14" t="s">
        <v>282</v>
      </c>
      <c r="F229" s="14" t="s">
        <v>283</v>
      </c>
      <c r="G229" s="14" t="s">
        <v>65</v>
      </c>
      <c r="H229" s="14" t="s">
        <v>65</v>
      </c>
      <c r="I229" s="14" t="s">
        <v>540</v>
      </c>
      <c r="J229" s="14">
        <v>101</v>
      </c>
      <c r="K229" s="14">
        <v>11016</v>
      </c>
      <c r="L229" s="14">
        <v>245011</v>
      </c>
      <c r="M229" s="14">
        <v>9999</v>
      </c>
      <c r="N229" s="14" t="s">
        <v>1</v>
      </c>
      <c r="O229" s="18">
        <v>500000</v>
      </c>
      <c r="P229" s="18">
        <v>500000</v>
      </c>
      <c r="R229" s="14" t="s">
        <v>3134</v>
      </c>
      <c r="S229" s="14" t="s">
        <v>280</v>
      </c>
      <c r="U229" s="14" t="s">
        <v>3135</v>
      </c>
      <c r="V229" s="14" t="s">
        <v>287</v>
      </c>
      <c r="W229" s="14" t="s">
        <v>227</v>
      </c>
      <c r="X229" s="14" t="s">
        <v>227</v>
      </c>
      <c r="Y229" s="28">
        <v>44880</v>
      </c>
      <c r="Z229" s="28">
        <v>44881</v>
      </c>
    </row>
    <row r="230" spans="1:26" x14ac:dyDescent="0.2">
      <c r="A230" s="14" t="s">
        <v>227</v>
      </c>
      <c r="B230" s="14" t="s">
        <v>227</v>
      </c>
      <c r="D230" s="14" t="s">
        <v>488</v>
      </c>
      <c r="E230" s="14" t="s">
        <v>282</v>
      </c>
      <c r="F230" s="14" t="s">
        <v>283</v>
      </c>
      <c r="G230" s="14" t="s">
        <v>65</v>
      </c>
      <c r="H230" s="14" t="s">
        <v>65</v>
      </c>
      <c r="I230" s="14" t="s">
        <v>540</v>
      </c>
      <c r="J230" s="14">
        <v>101</v>
      </c>
      <c r="K230" s="14">
        <v>11016</v>
      </c>
      <c r="L230" s="14">
        <v>245011</v>
      </c>
      <c r="M230" s="14">
        <v>9999</v>
      </c>
      <c r="N230" s="14" t="s">
        <v>1</v>
      </c>
      <c r="O230" s="18">
        <v>575000</v>
      </c>
      <c r="P230" s="18">
        <v>575000</v>
      </c>
      <c r="R230" s="14" t="s">
        <v>539</v>
      </c>
      <c r="S230" s="14" t="s">
        <v>280</v>
      </c>
      <c r="U230" s="14" t="s">
        <v>3129</v>
      </c>
      <c r="V230" s="14" t="s">
        <v>287</v>
      </c>
      <c r="W230" s="14" t="s">
        <v>227</v>
      </c>
      <c r="X230" s="14" t="s">
        <v>227</v>
      </c>
      <c r="Y230" s="28">
        <v>44895</v>
      </c>
      <c r="Z230" s="28">
        <v>44901</v>
      </c>
    </row>
    <row r="231" spans="1:26" x14ac:dyDescent="0.2">
      <c r="A231" s="14" t="s">
        <v>227</v>
      </c>
      <c r="B231" s="14" t="s">
        <v>227</v>
      </c>
      <c r="D231" s="14" t="s">
        <v>488</v>
      </c>
      <c r="E231" s="14" t="s">
        <v>282</v>
      </c>
      <c r="F231" s="14" t="s">
        <v>283</v>
      </c>
      <c r="G231" s="14" t="s">
        <v>65</v>
      </c>
      <c r="H231" s="14" t="s">
        <v>65</v>
      </c>
      <c r="I231" s="14" t="s">
        <v>540</v>
      </c>
      <c r="J231" s="14">
        <v>101</v>
      </c>
      <c r="K231" s="14">
        <v>11016</v>
      </c>
      <c r="L231" s="14">
        <v>245011</v>
      </c>
      <c r="M231" s="14">
        <v>9999</v>
      </c>
      <c r="N231" s="14" t="s">
        <v>1</v>
      </c>
      <c r="O231" s="18">
        <v>-575000</v>
      </c>
      <c r="P231" s="18">
        <v>-575000</v>
      </c>
      <c r="R231" s="14" t="s">
        <v>539</v>
      </c>
      <c r="S231" s="14" t="s">
        <v>280</v>
      </c>
      <c r="U231" s="14" t="s">
        <v>537</v>
      </c>
      <c r="V231" s="14" t="s">
        <v>287</v>
      </c>
      <c r="W231" s="14" t="s">
        <v>227</v>
      </c>
      <c r="X231" s="14" t="s">
        <v>227</v>
      </c>
      <c r="Y231" s="28">
        <v>44895</v>
      </c>
      <c r="Z231" s="28">
        <v>44901</v>
      </c>
    </row>
    <row r="232" spans="1:26" s="40" customFormat="1" x14ac:dyDescent="0.2">
      <c r="A232" s="40" t="s">
        <v>227</v>
      </c>
      <c r="B232" s="40" t="s">
        <v>227</v>
      </c>
      <c r="D232" s="40" t="s">
        <v>562</v>
      </c>
      <c r="E232" s="40" t="s">
        <v>282</v>
      </c>
      <c r="F232" s="40" t="s">
        <v>283</v>
      </c>
      <c r="G232" s="40" t="s">
        <v>313</v>
      </c>
      <c r="H232" s="40" t="s">
        <v>11</v>
      </c>
      <c r="I232" s="40" t="s">
        <v>285</v>
      </c>
      <c r="J232" s="40">
        <v>101</v>
      </c>
      <c r="K232" s="40">
        <v>12012</v>
      </c>
      <c r="L232" s="40">
        <v>245011</v>
      </c>
      <c r="M232" s="40">
        <v>9999</v>
      </c>
      <c r="N232" s="40" t="s">
        <v>1</v>
      </c>
      <c r="O232" s="41">
        <v>348000</v>
      </c>
      <c r="P232" s="41">
        <v>348000</v>
      </c>
      <c r="Q232" s="40" t="s">
        <v>3136</v>
      </c>
      <c r="R232" s="40" t="s">
        <v>3137</v>
      </c>
      <c r="S232" s="40" t="s">
        <v>227</v>
      </c>
      <c r="U232" s="40" t="s">
        <v>3138</v>
      </c>
      <c r="V232" s="40" t="s">
        <v>328</v>
      </c>
      <c r="W232" s="40" t="s">
        <v>227</v>
      </c>
      <c r="X232" s="40" t="s">
        <v>227</v>
      </c>
      <c r="Y232" s="42">
        <v>44804</v>
      </c>
      <c r="Z232" s="42">
        <v>44810</v>
      </c>
    </row>
    <row r="233" spans="1:26" s="57" customFormat="1" x14ac:dyDescent="0.2">
      <c r="A233" s="57" t="s">
        <v>227</v>
      </c>
      <c r="B233" s="57" t="s">
        <v>227</v>
      </c>
      <c r="D233" s="57" t="s">
        <v>524</v>
      </c>
      <c r="E233" s="57" t="s">
        <v>282</v>
      </c>
      <c r="F233" s="57" t="s">
        <v>283</v>
      </c>
      <c r="G233" s="57" t="s">
        <v>313</v>
      </c>
      <c r="H233" s="57" t="s">
        <v>11</v>
      </c>
      <c r="I233" s="57" t="s">
        <v>285</v>
      </c>
      <c r="J233" s="57">
        <v>101</v>
      </c>
      <c r="K233" s="57">
        <v>12012</v>
      </c>
      <c r="L233" s="57">
        <v>245011</v>
      </c>
      <c r="M233" s="57">
        <v>9999</v>
      </c>
      <c r="N233" s="57" t="s">
        <v>1</v>
      </c>
      <c r="O233" s="58">
        <v>-100000</v>
      </c>
      <c r="P233" s="41">
        <v>-100000</v>
      </c>
      <c r="Q233" s="57" t="s">
        <v>3139</v>
      </c>
      <c r="R233" s="57" t="s">
        <v>3140</v>
      </c>
      <c r="S233" s="57" t="s">
        <v>280</v>
      </c>
      <c r="U233" s="57" t="s">
        <v>3141</v>
      </c>
      <c r="V233" s="57" t="s">
        <v>287</v>
      </c>
      <c r="W233" s="57" t="s">
        <v>227</v>
      </c>
      <c r="X233" s="57" t="s">
        <v>227</v>
      </c>
      <c r="Y233" s="59">
        <v>44834</v>
      </c>
      <c r="Z233" s="59">
        <v>44839</v>
      </c>
    </row>
    <row r="234" spans="1:26" x14ac:dyDescent="0.2">
      <c r="A234" s="14" t="s">
        <v>227</v>
      </c>
      <c r="B234" s="14" t="s">
        <v>227</v>
      </c>
      <c r="D234" s="14" t="s">
        <v>488</v>
      </c>
      <c r="E234" s="14" t="s">
        <v>282</v>
      </c>
      <c r="F234" s="14" t="s">
        <v>283</v>
      </c>
      <c r="G234" s="14" t="s">
        <v>313</v>
      </c>
      <c r="H234" s="14" t="s">
        <v>11</v>
      </c>
      <c r="I234" s="14" t="s">
        <v>285</v>
      </c>
      <c r="J234" s="14">
        <v>101</v>
      </c>
      <c r="K234" s="14">
        <v>12012</v>
      </c>
      <c r="L234" s="14">
        <v>245011</v>
      </c>
      <c r="M234" s="14">
        <v>9999</v>
      </c>
      <c r="N234" s="14" t="s">
        <v>1</v>
      </c>
      <c r="O234" s="18">
        <v>-348000</v>
      </c>
      <c r="P234" s="41">
        <v>-348000</v>
      </c>
      <c r="R234" s="14" t="s">
        <v>3142</v>
      </c>
      <c r="S234" s="14" t="s">
        <v>227</v>
      </c>
      <c r="U234" s="14" t="s">
        <v>3143</v>
      </c>
      <c r="V234" s="14" t="s">
        <v>328</v>
      </c>
      <c r="W234" s="14" t="s">
        <v>227</v>
      </c>
      <c r="X234" s="14" t="s">
        <v>227</v>
      </c>
      <c r="Y234" s="28">
        <v>44895</v>
      </c>
      <c r="Z234" s="28">
        <v>44896</v>
      </c>
    </row>
    <row r="235" spans="1:26" x14ac:dyDescent="0.2">
      <c r="A235" s="14" t="s">
        <v>227</v>
      </c>
      <c r="B235" s="14" t="s">
        <v>227</v>
      </c>
      <c r="D235" s="14" t="s">
        <v>488</v>
      </c>
      <c r="E235" s="14" t="s">
        <v>282</v>
      </c>
      <c r="F235" s="14" t="s">
        <v>283</v>
      </c>
      <c r="G235" s="14" t="s">
        <v>313</v>
      </c>
      <c r="H235" s="14" t="s">
        <v>11</v>
      </c>
      <c r="I235" s="14" t="s">
        <v>285</v>
      </c>
      <c r="J235" s="14">
        <v>101</v>
      </c>
      <c r="K235" s="14">
        <v>12012</v>
      </c>
      <c r="L235" s="14">
        <v>245011</v>
      </c>
      <c r="M235" s="14">
        <v>9999</v>
      </c>
      <c r="N235" s="14" t="s">
        <v>1</v>
      </c>
      <c r="O235" s="18">
        <v>100000</v>
      </c>
      <c r="P235" s="41">
        <v>100000</v>
      </c>
      <c r="R235" s="14" t="s">
        <v>3144</v>
      </c>
      <c r="S235" s="14" t="s">
        <v>280</v>
      </c>
      <c r="U235" s="14" t="s">
        <v>3145</v>
      </c>
      <c r="V235" s="14" t="s">
        <v>287</v>
      </c>
      <c r="W235" s="14" t="s">
        <v>227</v>
      </c>
      <c r="X235" s="14" t="s">
        <v>227</v>
      </c>
      <c r="Y235" s="28">
        <v>44881</v>
      </c>
      <c r="Z235" s="28">
        <v>44882</v>
      </c>
    </row>
    <row r="236" spans="1:26" x14ac:dyDescent="0.2">
      <c r="A236" s="60" t="s">
        <v>227</v>
      </c>
      <c r="B236" s="60" t="s">
        <v>227</v>
      </c>
      <c r="C236" s="60"/>
      <c r="D236" s="60" t="s">
        <v>759</v>
      </c>
      <c r="E236" s="60" t="s">
        <v>282</v>
      </c>
      <c r="F236" s="60" t="s">
        <v>283</v>
      </c>
      <c r="G236" s="60" t="s">
        <v>313</v>
      </c>
      <c r="H236" s="60" t="s">
        <v>68</v>
      </c>
      <c r="I236" s="60" t="s">
        <v>547</v>
      </c>
      <c r="J236" s="60">
        <v>101</v>
      </c>
      <c r="K236" s="60">
        <v>12022</v>
      </c>
      <c r="L236" s="60">
        <v>245011</v>
      </c>
      <c r="M236" s="60">
        <v>9999</v>
      </c>
      <c r="N236" s="60" t="s">
        <v>1</v>
      </c>
      <c r="O236" s="61">
        <v>-597094.30000000005</v>
      </c>
      <c r="P236" s="61">
        <v>-597094.30000000005</v>
      </c>
      <c r="Q236" s="60" t="s">
        <v>3146</v>
      </c>
      <c r="R236" s="60" t="s">
        <v>3147</v>
      </c>
      <c r="S236" s="60" t="s">
        <v>280</v>
      </c>
      <c r="T236" s="60"/>
      <c r="U236" s="60" t="s">
        <v>3148</v>
      </c>
      <c r="V236" s="60" t="s">
        <v>287</v>
      </c>
      <c r="W236" s="60" t="s">
        <v>227</v>
      </c>
      <c r="X236" s="60" t="s">
        <v>227</v>
      </c>
      <c r="Y236" s="62">
        <v>44681</v>
      </c>
      <c r="Z236" s="62">
        <v>44685</v>
      </c>
    </row>
    <row r="237" spans="1:26" x14ac:dyDescent="0.2">
      <c r="A237" s="60" t="s">
        <v>227</v>
      </c>
      <c r="B237" s="60" t="s">
        <v>227</v>
      </c>
      <c r="C237" s="60"/>
      <c r="D237" s="60" t="s">
        <v>1257</v>
      </c>
      <c r="E237" s="60" t="s">
        <v>282</v>
      </c>
      <c r="F237" s="60" t="s">
        <v>283</v>
      </c>
      <c r="G237" s="60" t="s">
        <v>313</v>
      </c>
      <c r="H237" s="60" t="s">
        <v>68</v>
      </c>
      <c r="I237" s="60" t="s">
        <v>547</v>
      </c>
      <c r="J237" s="60">
        <v>101</v>
      </c>
      <c r="K237" s="60">
        <v>12022</v>
      </c>
      <c r="L237" s="60">
        <v>245011</v>
      </c>
      <c r="M237" s="60">
        <v>9999</v>
      </c>
      <c r="N237" s="60" t="s">
        <v>1</v>
      </c>
      <c r="O237" s="61">
        <v>-597094.30000000005</v>
      </c>
      <c r="P237" s="61">
        <v>-597094.30000000005</v>
      </c>
      <c r="Q237" s="60" t="s">
        <v>3146</v>
      </c>
      <c r="R237" s="60" t="s">
        <v>3149</v>
      </c>
      <c r="S237" s="60" t="s">
        <v>280</v>
      </c>
      <c r="T237" s="60"/>
      <c r="U237" s="60" t="s">
        <v>3150</v>
      </c>
      <c r="V237" s="60" t="s">
        <v>287</v>
      </c>
      <c r="W237" s="60" t="s">
        <v>227</v>
      </c>
      <c r="X237" s="60" t="s">
        <v>227</v>
      </c>
      <c r="Y237" s="62">
        <v>44712</v>
      </c>
      <c r="Z237" s="62">
        <v>44718</v>
      </c>
    </row>
    <row r="238" spans="1:26" x14ac:dyDescent="0.2">
      <c r="A238" s="60" t="s">
        <v>227</v>
      </c>
      <c r="B238" s="60" t="s">
        <v>227</v>
      </c>
      <c r="C238" s="60"/>
      <c r="D238" s="60" t="s">
        <v>554</v>
      </c>
      <c r="E238" s="60" t="s">
        <v>282</v>
      </c>
      <c r="F238" s="60" t="s">
        <v>283</v>
      </c>
      <c r="G238" s="60" t="s">
        <v>313</v>
      </c>
      <c r="H238" s="60" t="s">
        <v>68</v>
      </c>
      <c r="I238" s="60" t="s">
        <v>547</v>
      </c>
      <c r="J238" s="60">
        <v>101</v>
      </c>
      <c r="K238" s="60">
        <v>12022</v>
      </c>
      <c r="L238" s="60">
        <v>245011</v>
      </c>
      <c r="M238" s="60">
        <v>9999</v>
      </c>
      <c r="N238" s="60" t="s">
        <v>1</v>
      </c>
      <c r="O238" s="61">
        <v>-1418481.09</v>
      </c>
      <c r="P238" s="61">
        <v>-1418481.09</v>
      </c>
      <c r="Q238" s="60" t="s">
        <v>3146</v>
      </c>
      <c r="R238" s="60" t="s">
        <v>3151</v>
      </c>
      <c r="S238" s="60" t="s">
        <v>280</v>
      </c>
      <c r="T238" s="60"/>
      <c r="U238" s="60" t="s">
        <v>3152</v>
      </c>
      <c r="V238" s="60" t="s">
        <v>287</v>
      </c>
      <c r="W238" s="60" t="s">
        <v>227</v>
      </c>
      <c r="X238" s="60" t="s">
        <v>227</v>
      </c>
      <c r="Y238" s="62">
        <v>44742</v>
      </c>
      <c r="Z238" s="62">
        <v>44743</v>
      </c>
    </row>
    <row r="239" spans="1:26" x14ac:dyDescent="0.2">
      <c r="A239" s="60" t="s">
        <v>227</v>
      </c>
      <c r="B239" s="60" t="s">
        <v>227</v>
      </c>
      <c r="C239" s="60"/>
      <c r="D239" s="60" t="s">
        <v>2957</v>
      </c>
      <c r="E239" s="60" t="s">
        <v>282</v>
      </c>
      <c r="F239" s="60" t="s">
        <v>283</v>
      </c>
      <c r="G239" s="60" t="s">
        <v>313</v>
      </c>
      <c r="H239" s="60" t="s">
        <v>68</v>
      </c>
      <c r="I239" s="60" t="s">
        <v>547</v>
      </c>
      <c r="J239" s="60">
        <v>101</v>
      </c>
      <c r="K239" s="60">
        <v>12022</v>
      </c>
      <c r="L239" s="60">
        <v>245011</v>
      </c>
      <c r="M239" s="60">
        <v>9999</v>
      </c>
      <c r="N239" s="60" t="s">
        <v>1</v>
      </c>
      <c r="O239" s="61">
        <v>-597094.30000000005</v>
      </c>
      <c r="P239" s="61">
        <v>-597094.30000000005</v>
      </c>
      <c r="Q239" s="60" t="s">
        <v>3146</v>
      </c>
      <c r="R239" s="60" t="s">
        <v>3153</v>
      </c>
      <c r="S239" s="60" t="s">
        <v>227</v>
      </c>
      <c r="T239" s="60"/>
      <c r="U239" s="60" t="s">
        <v>3154</v>
      </c>
      <c r="V239" s="60" t="s">
        <v>287</v>
      </c>
      <c r="W239" s="60" t="s">
        <v>227</v>
      </c>
      <c r="X239" s="60" t="s">
        <v>227</v>
      </c>
      <c r="Y239" s="62">
        <v>44773</v>
      </c>
      <c r="Z239" s="62">
        <v>44777</v>
      </c>
    </row>
    <row r="240" spans="1:26" x14ac:dyDescent="0.2">
      <c r="A240" s="60" t="s">
        <v>227</v>
      </c>
      <c r="B240" s="60" t="s">
        <v>227</v>
      </c>
      <c r="C240" s="60"/>
      <c r="D240" s="60" t="s">
        <v>562</v>
      </c>
      <c r="E240" s="60" t="s">
        <v>282</v>
      </c>
      <c r="F240" s="60" t="s">
        <v>283</v>
      </c>
      <c r="G240" s="60" t="s">
        <v>313</v>
      </c>
      <c r="H240" s="60" t="s">
        <v>68</v>
      </c>
      <c r="I240" s="60" t="s">
        <v>547</v>
      </c>
      <c r="J240" s="60">
        <v>101</v>
      </c>
      <c r="K240" s="60">
        <v>12022</v>
      </c>
      <c r="L240" s="60">
        <v>245011</v>
      </c>
      <c r="M240" s="60">
        <v>9999</v>
      </c>
      <c r="N240" s="60" t="s">
        <v>1</v>
      </c>
      <c r="O240" s="61">
        <v>2740400.32</v>
      </c>
      <c r="P240" s="61">
        <v>2740400.32</v>
      </c>
      <c r="Q240" s="60" t="s">
        <v>3146</v>
      </c>
      <c r="R240" s="60" t="s">
        <v>3155</v>
      </c>
      <c r="S240" s="60" t="s">
        <v>227</v>
      </c>
      <c r="T240" s="60"/>
      <c r="U240" s="60" t="s">
        <v>3156</v>
      </c>
      <c r="V240" s="60" t="s">
        <v>328</v>
      </c>
      <c r="W240" s="60" t="s">
        <v>3157</v>
      </c>
      <c r="X240" s="60" t="s">
        <v>227</v>
      </c>
      <c r="Y240" s="62">
        <v>44804</v>
      </c>
      <c r="Z240" s="62">
        <v>44811</v>
      </c>
    </row>
    <row r="241" spans="1:26" x14ac:dyDescent="0.2">
      <c r="A241" s="14" t="s">
        <v>227</v>
      </c>
      <c r="B241" s="14" t="s">
        <v>227</v>
      </c>
      <c r="D241" s="14" t="s">
        <v>488</v>
      </c>
      <c r="E241" s="14" t="s">
        <v>282</v>
      </c>
      <c r="F241" s="14" t="s">
        <v>283</v>
      </c>
      <c r="G241" s="14" t="s">
        <v>313</v>
      </c>
      <c r="H241" s="14" t="s">
        <v>68</v>
      </c>
      <c r="I241" s="14" t="s">
        <v>547</v>
      </c>
      <c r="J241" s="14">
        <v>101</v>
      </c>
      <c r="K241" s="14">
        <v>12022</v>
      </c>
      <c r="L241" s="14">
        <v>245011</v>
      </c>
      <c r="M241" s="14">
        <v>9999</v>
      </c>
      <c r="N241" s="14" t="s">
        <v>1</v>
      </c>
      <c r="O241" s="18">
        <v>469363.67</v>
      </c>
      <c r="P241" s="18">
        <v>469363.67</v>
      </c>
      <c r="Q241" s="60" t="s">
        <v>3146</v>
      </c>
      <c r="R241" s="14" t="s">
        <v>3158</v>
      </c>
      <c r="S241" s="14" t="s">
        <v>227</v>
      </c>
      <c r="U241" s="14" t="s">
        <v>3159</v>
      </c>
      <c r="V241" s="14" t="s">
        <v>328</v>
      </c>
      <c r="W241" s="14" t="s">
        <v>227</v>
      </c>
      <c r="X241" s="14" t="s">
        <v>227</v>
      </c>
      <c r="Y241" s="28">
        <v>44895</v>
      </c>
      <c r="Z241" s="28">
        <v>44900</v>
      </c>
    </row>
    <row r="242" spans="1:26" x14ac:dyDescent="0.2">
      <c r="A242" s="14" t="s">
        <v>227</v>
      </c>
      <c r="B242" s="14" t="s">
        <v>227</v>
      </c>
      <c r="D242" s="14" t="s">
        <v>532</v>
      </c>
      <c r="E242" s="14" t="s">
        <v>282</v>
      </c>
      <c r="F242" s="14" t="s">
        <v>283</v>
      </c>
      <c r="G242" s="14" t="s">
        <v>313</v>
      </c>
      <c r="H242" s="14" t="s">
        <v>68</v>
      </c>
      <c r="I242" s="14" t="s">
        <v>547</v>
      </c>
      <c r="J242" s="14">
        <v>101</v>
      </c>
      <c r="K242" s="14">
        <v>12022</v>
      </c>
      <c r="L242" s="14">
        <v>245011</v>
      </c>
      <c r="M242" s="14">
        <v>9999</v>
      </c>
      <c r="N242" s="14" t="s">
        <v>1</v>
      </c>
      <c r="O242" s="18">
        <v>23435.91</v>
      </c>
      <c r="P242" s="18">
        <v>23435.91</v>
      </c>
      <c r="Q242" s="14" t="s">
        <v>3160</v>
      </c>
      <c r="R242" s="14" t="s">
        <v>3161</v>
      </c>
      <c r="S242" s="14" t="s">
        <v>227</v>
      </c>
      <c r="U242" s="14" t="s">
        <v>3161</v>
      </c>
      <c r="V242" s="14" t="s">
        <v>328</v>
      </c>
      <c r="W242" s="14" t="s">
        <v>227</v>
      </c>
      <c r="X242" s="14" t="s">
        <v>227</v>
      </c>
      <c r="Y242" s="28">
        <v>44865</v>
      </c>
      <c r="Z242" s="28">
        <v>44869</v>
      </c>
    </row>
    <row r="243" spans="1:26" x14ac:dyDescent="0.2">
      <c r="A243" s="14" t="s">
        <v>227</v>
      </c>
      <c r="B243" s="14" t="s">
        <v>227</v>
      </c>
      <c r="D243" s="14" t="s">
        <v>488</v>
      </c>
      <c r="E243" s="14" t="s">
        <v>282</v>
      </c>
      <c r="F243" s="14" t="s">
        <v>283</v>
      </c>
      <c r="G243" s="14" t="s">
        <v>313</v>
      </c>
      <c r="H243" s="14" t="s">
        <v>68</v>
      </c>
      <c r="I243" s="14" t="s">
        <v>547</v>
      </c>
      <c r="J243" s="14">
        <v>101</v>
      </c>
      <c r="K243" s="14">
        <v>12022</v>
      </c>
      <c r="L243" s="14">
        <v>245011</v>
      </c>
      <c r="M243" s="14">
        <v>9999</v>
      </c>
      <c r="N243" s="14" t="s">
        <v>1</v>
      </c>
      <c r="O243" s="18">
        <v>-23435.91</v>
      </c>
      <c r="P243" s="18">
        <v>-23435.91</v>
      </c>
      <c r="R243" s="14" t="s">
        <v>3162</v>
      </c>
      <c r="S243" s="14" t="s">
        <v>227</v>
      </c>
      <c r="U243" s="14" t="s">
        <v>3163</v>
      </c>
      <c r="V243" s="14" t="s">
        <v>328</v>
      </c>
      <c r="W243" s="14" t="s">
        <v>227</v>
      </c>
      <c r="X243" s="14" t="s">
        <v>227</v>
      </c>
      <c r="Y243" s="28">
        <v>44895</v>
      </c>
      <c r="Z243" s="28">
        <v>44900</v>
      </c>
    </row>
    <row r="244" spans="1:26" s="40" customFormat="1" x14ac:dyDescent="0.2">
      <c r="A244" s="40" t="s">
        <v>227</v>
      </c>
      <c r="B244" s="40" t="s">
        <v>227</v>
      </c>
      <c r="D244" s="40" t="s">
        <v>532</v>
      </c>
      <c r="E244" s="40" t="s">
        <v>282</v>
      </c>
      <c r="F244" s="40" t="s">
        <v>283</v>
      </c>
      <c r="G244" s="40" t="s">
        <v>313</v>
      </c>
      <c r="H244" s="40" t="s">
        <v>89</v>
      </c>
      <c r="I244" s="40" t="s">
        <v>741</v>
      </c>
      <c r="J244" s="40">
        <v>101</v>
      </c>
      <c r="K244" s="40">
        <v>11024</v>
      </c>
      <c r="L244" s="40">
        <v>245011</v>
      </c>
      <c r="M244" s="40">
        <v>9999</v>
      </c>
      <c r="N244" s="40" t="s">
        <v>1</v>
      </c>
      <c r="O244" s="41">
        <v>-869000</v>
      </c>
      <c r="P244" s="41">
        <v>-869000</v>
      </c>
      <c r="Q244" s="40" t="s">
        <v>3164</v>
      </c>
      <c r="R244" s="40" t="s">
        <v>3165</v>
      </c>
      <c r="S244" s="40" t="s">
        <v>280</v>
      </c>
      <c r="U244" s="40" t="s">
        <v>3166</v>
      </c>
      <c r="V244" s="40" t="s">
        <v>287</v>
      </c>
      <c r="W244" s="40" t="s">
        <v>227</v>
      </c>
      <c r="X244" s="40" t="s">
        <v>227</v>
      </c>
      <c r="Y244" s="42">
        <v>44865</v>
      </c>
      <c r="Z244" s="42">
        <v>44868</v>
      </c>
    </row>
    <row r="245" spans="1:26" x14ac:dyDescent="0.2">
      <c r="A245" s="14" t="s">
        <v>227</v>
      </c>
      <c r="B245" s="14" t="s">
        <v>227</v>
      </c>
      <c r="D245" s="14" t="s">
        <v>488</v>
      </c>
      <c r="E245" s="14" t="s">
        <v>282</v>
      </c>
      <c r="F245" s="14" t="s">
        <v>283</v>
      </c>
      <c r="G245" s="14" t="s">
        <v>313</v>
      </c>
      <c r="H245" s="14" t="s">
        <v>89</v>
      </c>
      <c r="I245" s="14" t="s">
        <v>741</v>
      </c>
      <c r="J245" s="14">
        <v>101</v>
      </c>
      <c r="K245" s="14">
        <v>11024</v>
      </c>
      <c r="L245" s="14">
        <v>245011</v>
      </c>
      <c r="M245" s="14">
        <v>9999</v>
      </c>
      <c r="N245" s="14" t="s">
        <v>1</v>
      </c>
      <c r="O245" s="18">
        <v>869000</v>
      </c>
      <c r="P245" s="18">
        <v>869000</v>
      </c>
      <c r="R245" s="14" t="s">
        <v>3167</v>
      </c>
      <c r="S245" s="14" t="s">
        <v>280</v>
      </c>
      <c r="U245" s="14" t="s">
        <v>3168</v>
      </c>
      <c r="V245" s="14" t="s">
        <v>287</v>
      </c>
      <c r="W245" s="14" t="s">
        <v>227</v>
      </c>
      <c r="X245" s="14" t="s">
        <v>227</v>
      </c>
      <c r="Y245" s="28">
        <v>44872</v>
      </c>
      <c r="Z245" s="28">
        <v>44873</v>
      </c>
    </row>
    <row r="246" spans="1:26" x14ac:dyDescent="0.2">
      <c r="A246" s="14" t="s">
        <v>227</v>
      </c>
      <c r="B246" s="14" t="s">
        <v>227</v>
      </c>
      <c r="D246" s="14" t="s">
        <v>562</v>
      </c>
      <c r="E246" s="14" t="s">
        <v>282</v>
      </c>
      <c r="F246" s="14" t="s">
        <v>294</v>
      </c>
      <c r="G246" s="14" t="s">
        <v>295</v>
      </c>
      <c r="H246" s="14" t="s">
        <v>75</v>
      </c>
      <c r="I246" s="14" t="s">
        <v>474</v>
      </c>
      <c r="J246" s="14">
        <v>101</v>
      </c>
      <c r="K246" s="14">
        <v>13006</v>
      </c>
      <c r="L246" s="14">
        <v>245011</v>
      </c>
      <c r="M246" s="14">
        <v>9999</v>
      </c>
      <c r="N246" s="14" t="s">
        <v>1</v>
      </c>
      <c r="O246" s="18">
        <v>2650030.48</v>
      </c>
      <c r="P246" s="18">
        <v>2650030.48</v>
      </c>
      <c r="Q246" s="14" t="s">
        <v>3169</v>
      </c>
      <c r="R246" s="14" t="s">
        <v>3170</v>
      </c>
      <c r="S246" s="14" t="s">
        <v>227</v>
      </c>
      <c r="U246" s="14" t="s">
        <v>3171</v>
      </c>
      <c r="V246" s="14" t="s">
        <v>287</v>
      </c>
      <c r="W246" s="14" t="s">
        <v>227</v>
      </c>
      <c r="X246" s="14" t="s">
        <v>227</v>
      </c>
      <c r="Y246" s="28">
        <v>44804</v>
      </c>
      <c r="Z246" s="28">
        <v>44811</v>
      </c>
    </row>
    <row r="247" spans="1:26" x14ac:dyDescent="0.2">
      <c r="A247" s="14" t="s">
        <v>227</v>
      </c>
      <c r="B247" s="14" t="s">
        <v>227</v>
      </c>
      <c r="D247" s="14" t="s">
        <v>488</v>
      </c>
      <c r="E247" s="14" t="s">
        <v>282</v>
      </c>
      <c r="F247" s="14" t="s">
        <v>294</v>
      </c>
      <c r="G247" s="14" t="s">
        <v>295</v>
      </c>
      <c r="H247" s="14" t="s">
        <v>75</v>
      </c>
      <c r="I247" s="14" t="s">
        <v>474</v>
      </c>
      <c r="J247" s="14">
        <v>101</v>
      </c>
      <c r="K247" s="14">
        <v>13006</v>
      </c>
      <c r="L247" s="14">
        <v>245011</v>
      </c>
      <c r="M247" s="14">
        <v>9999</v>
      </c>
      <c r="N247" s="14" t="s">
        <v>1</v>
      </c>
      <c r="O247" s="18">
        <v>-2650030.48</v>
      </c>
      <c r="P247" s="18">
        <v>-2650030.48</v>
      </c>
      <c r="R247" s="14" t="s">
        <v>3172</v>
      </c>
      <c r="S247" s="14" t="s">
        <v>280</v>
      </c>
      <c r="U247" s="14" t="s">
        <v>3173</v>
      </c>
      <c r="V247" s="14" t="s">
        <v>287</v>
      </c>
      <c r="W247" s="14" t="s">
        <v>227</v>
      </c>
      <c r="X247" s="14" t="s">
        <v>227</v>
      </c>
      <c r="Y247" s="28">
        <v>44895</v>
      </c>
      <c r="Z247" s="28">
        <v>44897</v>
      </c>
    </row>
    <row r="248" spans="1:26" s="40" customFormat="1" x14ac:dyDescent="0.2">
      <c r="A248" s="40" t="s">
        <v>227</v>
      </c>
      <c r="B248" s="40" t="s">
        <v>227</v>
      </c>
      <c r="D248" s="40" t="s">
        <v>532</v>
      </c>
      <c r="E248" s="40" t="s">
        <v>282</v>
      </c>
      <c r="F248" s="40" t="s">
        <v>283</v>
      </c>
      <c r="G248" s="40" t="s">
        <v>313</v>
      </c>
      <c r="H248" s="40" t="s">
        <v>77</v>
      </c>
      <c r="I248" s="40" t="s">
        <v>594</v>
      </c>
      <c r="J248" s="40">
        <v>101</v>
      </c>
      <c r="K248" s="40">
        <v>11001</v>
      </c>
      <c r="L248" s="40">
        <v>245011</v>
      </c>
      <c r="M248" s="40">
        <v>9999</v>
      </c>
      <c r="N248" s="40" t="s">
        <v>1</v>
      </c>
      <c r="O248" s="41">
        <v>110343</v>
      </c>
      <c r="P248" s="41">
        <v>110343</v>
      </c>
      <c r="Q248" s="40" t="s">
        <v>3174</v>
      </c>
      <c r="R248" s="40" t="s">
        <v>3175</v>
      </c>
      <c r="S248" s="40" t="s">
        <v>3176</v>
      </c>
      <c r="U248" s="40" t="s">
        <v>3175</v>
      </c>
      <c r="V248" s="40" t="s">
        <v>328</v>
      </c>
      <c r="W248" s="40" t="s">
        <v>227</v>
      </c>
      <c r="X248" s="40" t="s">
        <v>227</v>
      </c>
      <c r="Y248" s="42">
        <v>44865</v>
      </c>
      <c r="Z248" s="42">
        <v>44868</v>
      </c>
    </row>
    <row r="249" spans="1:26" s="40" customFormat="1" x14ac:dyDescent="0.2">
      <c r="A249" s="40" t="s">
        <v>227</v>
      </c>
      <c r="B249" s="40" t="s">
        <v>227</v>
      </c>
      <c r="D249" s="40" t="s">
        <v>496</v>
      </c>
      <c r="E249" s="40" t="s">
        <v>282</v>
      </c>
      <c r="F249" s="40" t="s">
        <v>283</v>
      </c>
      <c r="G249" s="40" t="s">
        <v>313</v>
      </c>
      <c r="H249" s="40" t="s">
        <v>77</v>
      </c>
      <c r="I249" s="40" t="s">
        <v>594</v>
      </c>
      <c r="J249" s="40">
        <v>101</v>
      </c>
      <c r="K249" s="40">
        <v>11001</v>
      </c>
      <c r="L249" s="40">
        <v>245011</v>
      </c>
      <c r="M249" s="40">
        <v>9999</v>
      </c>
      <c r="N249" s="40" t="s">
        <v>1</v>
      </c>
      <c r="O249" s="41">
        <v>-110343</v>
      </c>
      <c r="P249" s="41">
        <v>-110343</v>
      </c>
      <c r="R249" s="40" t="s">
        <v>3177</v>
      </c>
      <c r="S249" s="40" t="s">
        <v>3176</v>
      </c>
      <c r="U249" s="40" t="s">
        <v>3178</v>
      </c>
      <c r="V249" s="40" t="s">
        <v>328</v>
      </c>
      <c r="W249" s="40" t="s">
        <v>227</v>
      </c>
      <c r="X249" s="40" t="s">
        <v>227</v>
      </c>
      <c r="Y249" s="42">
        <v>44926</v>
      </c>
      <c r="Z249" s="42">
        <v>44929</v>
      </c>
    </row>
    <row r="250" spans="1:26" s="40" customFormat="1" x14ac:dyDescent="0.2">
      <c r="A250" s="40" t="s">
        <v>227</v>
      </c>
      <c r="B250" s="40" t="s">
        <v>227</v>
      </c>
      <c r="D250" s="40" t="s">
        <v>488</v>
      </c>
      <c r="E250" s="40" t="s">
        <v>282</v>
      </c>
      <c r="F250" s="40" t="s">
        <v>283</v>
      </c>
      <c r="G250" s="40" t="s">
        <v>2794</v>
      </c>
      <c r="H250" s="40" t="s">
        <v>2794</v>
      </c>
      <c r="I250" s="40" t="s">
        <v>2795</v>
      </c>
      <c r="J250" s="40">
        <v>101</v>
      </c>
      <c r="K250" s="40">
        <v>11011</v>
      </c>
      <c r="L250" s="40">
        <v>245011</v>
      </c>
      <c r="M250" s="40">
        <v>9999</v>
      </c>
      <c r="N250" s="40" t="s">
        <v>1</v>
      </c>
      <c r="O250" s="41">
        <v>1374802.21</v>
      </c>
      <c r="P250" s="41">
        <v>1374802.21</v>
      </c>
      <c r="Q250" s="40" t="s">
        <v>3179</v>
      </c>
      <c r="R250" s="40" t="s">
        <v>3180</v>
      </c>
      <c r="S250" s="40" t="s">
        <v>280</v>
      </c>
      <c r="U250" s="40" t="s">
        <v>3181</v>
      </c>
      <c r="V250" s="40" t="s">
        <v>287</v>
      </c>
      <c r="W250" s="40" t="s">
        <v>227</v>
      </c>
      <c r="X250" s="40" t="s">
        <v>227</v>
      </c>
      <c r="Y250" s="42">
        <v>44895</v>
      </c>
      <c r="Z250" s="42">
        <v>44901</v>
      </c>
    </row>
    <row r="251" spans="1:26" s="40" customFormat="1" x14ac:dyDescent="0.2">
      <c r="A251" s="40" t="s">
        <v>227</v>
      </c>
      <c r="B251" s="40" t="s">
        <v>227</v>
      </c>
      <c r="D251" s="40" t="s">
        <v>496</v>
      </c>
      <c r="E251" s="40" t="s">
        <v>282</v>
      </c>
      <c r="F251" s="40" t="s">
        <v>283</v>
      </c>
      <c r="G251" s="40" t="s">
        <v>2794</v>
      </c>
      <c r="H251" s="40" t="s">
        <v>2794</v>
      </c>
      <c r="I251" s="40" t="s">
        <v>2795</v>
      </c>
      <c r="J251" s="40">
        <v>101</v>
      </c>
      <c r="K251" s="40">
        <v>11011</v>
      </c>
      <c r="L251" s="40">
        <v>245011</v>
      </c>
      <c r="M251" s="40">
        <v>9999</v>
      </c>
      <c r="N251" s="40" t="s">
        <v>1</v>
      </c>
      <c r="O251" s="41">
        <v>-1374802.21</v>
      </c>
      <c r="P251" s="41">
        <v>-1374802.21</v>
      </c>
      <c r="R251" s="40" t="s">
        <v>3182</v>
      </c>
      <c r="S251" s="40" t="s">
        <v>280</v>
      </c>
      <c r="U251" s="40" t="s">
        <v>3183</v>
      </c>
      <c r="V251" s="40" t="s">
        <v>287</v>
      </c>
      <c r="W251" s="40" t="s">
        <v>227</v>
      </c>
      <c r="X251" s="40" t="s">
        <v>227</v>
      </c>
      <c r="Y251" s="42">
        <v>44910</v>
      </c>
      <c r="Z251" s="42">
        <v>44912</v>
      </c>
    </row>
    <row r="252" spans="1:26" s="40" customFormat="1" x14ac:dyDescent="0.2">
      <c r="A252" s="40" t="s">
        <v>227</v>
      </c>
      <c r="B252" s="40" t="s">
        <v>227</v>
      </c>
      <c r="D252" s="40" t="s">
        <v>488</v>
      </c>
      <c r="E252" s="40" t="s">
        <v>282</v>
      </c>
      <c r="F252" s="40" t="s">
        <v>283</v>
      </c>
      <c r="G252" s="40" t="s">
        <v>366</v>
      </c>
      <c r="H252" s="40" t="s">
        <v>35</v>
      </c>
      <c r="I252" s="40" t="s">
        <v>490</v>
      </c>
      <c r="J252" s="40">
        <v>101</v>
      </c>
      <c r="K252" s="40">
        <v>11010</v>
      </c>
      <c r="L252" s="40">
        <v>245011</v>
      </c>
      <c r="M252" s="40">
        <v>9999</v>
      </c>
      <c r="N252" s="40" t="s">
        <v>1</v>
      </c>
      <c r="O252" s="41">
        <v>-704600</v>
      </c>
      <c r="P252" s="41">
        <v>-704600</v>
      </c>
      <c r="Q252" s="40" t="s">
        <v>64</v>
      </c>
      <c r="R252" s="40" t="s">
        <v>3184</v>
      </c>
      <c r="S252" s="40" t="s">
        <v>280</v>
      </c>
      <c r="U252" s="40" t="s">
        <v>3185</v>
      </c>
      <c r="V252" s="40" t="s">
        <v>287</v>
      </c>
      <c r="W252" s="40" t="s">
        <v>227</v>
      </c>
      <c r="X252" s="40" t="s">
        <v>227</v>
      </c>
      <c r="Y252" s="42">
        <v>44895</v>
      </c>
      <c r="Z252" s="42">
        <v>44901</v>
      </c>
    </row>
    <row r="253" spans="1:26" s="40" customFormat="1" x14ac:dyDescent="0.2">
      <c r="A253" s="40" t="s">
        <v>227</v>
      </c>
      <c r="B253" s="40" t="s">
        <v>227</v>
      </c>
      <c r="D253" s="40" t="s">
        <v>496</v>
      </c>
      <c r="E253" s="40" t="s">
        <v>282</v>
      </c>
      <c r="F253" s="40" t="s">
        <v>283</v>
      </c>
      <c r="G253" s="40" t="s">
        <v>366</v>
      </c>
      <c r="H253" s="40" t="s">
        <v>35</v>
      </c>
      <c r="I253" s="40" t="s">
        <v>490</v>
      </c>
      <c r="J253" s="40">
        <v>101</v>
      </c>
      <c r="K253" s="40">
        <v>11010</v>
      </c>
      <c r="L253" s="40">
        <v>245011</v>
      </c>
      <c r="M253" s="40">
        <v>9999</v>
      </c>
      <c r="N253" s="40" t="s">
        <v>1</v>
      </c>
      <c r="O253" s="41">
        <v>704600</v>
      </c>
      <c r="P253" s="41">
        <v>704600</v>
      </c>
      <c r="R253" s="40" t="s">
        <v>3186</v>
      </c>
      <c r="S253" s="40" t="s">
        <v>280</v>
      </c>
      <c r="U253" s="40" t="s">
        <v>3187</v>
      </c>
      <c r="V253" s="40" t="s">
        <v>287</v>
      </c>
      <c r="W253" s="40" t="s">
        <v>227</v>
      </c>
      <c r="X253" s="40" t="s">
        <v>227</v>
      </c>
      <c r="Y253" s="42">
        <v>44926</v>
      </c>
      <c r="Z253" s="42">
        <v>44932</v>
      </c>
    </row>
    <row r="254" spans="1:26" s="40" customFormat="1" x14ac:dyDescent="0.2">
      <c r="A254" s="40" t="s">
        <v>227</v>
      </c>
      <c r="B254" s="40" t="s">
        <v>227</v>
      </c>
      <c r="D254" s="40" t="s">
        <v>488</v>
      </c>
      <c r="E254" s="40" t="s">
        <v>282</v>
      </c>
      <c r="F254" s="40" t="s">
        <v>283</v>
      </c>
      <c r="G254" s="40" t="s">
        <v>313</v>
      </c>
      <c r="H254" s="40" t="s">
        <v>11</v>
      </c>
      <c r="I254" s="40" t="s">
        <v>285</v>
      </c>
      <c r="J254" s="40">
        <v>101</v>
      </c>
      <c r="K254" s="40">
        <v>12012</v>
      </c>
      <c r="L254" s="40">
        <v>245011</v>
      </c>
      <c r="M254" s="40">
        <v>9999</v>
      </c>
      <c r="N254" s="40" t="s">
        <v>1</v>
      </c>
      <c r="O254" s="41">
        <v>-35000</v>
      </c>
      <c r="P254" s="41">
        <v>-35000</v>
      </c>
      <c r="Q254" s="40" t="s">
        <v>3188</v>
      </c>
      <c r="R254" s="40" t="s">
        <v>3189</v>
      </c>
      <c r="S254" s="40" t="s">
        <v>280</v>
      </c>
      <c r="U254" s="40" t="s">
        <v>3190</v>
      </c>
      <c r="V254" s="40" t="s">
        <v>287</v>
      </c>
      <c r="W254" s="40" t="s">
        <v>227</v>
      </c>
      <c r="X254" s="40" t="s">
        <v>227</v>
      </c>
      <c r="Y254" s="42">
        <v>44895</v>
      </c>
      <c r="Z254" s="42">
        <v>44896</v>
      </c>
    </row>
    <row r="255" spans="1:26" s="40" customFormat="1" x14ac:dyDescent="0.2">
      <c r="A255" s="40" t="s">
        <v>227</v>
      </c>
      <c r="B255" s="40" t="s">
        <v>227</v>
      </c>
      <c r="D255" s="40" t="s">
        <v>496</v>
      </c>
      <c r="E255" s="40" t="s">
        <v>282</v>
      </c>
      <c r="F255" s="40" t="s">
        <v>283</v>
      </c>
      <c r="G255" s="40" t="s">
        <v>313</v>
      </c>
      <c r="H255" s="40" t="s">
        <v>11</v>
      </c>
      <c r="I255" s="40" t="s">
        <v>285</v>
      </c>
      <c r="J255" s="40">
        <v>101</v>
      </c>
      <c r="K255" s="40">
        <v>12012</v>
      </c>
      <c r="L255" s="40">
        <v>245011</v>
      </c>
      <c r="M255" s="40">
        <v>9999</v>
      </c>
      <c r="N255" s="40" t="s">
        <v>1</v>
      </c>
      <c r="O255" s="41">
        <v>35000</v>
      </c>
      <c r="P255" s="41">
        <v>35000</v>
      </c>
      <c r="R255" s="40" t="s">
        <v>3191</v>
      </c>
      <c r="S255" s="40" t="s">
        <v>280</v>
      </c>
      <c r="U255" s="40" t="s">
        <v>3192</v>
      </c>
      <c r="V255" s="40" t="s">
        <v>287</v>
      </c>
      <c r="W255" s="40" t="s">
        <v>227</v>
      </c>
      <c r="X255" s="40" t="s">
        <v>227</v>
      </c>
      <c r="Y255" s="42">
        <v>44910</v>
      </c>
      <c r="Z255" s="42">
        <v>44912</v>
      </c>
    </row>
    <row r="256" spans="1:26" s="40" customFormat="1" x14ac:dyDescent="0.2">
      <c r="A256" s="40" t="s">
        <v>227</v>
      </c>
      <c r="B256" s="40" t="s">
        <v>227</v>
      </c>
      <c r="D256" s="40" t="s">
        <v>488</v>
      </c>
      <c r="E256" s="40" t="s">
        <v>282</v>
      </c>
      <c r="F256" s="40" t="s">
        <v>283</v>
      </c>
      <c r="G256" s="40" t="s">
        <v>313</v>
      </c>
      <c r="H256" s="40" t="s">
        <v>68</v>
      </c>
      <c r="I256" s="40" t="s">
        <v>547</v>
      </c>
      <c r="J256" s="40">
        <v>101</v>
      </c>
      <c r="K256" s="40">
        <v>12022</v>
      </c>
      <c r="L256" s="40">
        <v>245011</v>
      </c>
      <c r="M256" s="40">
        <v>9999</v>
      </c>
      <c r="N256" s="40" t="s">
        <v>1</v>
      </c>
      <c r="O256" s="41">
        <v>-526105.81000000006</v>
      </c>
      <c r="P256" s="41">
        <v>-526105.81000000006</v>
      </c>
      <c r="Q256" s="40" t="s">
        <v>3146</v>
      </c>
      <c r="R256" s="40" t="s">
        <v>3193</v>
      </c>
      <c r="S256" s="40" t="s">
        <v>280</v>
      </c>
      <c r="U256" s="40" t="s">
        <v>3194</v>
      </c>
      <c r="V256" s="40" t="s">
        <v>287</v>
      </c>
      <c r="W256" s="40" t="s">
        <v>227</v>
      </c>
      <c r="X256" s="40" t="s">
        <v>227</v>
      </c>
      <c r="Y256" s="42">
        <v>44895</v>
      </c>
      <c r="Z256" s="42">
        <v>44901</v>
      </c>
    </row>
    <row r="257" spans="1:26" s="40" customFormat="1" x14ac:dyDescent="0.2">
      <c r="A257" s="40" t="s">
        <v>227</v>
      </c>
      <c r="B257" s="40" t="s">
        <v>227</v>
      </c>
      <c r="D257" s="40" t="s">
        <v>496</v>
      </c>
      <c r="E257" s="40" t="s">
        <v>282</v>
      </c>
      <c r="F257" s="40" t="s">
        <v>283</v>
      </c>
      <c r="G257" s="40" t="s">
        <v>313</v>
      </c>
      <c r="H257" s="40" t="s">
        <v>68</v>
      </c>
      <c r="I257" s="40" t="s">
        <v>547</v>
      </c>
      <c r="J257" s="40">
        <v>101</v>
      </c>
      <c r="K257" s="40">
        <v>12022</v>
      </c>
      <c r="L257" s="40">
        <v>245011</v>
      </c>
      <c r="M257" s="40">
        <v>9999</v>
      </c>
      <c r="N257" s="40" t="s">
        <v>1</v>
      </c>
      <c r="O257" s="41">
        <v>526105.81000000006</v>
      </c>
      <c r="P257" s="41">
        <v>526105.81000000006</v>
      </c>
      <c r="R257" s="40" t="s">
        <v>3195</v>
      </c>
      <c r="S257" s="40" t="s">
        <v>280</v>
      </c>
      <c r="U257" s="40" t="s">
        <v>3196</v>
      </c>
      <c r="V257" s="40" t="s">
        <v>287</v>
      </c>
      <c r="W257" s="40" t="s">
        <v>227</v>
      </c>
      <c r="X257" s="40" t="s">
        <v>227</v>
      </c>
      <c r="Y257" s="42">
        <v>44926</v>
      </c>
      <c r="Z257" s="42">
        <v>44932</v>
      </c>
    </row>
    <row r="258" spans="1:26" s="40" customFormat="1" x14ac:dyDescent="0.2">
      <c r="A258" s="40" t="s">
        <v>227</v>
      </c>
      <c r="B258" s="40" t="s">
        <v>227</v>
      </c>
      <c r="D258" s="40" t="s">
        <v>863</v>
      </c>
      <c r="E258" s="40" t="s">
        <v>282</v>
      </c>
      <c r="F258" s="40" t="s">
        <v>283</v>
      </c>
      <c r="G258" s="40" t="s">
        <v>313</v>
      </c>
      <c r="H258" s="40" t="s">
        <v>71</v>
      </c>
      <c r="I258" s="40" t="s">
        <v>443</v>
      </c>
      <c r="J258" s="40">
        <v>101</v>
      </c>
      <c r="K258" s="40">
        <v>11023</v>
      </c>
      <c r="L258" s="40">
        <v>245011</v>
      </c>
      <c r="M258" s="40">
        <v>9999</v>
      </c>
      <c r="N258" s="40" t="s">
        <v>1</v>
      </c>
      <c r="O258" s="41">
        <v>-616000</v>
      </c>
      <c r="P258" s="41">
        <v>-616000</v>
      </c>
      <c r="Q258" s="40" t="s">
        <v>3197</v>
      </c>
      <c r="R258" s="40" t="s">
        <v>3198</v>
      </c>
      <c r="S258" s="40" t="s">
        <v>280</v>
      </c>
      <c r="U258" s="40" t="s">
        <v>3199</v>
      </c>
      <c r="V258" s="40" t="s">
        <v>287</v>
      </c>
      <c r="W258" s="40" t="s">
        <v>227</v>
      </c>
      <c r="X258" s="40" t="s">
        <v>227</v>
      </c>
      <c r="Y258" s="42">
        <v>44651</v>
      </c>
      <c r="Z258" s="42">
        <v>44657</v>
      </c>
    </row>
    <row r="259" spans="1:26" s="40" customFormat="1" x14ac:dyDescent="0.2">
      <c r="A259" s="40" t="s">
        <v>227</v>
      </c>
      <c r="B259" s="40" t="s">
        <v>227</v>
      </c>
      <c r="D259" s="40" t="s">
        <v>759</v>
      </c>
      <c r="E259" s="40" t="s">
        <v>282</v>
      </c>
      <c r="F259" s="40" t="s">
        <v>283</v>
      </c>
      <c r="G259" s="40" t="s">
        <v>313</v>
      </c>
      <c r="H259" s="40" t="s">
        <v>71</v>
      </c>
      <c r="I259" s="40" t="s">
        <v>443</v>
      </c>
      <c r="J259" s="40">
        <v>101</v>
      </c>
      <c r="K259" s="40">
        <v>11023</v>
      </c>
      <c r="L259" s="40">
        <v>245011</v>
      </c>
      <c r="M259" s="40">
        <v>9999</v>
      </c>
      <c r="N259" s="40" t="s">
        <v>1</v>
      </c>
      <c r="O259" s="41">
        <v>365000</v>
      </c>
      <c r="P259" s="41">
        <v>365000</v>
      </c>
      <c r="Q259" s="40" t="s">
        <v>3200</v>
      </c>
      <c r="R259" s="40" t="s">
        <v>3201</v>
      </c>
      <c r="S259" s="40" t="s">
        <v>280</v>
      </c>
      <c r="U259" s="40" t="s">
        <v>3202</v>
      </c>
      <c r="V259" s="40" t="s">
        <v>287</v>
      </c>
      <c r="W259" s="40" t="s">
        <v>227</v>
      </c>
      <c r="X259" s="40" t="s">
        <v>227</v>
      </c>
      <c r="Y259" s="42">
        <v>44681</v>
      </c>
      <c r="Z259" s="42">
        <v>44685</v>
      </c>
    </row>
    <row r="260" spans="1:26" s="40" customFormat="1" x14ac:dyDescent="0.2">
      <c r="A260" s="40" t="s">
        <v>227</v>
      </c>
      <c r="B260" s="40" t="s">
        <v>227</v>
      </c>
      <c r="D260" s="40" t="s">
        <v>562</v>
      </c>
      <c r="E260" s="40" t="s">
        <v>282</v>
      </c>
      <c r="F260" s="40" t="s">
        <v>283</v>
      </c>
      <c r="G260" s="40" t="s">
        <v>313</v>
      </c>
      <c r="H260" s="40" t="s">
        <v>71</v>
      </c>
      <c r="I260" s="40" t="s">
        <v>443</v>
      </c>
      <c r="J260" s="40">
        <v>101</v>
      </c>
      <c r="K260" s="40">
        <v>11023</v>
      </c>
      <c r="L260" s="40">
        <v>245011</v>
      </c>
      <c r="M260" s="40">
        <v>9999</v>
      </c>
      <c r="N260" s="40" t="s">
        <v>1</v>
      </c>
      <c r="O260" s="41">
        <v>378184.78</v>
      </c>
      <c r="P260" s="41">
        <v>378184.78</v>
      </c>
      <c r="Q260" s="40" t="s">
        <v>3203</v>
      </c>
      <c r="R260" s="40" t="s">
        <v>3204</v>
      </c>
      <c r="S260" s="40" t="s">
        <v>227</v>
      </c>
      <c r="U260" s="40" t="s">
        <v>3205</v>
      </c>
      <c r="V260" s="40" t="s">
        <v>287</v>
      </c>
      <c r="W260" s="40" t="s">
        <v>227</v>
      </c>
      <c r="X260" s="40" t="s">
        <v>227</v>
      </c>
      <c r="Y260" s="42">
        <v>44804</v>
      </c>
      <c r="Z260" s="42">
        <v>44811</v>
      </c>
    </row>
    <row r="261" spans="1:26" s="40" customFormat="1" x14ac:dyDescent="0.2">
      <c r="A261" s="40" t="s">
        <v>227</v>
      </c>
      <c r="B261" s="40" t="s">
        <v>227</v>
      </c>
      <c r="D261" s="40" t="s">
        <v>524</v>
      </c>
      <c r="E261" s="40" t="s">
        <v>282</v>
      </c>
      <c r="F261" s="40" t="s">
        <v>283</v>
      </c>
      <c r="G261" s="40" t="s">
        <v>313</v>
      </c>
      <c r="H261" s="40" t="s">
        <v>71</v>
      </c>
      <c r="I261" s="40" t="s">
        <v>443</v>
      </c>
      <c r="J261" s="40">
        <v>101</v>
      </c>
      <c r="K261" s="40">
        <v>11023</v>
      </c>
      <c r="L261" s="40">
        <v>245011</v>
      </c>
      <c r="M261" s="40">
        <v>9999</v>
      </c>
      <c r="N261" s="40" t="s">
        <v>1</v>
      </c>
      <c r="O261" s="41">
        <v>58933.34</v>
      </c>
      <c r="P261" s="41">
        <v>58933.34</v>
      </c>
      <c r="Q261" s="40" t="s">
        <v>3206</v>
      </c>
      <c r="R261" s="40" t="s">
        <v>3207</v>
      </c>
      <c r="S261" s="40" t="s">
        <v>280</v>
      </c>
      <c r="U261" s="40" t="s">
        <v>3208</v>
      </c>
      <c r="V261" s="40" t="s">
        <v>287</v>
      </c>
      <c r="W261" s="40" t="s">
        <v>227</v>
      </c>
      <c r="X261" s="40" t="s">
        <v>227</v>
      </c>
      <c r="Y261" s="42">
        <v>44834</v>
      </c>
      <c r="Z261" s="42">
        <v>44840</v>
      </c>
    </row>
    <row r="262" spans="1:26" s="40" customFormat="1" x14ac:dyDescent="0.2">
      <c r="A262" s="40" t="s">
        <v>227</v>
      </c>
      <c r="B262" s="40" t="s">
        <v>227</v>
      </c>
      <c r="D262" s="40" t="s">
        <v>496</v>
      </c>
      <c r="E262" s="40" t="s">
        <v>282</v>
      </c>
      <c r="F262" s="40" t="s">
        <v>283</v>
      </c>
      <c r="G262" s="40" t="s">
        <v>313</v>
      </c>
      <c r="H262" s="40" t="s">
        <v>71</v>
      </c>
      <c r="I262" s="40" t="s">
        <v>443</v>
      </c>
      <c r="J262" s="40">
        <v>101</v>
      </c>
      <c r="K262" s="40">
        <v>11023</v>
      </c>
      <c r="L262" s="40">
        <v>245011</v>
      </c>
      <c r="M262" s="40">
        <v>9999</v>
      </c>
      <c r="N262" s="40" t="s">
        <v>1</v>
      </c>
      <c r="O262" s="41">
        <v>-378184.78</v>
      </c>
      <c r="P262" s="41">
        <v>-378184.78</v>
      </c>
      <c r="R262" s="40" t="s">
        <v>3209</v>
      </c>
      <c r="S262" s="40" t="s">
        <v>280</v>
      </c>
      <c r="U262" s="40" t="s">
        <v>3210</v>
      </c>
      <c r="V262" s="40" t="s">
        <v>287</v>
      </c>
      <c r="W262" s="40" t="s">
        <v>227</v>
      </c>
      <c r="X262" s="40" t="s">
        <v>227</v>
      </c>
      <c r="Y262" s="42">
        <v>44923</v>
      </c>
      <c r="Z262" s="42">
        <v>44923</v>
      </c>
    </row>
    <row r="263" spans="1:26" s="40" customFormat="1" x14ac:dyDescent="0.2">
      <c r="A263" s="40" t="s">
        <v>227</v>
      </c>
      <c r="B263" s="40" t="s">
        <v>227</v>
      </c>
      <c r="D263" s="40" t="s">
        <v>496</v>
      </c>
      <c r="E263" s="40" t="s">
        <v>282</v>
      </c>
      <c r="F263" s="40" t="s">
        <v>283</v>
      </c>
      <c r="G263" s="40" t="s">
        <v>313</v>
      </c>
      <c r="H263" s="40" t="s">
        <v>71</v>
      </c>
      <c r="I263" s="40" t="s">
        <v>443</v>
      </c>
      <c r="J263" s="40">
        <v>101</v>
      </c>
      <c r="K263" s="40">
        <v>11023</v>
      </c>
      <c r="L263" s="40">
        <v>245011</v>
      </c>
      <c r="M263" s="40">
        <v>9999</v>
      </c>
      <c r="N263" s="40" t="s">
        <v>1</v>
      </c>
      <c r="O263" s="41">
        <v>-58933.34</v>
      </c>
      <c r="P263" s="41">
        <v>-58933.34</v>
      </c>
      <c r="R263" s="40" t="s">
        <v>3211</v>
      </c>
      <c r="S263" s="40" t="s">
        <v>280</v>
      </c>
      <c r="U263" s="40" t="s">
        <v>3212</v>
      </c>
      <c r="V263" s="40" t="s">
        <v>287</v>
      </c>
      <c r="W263" s="40" t="s">
        <v>227</v>
      </c>
      <c r="X263" s="40" t="s">
        <v>227</v>
      </c>
      <c r="Y263" s="42">
        <v>44923</v>
      </c>
      <c r="Z263" s="42">
        <v>44923</v>
      </c>
    </row>
    <row r="264" spans="1:26" s="40" customFormat="1" x14ac:dyDescent="0.2">
      <c r="A264" s="40" t="s">
        <v>227</v>
      </c>
      <c r="B264" s="40" t="s">
        <v>227</v>
      </c>
      <c r="D264" s="40" t="s">
        <v>496</v>
      </c>
      <c r="E264" s="40" t="s">
        <v>282</v>
      </c>
      <c r="F264" s="40" t="s">
        <v>283</v>
      </c>
      <c r="G264" s="40" t="s">
        <v>313</v>
      </c>
      <c r="H264" s="40" t="s">
        <v>71</v>
      </c>
      <c r="I264" s="40" t="s">
        <v>443</v>
      </c>
      <c r="J264" s="40">
        <v>101</v>
      </c>
      <c r="K264" s="40">
        <v>11023</v>
      </c>
      <c r="L264" s="40">
        <v>245011</v>
      </c>
      <c r="M264" s="40">
        <v>9999</v>
      </c>
      <c r="N264" s="40" t="s">
        <v>1</v>
      </c>
      <c r="O264" s="41">
        <v>616000</v>
      </c>
      <c r="P264" s="41">
        <v>616000</v>
      </c>
      <c r="R264" s="40" t="s">
        <v>3213</v>
      </c>
      <c r="S264" s="40" t="s">
        <v>280</v>
      </c>
      <c r="U264" s="40" t="s">
        <v>3214</v>
      </c>
      <c r="V264" s="40" t="s">
        <v>287</v>
      </c>
      <c r="W264" s="40" t="s">
        <v>227</v>
      </c>
      <c r="X264" s="40" t="s">
        <v>227</v>
      </c>
      <c r="Y264" s="42">
        <v>44923</v>
      </c>
      <c r="Z264" s="42">
        <v>44923</v>
      </c>
    </row>
    <row r="265" spans="1:26" s="40" customFormat="1" x14ac:dyDescent="0.2">
      <c r="A265" s="40" t="s">
        <v>227</v>
      </c>
      <c r="B265" s="40" t="s">
        <v>227</v>
      </c>
      <c r="D265" s="40" t="s">
        <v>496</v>
      </c>
      <c r="E265" s="40" t="s">
        <v>282</v>
      </c>
      <c r="F265" s="40" t="s">
        <v>283</v>
      </c>
      <c r="G265" s="40" t="s">
        <v>313</v>
      </c>
      <c r="H265" s="40" t="s">
        <v>71</v>
      </c>
      <c r="I265" s="40" t="s">
        <v>443</v>
      </c>
      <c r="J265" s="40">
        <v>101</v>
      </c>
      <c r="K265" s="40">
        <v>11023</v>
      </c>
      <c r="L265" s="40">
        <v>245011</v>
      </c>
      <c r="M265" s="40">
        <v>9999</v>
      </c>
      <c r="N265" s="40" t="s">
        <v>1</v>
      </c>
      <c r="O265" s="41">
        <v>-365000</v>
      </c>
      <c r="P265" s="41">
        <v>-365000</v>
      </c>
      <c r="R265" s="40" t="s">
        <v>3215</v>
      </c>
      <c r="S265" s="40" t="s">
        <v>280</v>
      </c>
      <c r="U265" s="40" t="s">
        <v>3216</v>
      </c>
      <c r="V265" s="40" t="s">
        <v>287</v>
      </c>
      <c r="W265" s="40" t="s">
        <v>227</v>
      </c>
      <c r="X265" s="40" t="s">
        <v>227</v>
      </c>
      <c r="Y265" s="42">
        <v>44923</v>
      </c>
      <c r="Z265" s="42">
        <v>44923</v>
      </c>
    </row>
    <row r="266" spans="1:26" s="40" customFormat="1" x14ac:dyDescent="0.2">
      <c r="A266" s="40" t="s">
        <v>227</v>
      </c>
      <c r="B266" s="40" t="s">
        <v>227</v>
      </c>
      <c r="D266" s="40" t="s">
        <v>562</v>
      </c>
      <c r="E266" s="40" t="s">
        <v>282</v>
      </c>
      <c r="F266" s="40" t="s">
        <v>283</v>
      </c>
      <c r="G266" s="40" t="s">
        <v>313</v>
      </c>
      <c r="H266" s="40" t="s">
        <v>71</v>
      </c>
      <c r="I266" s="40" t="s">
        <v>443</v>
      </c>
      <c r="J266" s="40">
        <v>101</v>
      </c>
      <c r="K266" s="40">
        <v>11023</v>
      </c>
      <c r="L266" s="40">
        <v>245011</v>
      </c>
      <c r="M266" s="40">
        <v>9999</v>
      </c>
      <c r="N266" s="40" t="s">
        <v>1</v>
      </c>
      <c r="O266" s="41">
        <v>-201010.15</v>
      </c>
      <c r="P266" s="41">
        <v>-201010.15</v>
      </c>
      <c r="Q266" s="40" t="s">
        <v>3217</v>
      </c>
      <c r="R266" s="40" t="s">
        <v>3218</v>
      </c>
      <c r="S266" s="40" t="s">
        <v>227</v>
      </c>
      <c r="U266" s="40" t="s">
        <v>3219</v>
      </c>
      <c r="V266" s="40" t="s">
        <v>287</v>
      </c>
      <c r="W266" s="40" t="s">
        <v>227</v>
      </c>
      <c r="X266" s="40" t="s">
        <v>227</v>
      </c>
      <c r="Y266" s="42">
        <v>44804</v>
      </c>
      <c r="Z266" s="42">
        <v>44811</v>
      </c>
    </row>
    <row r="267" spans="1:26" s="40" customFormat="1" x14ac:dyDescent="0.2">
      <c r="A267" s="40" t="s">
        <v>3220</v>
      </c>
      <c r="B267" s="40" t="s">
        <v>3221</v>
      </c>
      <c r="C267" s="40">
        <v>44834</v>
      </c>
      <c r="D267" s="40" t="s">
        <v>496</v>
      </c>
      <c r="E267" s="40" t="s">
        <v>282</v>
      </c>
      <c r="F267" s="40" t="s">
        <v>283</v>
      </c>
      <c r="G267" s="40" t="s">
        <v>313</v>
      </c>
      <c r="H267" s="40" t="s">
        <v>71</v>
      </c>
      <c r="I267" s="40" t="s">
        <v>443</v>
      </c>
      <c r="J267" s="40">
        <v>101</v>
      </c>
      <c r="K267" s="40">
        <v>11023</v>
      </c>
      <c r="L267" s="40">
        <v>245011</v>
      </c>
      <c r="M267" s="40">
        <v>9999</v>
      </c>
      <c r="N267" s="40" t="s">
        <v>1</v>
      </c>
      <c r="O267" s="41">
        <v>201010.15</v>
      </c>
      <c r="P267" s="41">
        <v>201010.15</v>
      </c>
      <c r="R267" s="40" t="s">
        <v>227</v>
      </c>
      <c r="S267" s="40" t="s">
        <v>3222</v>
      </c>
      <c r="U267" s="40" t="s">
        <v>3223</v>
      </c>
      <c r="V267" s="40" t="s">
        <v>2801</v>
      </c>
      <c r="W267" s="40" t="s">
        <v>227</v>
      </c>
      <c r="X267" s="40" t="s">
        <v>227</v>
      </c>
      <c r="Y267" s="42">
        <v>44897</v>
      </c>
      <c r="Z267" s="42">
        <v>44898</v>
      </c>
    </row>
    <row r="268" spans="1:26" s="40" customFormat="1" x14ac:dyDescent="0.2">
      <c r="A268" s="53">
        <v>10295667</v>
      </c>
      <c r="B268" s="40" t="s">
        <v>227</v>
      </c>
      <c r="D268" s="40" t="s">
        <v>532</v>
      </c>
      <c r="E268" s="40" t="s">
        <v>282</v>
      </c>
      <c r="F268" s="40" t="s">
        <v>294</v>
      </c>
      <c r="G268" s="40" t="s">
        <v>305</v>
      </c>
      <c r="H268" s="40" t="s">
        <v>230</v>
      </c>
      <c r="I268" s="40" t="s">
        <v>2558</v>
      </c>
      <c r="J268" s="40">
        <v>101</v>
      </c>
      <c r="K268" s="40">
        <v>13002</v>
      </c>
      <c r="L268" s="40">
        <v>245011</v>
      </c>
      <c r="M268" s="40">
        <v>9999</v>
      </c>
      <c r="N268" s="40" t="s">
        <v>1</v>
      </c>
      <c r="O268" s="41">
        <v>180997.39</v>
      </c>
      <c r="P268" s="41">
        <v>180997.39</v>
      </c>
      <c r="Q268" s="40" t="s">
        <v>3224</v>
      </c>
      <c r="R268" s="40" t="s">
        <v>3225</v>
      </c>
      <c r="S268" s="40" t="s">
        <v>280</v>
      </c>
      <c r="U268" s="40" t="s">
        <v>3226</v>
      </c>
      <c r="V268" s="40" t="s">
        <v>287</v>
      </c>
      <c r="W268" s="40" t="s">
        <v>227</v>
      </c>
      <c r="X268" s="40" t="s">
        <v>227</v>
      </c>
      <c r="Y268" s="42">
        <v>44865</v>
      </c>
      <c r="Z268" s="42">
        <v>44869</v>
      </c>
    </row>
    <row r="269" spans="1:26" s="40" customFormat="1" x14ac:dyDescent="0.2">
      <c r="A269" s="40" t="s">
        <v>227</v>
      </c>
      <c r="B269" s="40" t="s">
        <v>227</v>
      </c>
      <c r="D269" s="40" t="s">
        <v>496</v>
      </c>
      <c r="E269" s="40" t="s">
        <v>282</v>
      </c>
      <c r="F269" s="40" t="s">
        <v>294</v>
      </c>
      <c r="G269" s="40" t="s">
        <v>305</v>
      </c>
      <c r="H269" s="40" t="s">
        <v>230</v>
      </c>
      <c r="I269" s="40" t="s">
        <v>2558</v>
      </c>
      <c r="J269" s="40">
        <v>101</v>
      </c>
      <c r="K269" s="40">
        <v>13002</v>
      </c>
      <c r="L269" s="40">
        <v>245011</v>
      </c>
      <c r="M269" s="40">
        <v>9999</v>
      </c>
      <c r="N269" s="40" t="s">
        <v>1</v>
      </c>
      <c r="O269" s="41">
        <v>-180997.39</v>
      </c>
      <c r="P269" s="41">
        <v>-180997.39</v>
      </c>
      <c r="R269" s="40" t="s">
        <v>3227</v>
      </c>
      <c r="S269" s="40" t="s">
        <v>280</v>
      </c>
      <c r="U269" s="40" t="s">
        <v>3228</v>
      </c>
      <c r="V269" s="40" t="s">
        <v>287</v>
      </c>
      <c r="W269" s="40" t="s">
        <v>227</v>
      </c>
      <c r="X269" s="40" t="s">
        <v>227</v>
      </c>
      <c r="Y269" s="42">
        <v>44926</v>
      </c>
      <c r="Z269" s="42">
        <v>44931</v>
      </c>
    </row>
    <row r="270" spans="1:26" s="40" customFormat="1" x14ac:dyDescent="0.2">
      <c r="A270" s="40" t="s">
        <v>227</v>
      </c>
      <c r="B270" s="40" t="s">
        <v>227</v>
      </c>
      <c r="D270" s="40" t="s">
        <v>496</v>
      </c>
      <c r="E270" s="40" t="s">
        <v>282</v>
      </c>
      <c r="F270" s="40" t="s">
        <v>283</v>
      </c>
      <c r="G270" s="40" t="s">
        <v>366</v>
      </c>
      <c r="H270" s="40" t="s">
        <v>35</v>
      </c>
      <c r="I270" s="40" t="s">
        <v>490</v>
      </c>
      <c r="J270" s="40">
        <v>101</v>
      </c>
      <c r="K270" s="40">
        <v>11010</v>
      </c>
      <c r="L270" s="40">
        <v>245011</v>
      </c>
      <c r="M270" s="40">
        <v>9999</v>
      </c>
      <c r="N270" s="40" t="s">
        <v>1</v>
      </c>
      <c r="O270" s="41">
        <v>-1446298.13</v>
      </c>
      <c r="P270" s="41">
        <v>-1446298.13</v>
      </c>
      <c r="Q270" s="40" t="s">
        <v>64</v>
      </c>
      <c r="R270" s="40" t="s">
        <v>3229</v>
      </c>
      <c r="S270" s="40" t="s">
        <v>280</v>
      </c>
      <c r="U270" s="40" t="s">
        <v>3230</v>
      </c>
      <c r="V270" s="40" t="s">
        <v>287</v>
      </c>
      <c r="W270" s="40" t="s">
        <v>227</v>
      </c>
      <c r="X270" s="40" t="s">
        <v>227</v>
      </c>
      <c r="Y270" s="42">
        <v>44926</v>
      </c>
      <c r="Z270" s="42">
        <v>44932</v>
      </c>
    </row>
    <row r="271" spans="1:26" s="40" customFormat="1" x14ac:dyDescent="0.2">
      <c r="A271" s="40" t="s">
        <v>227</v>
      </c>
      <c r="B271" s="40" t="s">
        <v>227</v>
      </c>
      <c r="D271" s="40" t="s">
        <v>496</v>
      </c>
      <c r="E271" s="40" t="s">
        <v>282</v>
      </c>
      <c r="F271" s="40" t="s">
        <v>294</v>
      </c>
      <c r="G271" s="40" t="s">
        <v>305</v>
      </c>
      <c r="H271" s="40" t="s">
        <v>40</v>
      </c>
      <c r="I271" s="40" t="s">
        <v>479</v>
      </c>
      <c r="J271" s="40">
        <v>101</v>
      </c>
      <c r="K271" s="40">
        <v>13004</v>
      </c>
      <c r="L271" s="40">
        <v>245011</v>
      </c>
      <c r="M271" s="40">
        <v>9999</v>
      </c>
      <c r="N271" s="40" t="s">
        <v>1</v>
      </c>
      <c r="O271" s="41">
        <v>-71022.3</v>
      </c>
      <c r="P271" s="41">
        <v>-71022.3</v>
      </c>
      <c r="Q271" s="40" t="s">
        <v>194</v>
      </c>
      <c r="R271" s="40" t="s">
        <v>3231</v>
      </c>
      <c r="S271" s="40" t="s">
        <v>227</v>
      </c>
      <c r="U271" s="40" t="s">
        <v>3231</v>
      </c>
      <c r="V271" s="40" t="s">
        <v>328</v>
      </c>
      <c r="W271" s="40" t="s">
        <v>227</v>
      </c>
      <c r="X271" s="40" t="s">
        <v>227</v>
      </c>
      <c r="Y271" s="42">
        <v>44926</v>
      </c>
      <c r="Z271" s="42">
        <v>44932</v>
      </c>
    </row>
    <row r="272" spans="1:26" s="40" customFormat="1" x14ac:dyDescent="0.2">
      <c r="A272" s="40" t="s">
        <v>227</v>
      </c>
      <c r="B272" s="40" t="s">
        <v>227</v>
      </c>
      <c r="D272" s="40" t="s">
        <v>501</v>
      </c>
      <c r="E272" s="40" t="s">
        <v>282</v>
      </c>
      <c r="F272" s="40" t="s">
        <v>294</v>
      </c>
      <c r="G272" s="40" t="s">
        <v>305</v>
      </c>
      <c r="H272" s="40" t="s">
        <v>40</v>
      </c>
      <c r="I272" s="40" t="s">
        <v>479</v>
      </c>
      <c r="J272" s="40">
        <v>101</v>
      </c>
      <c r="K272" s="40">
        <v>13004</v>
      </c>
      <c r="L272" s="40">
        <v>245011</v>
      </c>
      <c r="M272" s="40">
        <v>9999</v>
      </c>
      <c r="N272" s="40" t="s">
        <v>1</v>
      </c>
      <c r="O272" s="41">
        <v>71022.3</v>
      </c>
      <c r="P272" s="41">
        <v>71022.3</v>
      </c>
      <c r="R272" s="40" t="s">
        <v>3232</v>
      </c>
      <c r="S272" s="40" t="s">
        <v>227</v>
      </c>
      <c r="U272" s="40" t="s">
        <v>3233</v>
      </c>
      <c r="V272" s="40" t="s">
        <v>328</v>
      </c>
      <c r="W272" s="40" t="s">
        <v>227</v>
      </c>
      <c r="X272" s="40" t="s">
        <v>227</v>
      </c>
      <c r="Y272" s="42">
        <v>44938</v>
      </c>
      <c r="Z272" s="42">
        <v>44938</v>
      </c>
    </row>
    <row r="273" spans="1:26" s="40" customFormat="1" x14ac:dyDescent="0.2">
      <c r="A273" s="40" t="s">
        <v>227</v>
      </c>
      <c r="B273" s="40" t="s">
        <v>227</v>
      </c>
      <c r="D273" s="40" t="s">
        <v>532</v>
      </c>
      <c r="E273" s="40" t="s">
        <v>282</v>
      </c>
      <c r="F273" s="40" t="s">
        <v>283</v>
      </c>
      <c r="G273" s="40" t="s">
        <v>313</v>
      </c>
      <c r="H273" s="40" t="s">
        <v>68</v>
      </c>
      <c r="I273" s="40" t="s">
        <v>547</v>
      </c>
      <c r="J273" s="40">
        <v>101</v>
      </c>
      <c r="K273" s="40">
        <v>12022</v>
      </c>
      <c r="L273" s="40">
        <v>245011</v>
      </c>
      <c r="M273" s="40">
        <v>9999</v>
      </c>
      <c r="N273" s="40" t="s">
        <v>1</v>
      </c>
      <c r="O273" s="41">
        <v>82465.78</v>
      </c>
      <c r="P273" s="41">
        <v>82465.78</v>
      </c>
      <c r="Q273" s="40" t="s">
        <v>3234</v>
      </c>
      <c r="R273" s="40" t="s">
        <v>3161</v>
      </c>
      <c r="S273" s="40" t="s">
        <v>227</v>
      </c>
      <c r="U273" s="40" t="s">
        <v>3161</v>
      </c>
      <c r="V273" s="40" t="s">
        <v>328</v>
      </c>
      <c r="W273" s="40" t="s">
        <v>227</v>
      </c>
      <c r="X273" s="40" t="s">
        <v>227</v>
      </c>
      <c r="Y273" s="42">
        <v>44865</v>
      </c>
      <c r="Z273" s="42">
        <v>44869</v>
      </c>
    </row>
    <row r="274" spans="1:26" s="40" customFormat="1" x14ac:dyDescent="0.2">
      <c r="A274" s="40" t="s">
        <v>227</v>
      </c>
      <c r="B274" s="40" t="s">
        <v>227</v>
      </c>
      <c r="D274" s="40" t="s">
        <v>501</v>
      </c>
      <c r="E274" s="40" t="s">
        <v>282</v>
      </c>
      <c r="F274" s="40" t="s">
        <v>283</v>
      </c>
      <c r="G274" s="40" t="s">
        <v>313</v>
      </c>
      <c r="H274" s="40" t="s">
        <v>68</v>
      </c>
      <c r="I274" s="40" t="s">
        <v>547</v>
      </c>
      <c r="J274" s="40">
        <v>101</v>
      </c>
      <c r="K274" s="40">
        <v>12022</v>
      </c>
      <c r="L274" s="40">
        <v>245011</v>
      </c>
      <c r="M274" s="40">
        <v>9999</v>
      </c>
      <c r="N274" s="40" t="s">
        <v>1</v>
      </c>
      <c r="O274" s="41">
        <v>-82465.78</v>
      </c>
      <c r="P274" s="41">
        <v>-82465.78</v>
      </c>
      <c r="Q274" s="40" t="s">
        <v>69</v>
      </c>
      <c r="R274" s="40" t="s">
        <v>3235</v>
      </c>
      <c r="S274" s="40" t="s">
        <v>280</v>
      </c>
      <c r="U274" s="40" t="s">
        <v>3236</v>
      </c>
      <c r="V274" s="40" t="s">
        <v>287</v>
      </c>
      <c r="W274" s="40" t="s">
        <v>227</v>
      </c>
      <c r="X274" s="40" t="s">
        <v>227</v>
      </c>
      <c r="Y274" s="42">
        <v>44957</v>
      </c>
      <c r="Z274" s="42">
        <v>44963</v>
      </c>
    </row>
    <row r="275" spans="1:26" s="40" customFormat="1" x14ac:dyDescent="0.2">
      <c r="A275" s="40" t="s">
        <v>227</v>
      </c>
      <c r="B275" s="40" t="s">
        <v>227</v>
      </c>
      <c r="D275" s="40" t="s">
        <v>501</v>
      </c>
      <c r="E275" s="40" t="s">
        <v>282</v>
      </c>
      <c r="F275" s="40" t="s">
        <v>283</v>
      </c>
      <c r="G275" s="40" t="s">
        <v>366</v>
      </c>
      <c r="H275" s="40" t="s">
        <v>35</v>
      </c>
      <c r="I275" s="40" t="s">
        <v>490</v>
      </c>
      <c r="J275" s="40">
        <v>101</v>
      </c>
      <c r="K275" s="40">
        <v>11010</v>
      </c>
      <c r="L275" s="40">
        <v>245011</v>
      </c>
      <c r="M275" s="40">
        <v>9999</v>
      </c>
      <c r="N275" s="40" t="s">
        <v>1</v>
      </c>
      <c r="O275" s="41">
        <v>1446298.13</v>
      </c>
      <c r="P275" s="41">
        <v>1446298.13</v>
      </c>
      <c r="Q275" s="40" t="s">
        <v>64</v>
      </c>
      <c r="R275" s="40" t="s">
        <v>3237</v>
      </c>
      <c r="S275" s="40" t="s">
        <v>280</v>
      </c>
      <c r="U275" s="40" t="s">
        <v>3238</v>
      </c>
      <c r="V275" s="40" t="s">
        <v>287</v>
      </c>
      <c r="W275" s="40" t="s">
        <v>227</v>
      </c>
      <c r="X275" s="40" t="s">
        <v>227</v>
      </c>
      <c r="Y275" s="42">
        <v>44957</v>
      </c>
      <c r="Z275" s="42">
        <v>44963</v>
      </c>
    </row>
    <row r="276" spans="1:26" x14ac:dyDescent="0.2">
      <c r="J276" s="14"/>
      <c r="K276" s="14"/>
      <c r="L276" s="14"/>
      <c r="M276" s="14"/>
    </row>
    <row r="277" spans="1:26" x14ac:dyDescent="0.2">
      <c r="J277" s="14"/>
      <c r="K277" s="14"/>
      <c r="L277" s="14"/>
      <c r="M277" s="14"/>
    </row>
    <row r="278" spans="1:26" x14ac:dyDescent="0.2">
      <c r="J278" s="14"/>
      <c r="K278" s="14"/>
      <c r="L278" s="14"/>
      <c r="M278" s="14"/>
    </row>
    <row r="279" spans="1:26" x14ac:dyDescent="0.2">
      <c r="J279" s="14"/>
      <c r="K279" s="14"/>
      <c r="L279" s="14"/>
      <c r="M279" s="14"/>
    </row>
    <row r="280" spans="1:26" x14ac:dyDescent="0.2">
      <c r="J280" s="14"/>
      <c r="K280" s="14"/>
      <c r="L280" s="14"/>
      <c r="M280" s="14"/>
    </row>
    <row r="281" spans="1:26" x14ac:dyDescent="0.2">
      <c r="J281" s="14"/>
      <c r="K281" s="14"/>
      <c r="L281" s="14"/>
      <c r="M281" s="14"/>
    </row>
    <row r="282" spans="1:26" x14ac:dyDescent="0.2">
      <c r="J282" s="14"/>
      <c r="K282" s="14"/>
      <c r="L282" s="14"/>
      <c r="M282" s="14"/>
    </row>
    <row r="283" spans="1:26" x14ac:dyDescent="0.2">
      <c r="J283" s="14"/>
      <c r="K283" s="14"/>
      <c r="L283" s="14"/>
      <c r="M283" s="14"/>
    </row>
    <row r="284" spans="1:26" x14ac:dyDescent="0.2">
      <c r="J284" s="14"/>
      <c r="K284" s="14"/>
      <c r="L284" s="14"/>
      <c r="M284" s="14"/>
    </row>
    <row r="285" spans="1:26" x14ac:dyDescent="0.2">
      <c r="J285" s="14"/>
      <c r="K285" s="14"/>
      <c r="L285" s="14"/>
      <c r="M285" s="14"/>
    </row>
    <row r="286" spans="1:26" x14ac:dyDescent="0.2">
      <c r="J286" s="14"/>
      <c r="K286" s="14"/>
      <c r="L286" s="14"/>
      <c r="M286" s="14"/>
    </row>
    <row r="287" spans="1:26" x14ac:dyDescent="0.2">
      <c r="J287" s="14"/>
      <c r="K287" s="14"/>
      <c r="L287" s="14"/>
      <c r="M287" s="14"/>
    </row>
    <row r="288" spans="1:26" x14ac:dyDescent="0.2">
      <c r="J288" s="14"/>
      <c r="K288" s="14"/>
      <c r="L288" s="14"/>
      <c r="M288" s="14"/>
    </row>
    <row r="289" spans="10:13" x14ac:dyDescent="0.2">
      <c r="J289" s="14"/>
      <c r="K289" s="14"/>
      <c r="L289" s="14"/>
      <c r="M289" s="14"/>
    </row>
    <row r="290" spans="10:13" x14ac:dyDescent="0.2">
      <c r="J290" s="14"/>
      <c r="K290" s="14"/>
      <c r="L290" s="14"/>
      <c r="M290" s="14"/>
    </row>
    <row r="291" spans="10:13" x14ac:dyDescent="0.2">
      <c r="J291" s="14"/>
      <c r="K291" s="14"/>
      <c r="L291" s="14"/>
      <c r="M291" s="14"/>
    </row>
    <row r="292" spans="10:13" x14ac:dyDescent="0.2">
      <c r="J292" s="14"/>
      <c r="K292" s="14"/>
      <c r="L292" s="14"/>
      <c r="M292" s="14"/>
    </row>
    <row r="293" spans="10:13" x14ac:dyDescent="0.2">
      <c r="J293" s="14"/>
      <c r="K293" s="14"/>
      <c r="L293" s="14"/>
      <c r="M293" s="14"/>
    </row>
    <row r="294" spans="10:13" x14ac:dyDescent="0.2">
      <c r="J294" s="14"/>
      <c r="K294" s="14"/>
      <c r="L294" s="14"/>
      <c r="M294" s="14"/>
    </row>
    <row r="295" spans="10:13" x14ac:dyDescent="0.2">
      <c r="J295" s="14"/>
      <c r="K295" s="14"/>
      <c r="L295" s="14"/>
      <c r="M295" s="14"/>
    </row>
    <row r="296" spans="10:13" x14ac:dyDescent="0.2">
      <c r="J296" s="14"/>
      <c r="K296" s="14"/>
      <c r="L296" s="14"/>
      <c r="M296" s="14"/>
    </row>
    <row r="297" spans="10:13" x14ac:dyDescent="0.2">
      <c r="J297" s="14"/>
      <c r="K297" s="14"/>
      <c r="L297" s="14"/>
      <c r="M297" s="14"/>
    </row>
    <row r="298" spans="10:13" x14ac:dyDescent="0.2">
      <c r="J298" s="14"/>
      <c r="K298" s="14"/>
      <c r="L298" s="14"/>
      <c r="M298" s="14"/>
    </row>
    <row r="299" spans="10:13" x14ac:dyDescent="0.2">
      <c r="J299" s="14"/>
      <c r="K299" s="14"/>
      <c r="L299" s="14"/>
      <c r="M299" s="14"/>
    </row>
    <row r="300" spans="10:13" x14ac:dyDescent="0.2">
      <c r="J300" s="14"/>
      <c r="K300" s="14"/>
      <c r="L300" s="14"/>
      <c r="M300" s="14"/>
    </row>
    <row r="301" spans="10:13" x14ac:dyDescent="0.2">
      <c r="J301" s="14"/>
      <c r="K301" s="14"/>
      <c r="L301" s="14"/>
      <c r="M301" s="14"/>
    </row>
    <row r="302" spans="10:13" x14ac:dyDescent="0.2">
      <c r="J302" s="14"/>
      <c r="K302" s="14"/>
      <c r="L302" s="14"/>
      <c r="M302" s="14"/>
    </row>
    <row r="303" spans="10:13" x14ac:dyDescent="0.2">
      <c r="J303" s="14"/>
      <c r="K303" s="14"/>
      <c r="L303" s="14"/>
      <c r="M303" s="14"/>
    </row>
    <row r="304" spans="10:13" x14ac:dyDescent="0.2">
      <c r="J304" s="14"/>
      <c r="K304" s="14"/>
      <c r="L304" s="14"/>
      <c r="M304" s="14"/>
    </row>
    <row r="305" spans="10:26" x14ac:dyDescent="0.2">
      <c r="J305" s="14"/>
      <c r="K305" s="14"/>
      <c r="L305" s="14"/>
      <c r="M305" s="14"/>
    </row>
    <row r="306" spans="10:26" x14ac:dyDescent="0.2">
      <c r="J306" s="14"/>
      <c r="K306" s="14"/>
      <c r="L306" s="14"/>
      <c r="M306" s="14"/>
      <c r="Y306" s="28"/>
      <c r="Z306" s="28"/>
    </row>
    <row r="307" spans="10:26" x14ac:dyDescent="0.2">
      <c r="J307" s="14"/>
      <c r="K307" s="14"/>
      <c r="L307" s="14"/>
      <c r="M307" s="14"/>
      <c r="Y307" s="28"/>
      <c r="Z307" s="28"/>
    </row>
    <row r="308" spans="10:26" x14ac:dyDescent="0.2">
      <c r="J308" s="14"/>
      <c r="K308" s="14"/>
      <c r="L308" s="14"/>
      <c r="M308" s="14"/>
      <c r="Y308" s="28"/>
      <c r="Z308" s="28"/>
    </row>
    <row r="309" spans="10:26" x14ac:dyDescent="0.2">
      <c r="J309" s="14"/>
      <c r="K309" s="14"/>
      <c r="L309" s="14"/>
      <c r="M309" s="14"/>
      <c r="Y309" s="28"/>
      <c r="Z309" s="28"/>
    </row>
    <row r="310" spans="10:26" x14ac:dyDescent="0.2">
      <c r="J310" s="14"/>
      <c r="K310" s="14"/>
      <c r="L310" s="14"/>
      <c r="M310" s="14"/>
      <c r="Y310" s="28"/>
      <c r="Z310" s="28"/>
    </row>
    <row r="311" spans="10:26" x14ac:dyDescent="0.2">
      <c r="J311" s="14"/>
      <c r="K311" s="14"/>
      <c r="L311" s="14"/>
      <c r="M311" s="14"/>
      <c r="Y311" s="28"/>
      <c r="Z311" s="28"/>
    </row>
    <row r="312" spans="10:26" x14ac:dyDescent="0.2">
      <c r="J312" s="14"/>
      <c r="K312" s="14"/>
      <c r="L312" s="14"/>
      <c r="M312" s="14"/>
    </row>
    <row r="313" spans="10:26" x14ac:dyDescent="0.2">
      <c r="J313" s="14"/>
      <c r="K313" s="14"/>
      <c r="L313" s="14"/>
      <c r="M313" s="14"/>
    </row>
    <row r="314" spans="10:26" x14ac:dyDescent="0.2">
      <c r="J314" s="14"/>
      <c r="K314" s="14"/>
      <c r="L314" s="14"/>
      <c r="M314" s="14"/>
    </row>
    <row r="315" spans="10:26" x14ac:dyDescent="0.2">
      <c r="J315" s="14"/>
      <c r="K315" s="14"/>
      <c r="L315" s="14"/>
      <c r="M315" s="14"/>
    </row>
    <row r="316" spans="10:26" x14ac:dyDescent="0.2">
      <c r="J316" s="14"/>
      <c r="K316" s="14"/>
      <c r="L316" s="14"/>
      <c r="M316" s="14"/>
    </row>
    <row r="317" spans="10:26" x14ac:dyDescent="0.2">
      <c r="J317" s="14"/>
      <c r="K317" s="14"/>
      <c r="L317" s="14"/>
      <c r="M317" s="14"/>
    </row>
    <row r="318" spans="10:26" x14ac:dyDescent="0.2">
      <c r="J318" s="14"/>
      <c r="K318" s="14"/>
      <c r="L318" s="14"/>
      <c r="M318" s="14"/>
    </row>
    <row r="319" spans="10:26" x14ac:dyDescent="0.2">
      <c r="J319" s="14"/>
      <c r="K319" s="14"/>
      <c r="L319" s="14"/>
      <c r="M319" s="14"/>
    </row>
    <row r="320" spans="10:26" x14ac:dyDescent="0.2">
      <c r="J320" s="14"/>
      <c r="K320" s="14"/>
      <c r="L320" s="14"/>
      <c r="M320" s="14"/>
    </row>
    <row r="321" spans="10:13" x14ac:dyDescent="0.2">
      <c r="J321" s="14"/>
      <c r="K321" s="14"/>
      <c r="L321" s="14"/>
      <c r="M321" s="14"/>
    </row>
    <row r="322" spans="10:13" x14ac:dyDescent="0.2">
      <c r="J322" s="14"/>
      <c r="K322" s="14"/>
      <c r="L322" s="14"/>
      <c r="M322" s="14"/>
    </row>
    <row r="323" spans="10:13" x14ac:dyDescent="0.2">
      <c r="J323" s="14"/>
      <c r="K323" s="14"/>
      <c r="L323" s="14"/>
      <c r="M323" s="14"/>
    </row>
    <row r="324" spans="10:13" x14ac:dyDescent="0.2">
      <c r="J324" s="14"/>
      <c r="K324" s="14"/>
      <c r="L324" s="14"/>
      <c r="M324" s="14"/>
    </row>
    <row r="325" spans="10:13" x14ac:dyDescent="0.2">
      <c r="J325" s="14"/>
      <c r="K325" s="14"/>
      <c r="L325" s="14"/>
      <c r="M325" s="14"/>
    </row>
    <row r="326" spans="10:13" x14ac:dyDescent="0.2">
      <c r="J326" s="14"/>
      <c r="K326" s="14"/>
      <c r="L326" s="14"/>
      <c r="M326" s="14"/>
    </row>
    <row r="327" spans="10:13" x14ac:dyDescent="0.2">
      <c r="J327" s="14"/>
      <c r="K327" s="14"/>
      <c r="L327" s="14"/>
      <c r="M327" s="14"/>
    </row>
    <row r="328" spans="10:13" x14ac:dyDescent="0.2">
      <c r="J328" s="14"/>
      <c r="K328" s="14"/>
      <c r="L328" s="14"/>
      <c r="M328" s="14"/>
    </row>
    <row r="329" spans="10:13" x14ac:dyDescent="0.2">
      <c r="J329" s="14"/>
      <c r="K329" s="14"/>
      <c r="L329" s="14"/>
      <c r="M329" s="14"/>
    </row>
    <row r="330" spans="10:13" x14ac:dyDescent="0.2">
      <c r="J330" s="14"/>
      <c r="K330" s="14"/>
      <c r="L330" s="14"/>
      <c r="M330" s="14"/>
    </row>
    <row r="331" spans="10:13" x14ac:dyDescent="0.2">
      <c r="J331" s="14"/>
      <c r="K331" s="14"/>
      <c r="L331" s="14"/>
      <c r="M331" s="14"/>
    </row>
    <row r="332" spans="10:13" x14ac:dyDescent="0.2">
      <c r="J332" s="14"/>
      <c r="K332" s="14"/>
      <c r="L332" s="14"/>
      <c r="M332" s="14"/>
    </row>
    <row r="333" spans="10:13" x14ac:dyDescent="0.2">
      <c r="J333" s="14"/>
      <c r="K333" s="14"/>
      <c r="L333" s="14"/>
      <c r="M333" s="14"/>
    </row>
    <row r="334" spans="10:13" x14ac:dyDescent="0.2">
      <c r="J334" s="14"/>
      <c r="K334" s="14"/>
      <c r="L334" s="14"/>
      <c r="M334" s="14"/>
    </row>
    <row r="335" spans="10:13" x14ac:dyDescent="0.2">
      <c r="J335" s="14"/>
      <c r="K335" s="14"/>
      <c r="L335" s="14"/>
      <c r="M335" s="14"/>
    </row>
    <row r="336" spans="10:13" x14ac:dyDescent="0.2">
      <c r="J336" s="14"/>
      <c r="K336" s="14"/>
      <c r="L336" s="14"/>
      <c r="M336" s="14"/>
    </row>
    <row r="337" spans="10:13" x14ac:dyDescent="0.2">
      <c r="J337" s="14"/>
      <c r="K337" s="14"/>
      <c r="L337" s="14"/>
      <c r="M337" s="14"/>
    </row>
    <row r="338" spans="10:13" x14ac:dyDescent="0.2">
      <c r="J338" s="14"/>
      <c r="K338" s="14"/>
      <c r="L338" s="14"/>
      <c r="M338" s="14"/>
    </row>
    <row r="339" spans="10:13" x14ac:dyDescent="0.2">
      <c r="J339" s="14"/>
      <c r="K339" s="14"/>
      <c r="L339" s="14"/>
      <c r="M339" s="14"/>
    </row>
    <row r="340" spans="10:13" x14ac:dyDescent="0.2">
      <c r="J340" s="14"/>
      <c r="K340" s="14"/>
      <c r="L340" s="14"/>
      <c r="M340" s="14"/>
    </row>
    <row r="341" spans="10:13" x14ac:dyDescent="0.2">
      <c r="J341" s="14"/>
      <c r="K341" s="14"/>
      <c r="L341" s="14"/>
      <c r="M341" s="14"/>
    </row>
    <row r="342" spans="10:13" x14ac:dyDescent="0.2">
      <c r="J342" s="14"/>
      <c r="K342" s="14"/>
      <c r="L342" s="14"/>
      <c r="M342" s="14"/>
    </row>
    <row r="343" spans="10:13" x14ac:dyDescent="0.2">
      <c r="J343" s="14"/>
      <c r="K343" s="14"/>
      <c r="L343" s="14"/>
      <c r="M343" s="14"/>
    </row>
    <row r="344" spans="10:13" x14ac:dyDescent="0.2">
      <c r="J344" s="14"/>
      <c r="K344" s="14"/>
      <c r="L344" s="14"/>
      <c r="M344" s="14"/>
    </row>
    <row r="345" spans="10:13" x14ac:dyDescent="0.2">
      <c r="J345" s="14"/>
      <c r="K345" s="14"/>
      <c r="L345" s="14"/>
      <c r="M345" s="14"/>
    </row>
    <row r="346" spans="10:13" x14ac:dyDescent="0.2">
      <c r="J346" s="14"/>
      <c r="K346" s="14"/>
      <c r="L346" s="14"/>
      <c r="M346" s="14"/>
    </row>
    <row r="347" spans="10:13" x14ac:dyDescent="0.2">
      <c r="J347" s="14"/>
      <c r="K347" s="14"/>
      <c r="L347" s="14"/>
      <c r="M347" s="14"/>
    </row>
    <row r="348" spans="10:13" x14ac:dyDescent="0.2">
      <c r="J348" s="14"/>
      <c r="K348" s="14"/>
      <c r="L348" s="14"/>
      <c r="M348" s="14"/>
    </row>
    <row r="349" spans="10:13" x14ac:dyDescent="0.2">
      <c r="J349" s="14"/>
      <c r="K349" s="14"/>
      <c r="L349" s="14"/>
      <c r="M349" s="14"/>
    </row>
    <row r="350" spans="10:13" x14ac:dyDescent="0.2">
      <c r="J350" s="14"/>
      <c r="K350" s="14"/>
      <c r="L350" s="14"/>
      <c r="M350" s="14"/>
    </row>
    <row r="351" spans="10:13" x14ac:dyDescent="0.2">
      <c r="J351" s="14"/>
      <c r="K351" s="14"/>
      <c r="L351" s="14"/>
      <c r="M351" s="14"/>
    </row>
    <row r="352" spans="10:13" x14ac:dyDescent="0.2">
      <c r="J352" s="14"/>
      <c r="K352" s="14"/>
      <c r="L352" s="14"/>
      <c r="M352" s="14"/>
    </row>
    <row r="353" spans="10:13" x14ac:dyDescent="0.2">
      <c r="J353" s="14"/>
      <c r="K353" s="14"/>
      <c r="L353" s="14"/>
      <c r="M353" s="14"/>
    </row>
    <row r="354" spans="10:13" x14ac:dyDescent="0.2">
      <c r="J354" s="14"/>
      <c r="K354" s="14"/>
      <c r="L354" s="14"/>
      <c r="M354" s="14"/>
    </row>
    <row r="355" spans="10:13" x14ac:dyDescent="0.2">
      <c r="J355" s="14"/>
      <c r="K355" s="14"/>
      <c r="L355" s="14"/>
      <c r="M355" s="14"/>
    </row>
    <row r="356" spans="10:13" x14ac:dyDescent="0.2">
      <c r="J356" s="14"/>
      <c r="K356" s="14"/>
      <c r="L356" s="14"/>
      <c r="M356" s="14"/>
    </row>
    <row r="357" spans="10:13" x14ac:dyDescent="0.2">
      <c r="J357" s="14"/>
      <c r="K357" s="14"/>
      <c r="L357" s="14"/>
      <c r="M357" s="14"/>
    </row>
    <row r="358" spans="10:13" x14ac:dyDescent="0.2">
      <c r="J358" s="14"/>
      <c r="K358" s="14"/>
      <c r="L358" s="14"/>
      <c r="M358" s="14"/>
    </row>
    <row r="359" spans="10:13" x14ac:dyDescent="0.2">
      <c r="J359" s="14"/>
      <c r="K359" s="14"/>
      <c r="L359" s="14"/>
      <c r="M359" s="14"/>
    </row>
    <row r="360" spans="10:13" x14ac:dyDescent="0.2">
      <c r="J360" s="14"/>
      <c r="K360" s="14"/>
      <c r="L360" s="14"/>
      <c r="M360" s="14"/>
    </row>
    <row r="361" spans="10:13" x14ac:dyDescent="0.2">
      <c r="J361" s="14"/>
      <c r="K361" s="14"/>
      <c r="L361" s="14"/>
      <c r="M361" s="14"/>
    </row>
    <row r="362" spans="10:13" x14ac:dyDescent="0.2">
      <c r="J362" s="14"/>
      <c r="K362" s="14"/>
      <c r="L362" s="14"/>
      <c r="M362" s="14"/>
    </row>
    <row r="363" spans="10:13" x14ac:dyDescent="0.2">
      <c r="J363" s="14"/>
      <c r="K363" s="14"/>
      <c r="L363" s="14"/>
      <c r="M363" s="14"/>
    </row>
    <row r="364" spans="10:13" x14ac:dyDescent="0.2">
      <c r="J364" s="14"/>
      <c r="K364" s="14"/>
      <c r="L364" s="14"/>
      <c r="M364" s="14"/>
    </row>
    <row r="365" spans="10:13" x14ac:dyDescent="0.2">
      <c r="J365" s="14"/>
      <c r="K365" s="14"/>
      <c r="L365" s="14"/>
      <c r="M365" s="14"/>
    </row>
    <row r="366" spans="10:13" x14ac:dyDescent="0.2">
      <c r="J366" s="14"/>
      <c r="K366" s="14"/>
      <c r="L366" s="14"/>
      <c r="M366" s="14"/>
    </row>
    <row r="367" spans="10:13" x14ac:dyDescent="0.2">
      <c r="J367" s="14"/>
      <c r="K367" s="14"/>
      <c r="L367" s="14"/>
      <c r="M367" s="14"/>
    </row>
    <row r="368" spans="10:13" x14ac:dyDescent="0.2">
      <c r="J368" s="14"/>
      <c r="K368" s="14"/>
      <c r="L368" s="14"/>
      <c r="M368" s="14"/>
    </row>
    <row r="369" spans="10:13" x14ac:dyDescent="0.2">
      <c r="J369" s="14"/>
      <c r="K369" s="14"/>
      <c r="L369" s="14"/>
      <c r="M369" s="14"/>
    </row>
    <row r="370" spans="10:13" x14ac:dyDescent="0.2">
      <c r="J370" s="14"/>
      <c r="K370" s="14"/>
      <c r="L370" s="14"/>
      <c r="M370" s="14"/>
    </row>
    <row r="371" spans="10:13" x14ac:dyDescent="0.2">
      <c r="J371" s="14"/>
      <c r="K371" s="14"/>
      <c r="L371" s="14"/>
      <c r="M371" s="14"/>
    </row>
    <row r="372" spans="10:13" x14ac:dyDescent="0.2">
      <c r="J372" s="14"/>
      <c r="K372" s="14"/>
      <c r="L372" s="14"/>
      <c r="M372" s="14"/>
    </row>
    <row r="373" spans="10:13" x14ac:dyDescent="0.2">
      <c r="J373" s="14"/>
      <c r="K373" s="14"/>
      <c r="L373" s="14"/>
      <c r="M373" s="14"/>
    </row>
    <row r="374" spans="10:13" x14ac:dyDescent="0.2">
      <c r="J374" s="14"/>
      <c r="K374" s="14"/>
      <c r="L374" s="14"/>
      <c r="M374" s="14"/>
    </row>
    <row r="375" spans="10:13" x14ac:dyDescent="0.2">
      <c r="J375" s="14"/>
      <c r="K375" s="14"/>
      <c r="L375" s="14"/>
      <c r="M375" s="14"/>
    </row>
    <row r="376" spans="10:13" x14ac:dyDescent="0.2">
      <c r="J376" s="14"/>
      <c r="K376" s="14"/>
      <c r="L376" s="14"/>
      <c r="M376" s="14"/>
    </row>
    <row r="377" spans="10:13" x14ac:dyDescent="0.2">
      <c r="J377" s="14"/>
      <c r="K377" s="14"/>
      <c r="L377" s="14"/>
      <c r="M377" s="14"/>
    </row>
    <row r="378" spans="10:13" x14ac:dyDescent="0.2">
      <c r="J378" s="14"/>
      <c r="K378" s="14"/>
      <c r="L378" s="14"/>
      <c r="M378" s="14"/>
    </row>
    <row r="379" spans="10:13" x14ac:dyDescent="0.2">
      <c r="J379" s="14"/>
      <c r="K379" s="14"/>
      <c r="L379" s="14"/>
      <c r="M379" s="14"/>
    </row>
    <row r="380" spans="10:13" x14ac:dyDescent="0.2">
      <c r="J380" s="14"/>
      <c r="K380" s="14"/>
      <c r="L380" s="14"/>
      <c r="M380" s="14"/>
    </row>
    <row r="381" spans="10:13" x14ac:dyDescent="0.2">
      <c r="J381" s="14"/>
      <c r="K381" s="14"/>
      <c r="L381" s="14"/>
      <c r="M381" s="14"/>
    </row>
    <row r="382" spans="10:13" x14ac:dyDescent="0.2">
      <c r="J382" s="14"/>
      <c r="K382" s="14"/>
      <c r="L382" s="14"/>
      <c r="M382" s="14"/>
    </row>
    <row r="383" spans="10:13" x14ac:dyDescent="0.2">
      <c r="J383" s="14"/>
      <c r="K383" s="14"/>
      <c r="L383" s="14"/>
      <c r="M383" s="14"/>
    </row>
    <row r="384" spans="10:13" x14ac:dyDescent="0.2">
      <c r="J384" s="14"/>
      <c r="K384" s="14"/>
      <c r="L384" s="14"/>
      <c r="M384" s="14"/>
    </row>
    <row r="385" spans="10:13" x14ac:dyDescent="0.2">
      <c r="J385" s="14"/>
      <c r="K385" s="14"/>
      <c r="L385" s="14"/>
      <c r="M385" s="14"/>
    </row>
    <row r="386" spans="10:13" x14ac:dyDescent="0.2">
      <c r="J386" s="14"/>
      <c r="K386" s="14"/>
      <c r="L386" s="14"/>
      <c r="M386" s="14"/>
    </row>
    <row r="387" spans="10:13" x14ac:dyDescent="0.2">
      <c r="J387" s="14"/>
      <c r="K387" s="14"/>
      <c r="L387" s="14"/>
      <c r="M387" s="14"/>
    </row>
    <row r="388" spans="10:13" x14ac:dyDescent="0.2">
      <c r="J388" s="14"/>
      <c r="K388" s="14"/>
      <c r="L388" s="14"/>
      <c r="M388" s="14"/>
    </row>
    <row r="389" spans="10:13" x14ac:dyDescent="0.2">
      <c r="J389" s="14"/>
      <c r="K389" s="14"/>
      <c r="L389" s="14"/>
      <c r="M389" s="14"/>
    </row>
    <row r="390" spans="10:13" x14ac:dyDescent="0.2">
      <c r="J390" s="14"/>
      <c r="K390" s="14"/>
      <c r="L390" s="14"/>
      <c r="M390" s="14"/>
    </row>
    <row r="391" spans="10:13" x14ac:dyDescent="0.2">
      <c r="J391" s="14"/>
      <c r="K391" s="14"/>
      <c r="L391" s="14"/>
      <c r="M391" s="14"/>
    </row>
    <row r="392" spans="10:13" x14ac:dyDescent="0.2">
      <c r="J392" s="14"/>
      <c r="K392" s="14"/>
      <c r="L392" s="14"/>
      <c r="M392" s="14"/>
    </row>
    <row r="393" spans="10:13" x14ac:dyDescent="0.2">
      <c r="J393" s="14"/>
      <c r="K393" s="14"/>
      <c r="L393" s="14"/>
      <c r="M393" s="14"/>
    </row>
    <row r="394" spans="10:13" x14ac:dyDescent="0.2">
      <c r="J394" s="14"/>
      <c r="K394" s="14"/>
      <c r="L394" s="14"/>
      <c r="M394" s="14"/>
    </row>
    <row r="395" spans="10:13" x14ac:dyDescent="0.2">
      <c r="J395" s="14"/>
      <c r="K395" s="14"/>
      <c r="L395" s="14"/>
      <c r="M395" s="14"/>
    </row>
    <row r="396" spans="10:13" x14ac:dyDescent="0.2">
      <c r="J396" s="14"/>
      <c r="K396" s="14"/>
      <c r="L396" s="14"/>
      <c r="M396" s="14"/>
    </row>
    <row r="397" spans="10:13" x14ac:dyDescent="0.2">
      <c r="J397" s="14"/>
      <c r="K397" s="14"/>
      <c r="L397" s="14"/>
      <c r="M397" s="14"/>
    </row>
    <row r="398" spans="10:13" x14ac:dyDescent="0.2">
      <c r="J398" s="14"/>
      <c r="K398" s="14"/>
      <c r="L398" s="14"/>
      <c r="M398" s="14"/>
    </row>
    <row r="399" spans="10:13" x14ac:dyDescent="0.2">
      <c r="J399" s="14"/>
      <c r="K399" s="14"/>
      <c r="L399" s="14"/>
      <c r="M399" s="14"/>
    </row>
    <row r="400" spans="10:13" x14ac:dyDescent="0.2">
      <c r="J400" s="14"/>
      <c r="K400" s="14"/>
      <c r="L400" s="14"/>
      <c r="M400" s="14"/>
    </row>
    <row r="401" spans="10:13" x14ac:dyDescent="0.2">
      <c r="J401" s="14"/>
      <c r="K401" s="14"/>
      <c r="L401" s="14"/>
      <c r="M401" s="14"/>
    </row>
    <row r="402" spans="10:13" x14ac:dyDescent="0.2">
      <c r="J402" s="14"/>
      <c r="K402" s="14"/>
      <c r="L402" s="14"/>
      <c r="M402" s="14"/>
    </row>
    <row r="403" spans="10:13" x14ac:dyDescent="0.2">
      <c r="J403" s="14"/>
      <c r="K403" s="14"/>
      <c r="L403" s="14"/>
      <c r="M403" s="14"/>
    </row>
    <row r="404" spans="10:13" x14ac:dyDescent="0.2">
      <c r="J404" s="14"/>
      <c r="K404" s="14"/>
      <c r="L404" s="14"/>
      <c r="M404" s="14"/>
    </row>
    <row r="405" spans="10:13" x14ac:dyDescent="0.2">
      <c r="J405" s="14"/>
      <c r="K405" s="14"/>
      <c r="L405" s="14"/>
      <c r="M405" s="14"/>
    </row>
    <row r="406" spans="10:13" x14ac:dyDescent="0.2">
      <c r="J406" s="14"/>
      <c r="K406" s="14"/>
      <c r="L406" s="14"/>
      <c r="M406" s="14"/>
    </row>
    <row r="407" spans="10:13" x14ac:dyDescent="0.2">
      <c r="J407" s="14"/>
      <c r="K407" s="14"/>
      <c r="L407" s="14"/>
      <c r="M407" s="14"/>
    </row>
    <row r="408" spans="10:13" x14ac:dyDescent="0.2">
      <c r="J408" s="14"/>
      <c r="K408" s="14"/>
      <c r="L408" s="14"/>
      <c r="M408" s="14"/>
    </row>
    <row r="409" spans="10:13" x14ac:dyDescent="0.2">
      <c r="J409" s="14"/>
      <c r="K409" s="14"/>
      <c r="L409" s="14"/>
      <c r="M409" s="14"/>
    </row>
    <row r="410" spans="10:13" x14ac:dyDescent="0.2">
      <c r="J410" s="14"/>
      <c r="K410" s="14"/>
      <c r="L410" s="14"/>
      <c r="M410" s="14"/>
    </row>
    <row r="411" spans="10:13" x14ac:dyDescent="0.2">
      <c r="J411" s="14"/>
      <c r="K411" s="14"/>
      <c r="L411" s="14"/>
      <c r="M411" s="14"/>
    </row>
    <row r="412" spans="10:13" x14ac:dyDescent="0.2">
      <c r="J412" s="14"/>
      <c r="K412" s="14"/>
      <c r="L412" s="14"/>
      <c r="M412" s="14"/>
    </row>
    <row r="413" spans="10:13" x14ac:dyDescent="0.2">
      <c r="J413" s="14"/>
      <c r="K413" s="14"/>
      <c r="L413" s="14"/>
      <c r="M413" s="14"/>
    </row>
    <row r="414" spans="10:13" x14ac:dyDescent="0.2">
      <c r="J414" s="14"/>
      <c r="K414" s="14"/>
      <c r="L414" s="14"/>
      <c r="M414" s="14"/>
    </row>
    <row r="415" spans="10:13" x14ac:dyDescent="0.2">
      <c r="J415" s="14"/>
      <c r="K415" s="14"/>
      <c r="L415" s="14"/>
      <c r="M415" s="14"/>
    </row>
    <row r="416" spans="10:13" x14ac:dyDescent="0.2">
      <c r="J416" s="14"/>
      <c r="K416" s="14"/>
      <c r="L416" s="14"/>
      <c r="M416" s="14"/>
    </row>
  </sheetData>
  <autoFilter ref="A3:Z336" xr:uid="{00000000-0009-0000-0000-000023000000}"/>
  <pageMargins left="0.7" right="0.7" top="0.75" bottom="0.75" header="0.3" footer="0.3"/>
  <pageSetup orientation="portrait"/>
  <headerFooter>
    <oddFooter>&amp;C&amp;"Calibri"&amp;10 &amp;K000000_x000D_# CONFIDENTIAL_x000D_&amp;1#&amp;"Aptos"&amp;10&amp;K0000FF PUBLIC</oddFooter>
  </headerFooter>
</worksheet>
</file>

<file path=docMetadata/LabelInfo.xml><?xml version="1.0" encoding="utf-8"?>
<clbl:labelList xmlns:clbl="http://schemas.microsoft.com/office/2020/mipLabelMetadata">
  <clbl:label id="{7f152f6a-2b78-4fa2-ae00-a99519405dce}" enabled="1" method="Privileged" siteId="{a2d8e6b4-e26e-4421-8f3d-ec288c827c7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Aging Formulas</vt:lpstr>
      <vt:lpstr>JAN-23</vt:lpstr>
      <vt:lpstr>FEB-23</vt:lpstr>
      <vt:lpstr>MAR-23</vt:lpstr>
      <vt:lpstr>MAY-23</vt:lpstr>
      <vt:lpstr>July-23</vt:lpstr>
      <vt:lpstr>Aug-23</vt:lpstr>
      <vt:lpstr>Sept-23</vt:lpstr>
      <vt:lpstr>Oct-23</vt:lpstr>
      <vt:lpstr>NOV-23</vt:lpstr>
      <vt:lpstr>DEC-23</vt:lpstr>
      <vt:lpstr>Jan-24</vt:lpstr>
      <vt:lpstr>FEB-24</vt:lpstr>
      <vt:lpstr>MAR-24</vt:lpstr>
      <vt:lpstr>JUL-24</vt:lpstr>
      <vt:lpstr>AUG-24</vt:lpstr>
      <vt:lpstr>SEP-24</vt:lpstr>
      <vt:lpstr>OCT-24</vt:lpstr>
      <vt:lpstr>DEC-24</vt:lpstr>
      <vt:lpstr>JAN-25</vt:lpstr>
      <vt:lpstr>FEB-25</vt:lpstr>
      <vt:lpstr>MAR-25</vt:lpstr>
      <vt:lpstr>APR-25</vt:lpstr>
      <vt:lpstr>MAY-25</vt:lpstr>
      <vt:lpstr>JUN-25</vt:lpstr>
      <vt:lpstr>JUL-25</vt:lpstr>
      <vt:lpstr>FEB-26</vt:lpstr>
      <vt:lpstr>APR-26</vt:lpstr>
      <vt:lpstr>MAY-26</vt:lpstr>
      <vt:lpstr>JUN-26</vt:lpstr>
      <vt:lpstr>JUL-26</vt:lpstr>
      <vt:lpstr>AUG-26</vt:lpstr>
      <vt:lpstr>Details</vt:lpstr>
      <vt:lpstr>Details AUG-26</vt:lpstr>
      <vt:lpstr>Offsets</vt:lpstr>
      <vt:lpstr>Offsets prior to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Waggener, Colin</dc:creator>
  <cp:lastModifiedBy>Oberkrom, Cheryl</cp:lastModifiedBy>
  <dcterms:created xsi:type="dcterms:W3CDTF">2023-02-13T06:58:20Z</dcterms:created>
  <dcterms:modified xsi:type="dcterms:W3CDTF">2026-08-17T18:52:06Z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